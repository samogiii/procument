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m\Desktop\Projects\procument\"/>
    </mc:Choice>
  </mc:AlternateContent>
  <xr:revisionPtr revIDLastSave="0" documentId="8_{2BCB7BCA-63E5-4983-ACA1-A01DD2215A2B}" xr6:coauthVersionLast="47" xr6:coauthVersionMax="47" xr10:uidLastSave="{00000000-0000-0000-0000-000000000000}"/>
  <bookViews>
    <workbookView xWindow="28680" yWindow="-120" windowWidth="29040" windowHeight="15720" tabRatio="724" xr2:uid="{4FC312C0-A6BB-4471-9874-92AA8ABC1E86}"/>
  </bookViews>
  <sheets>
    <sheet name="TPP REV-Final" sheetId="52" r:id="rId1"/>
    <sheet name="INVENTORY" sheetId="58" r:id="rId2"/>
    <sheet name="BANK &amp; SHIPPING" sheetId="15" r:id="rId3"/>
    <sheet name="Colour Condition" sheetId="3" r:id="rId4"/>
    <sheet name="Payment" sheetId="56" r:id="rId5"/>
    <sheet name="Payment (2)" sheetId="57" r:id="rId6"/>
    <sheet name="TPP-OLD" sheetId="2" state="hidden" r:id="rId7"/>
    <sheet name="TPP 2-OLD" sheetId="44" state="hidden" r:id="rId8"/>
  </sheets>
  <definedNames>
    <definedName name="_xlnm._FilterDatabase" localSheetId="1" hidden="1">INVENTORY!$A$2:$AK$38</definedName>
    <definedName name="_xlnm._FilterDatabase" localSheetId="7" hidden="1">'TPP 2-OLD'!$A$1:$AE$322</definedName>
    <definedName name="_xlnm._FilterDatabase" localSheetId="0" hidden="1">'TPP REV-Final'!$A$2:$AJ$41</definedName>
    <definedName name="_xlnm._FilterDatabase" localSheetId="6" hidden="1">'TPP-OLD'!$A$1:$AE$288</definedName>
    <definedName name="_xlnm.Print_Area" localSheetId="1">INVENTORY!#REF!</definedName>
    <definedName name="_xlnm.Print_Area" localSheetId="4">Payment!$C$1:$H$23</definedName>
    <definedName name="_xlnm.Print_Area" localSheetId="5">'Payment (2)'!$C$1:$H$25</definedName>
    <definedName name="_xlnm.Print_Area" localSheetId="7">'TPP 2-OLD'!$B$43:$N$81</definedName>
    <definedName name="_xlnm.Print_Area" localSheetId="0">'TPP REV-Final'!#REF!</definedName>
    <definedName name="_xlnm.Print_Area" localSheetId="6">'TPP-OLD'!$B$43:$N$81</definedName>
    <definedName name="valuevx">42.314159</definedName>
    <definedName name="vertex42_copyright" hidden="1">"© 2008-2019 Vertex42 LLC"</definedName>
    <definedName name="vertex42_id" hidden="1">"purchase-order.xlsx"</definedName>
    <definedName name="vertex42_title" hidden="1">"Purchase Order Template"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" i="52" l="1"/>
  <c r="W9" i="52"/>
  <c r="Y9" i="52"/>
  <c r="Q8" i="52"/>
  <c r="W8" i="52"/>
  <c r="Z8" i="52" s="1"/>
  <c r="Y8" i="52"/>
  <c r="Q6" i="52"/>
  <c r="A4" i="58"/>
  <c r="A5" i="58" s="1"/>
  <c r="A6" i="58" s="1"/>
  <c r="A7" i="58" s="1"/>
  <c r="A8" i="58" s="1"/>
  <c r="A9" i="58" s="1"/>
  <c r="A10" i="58" s="1"/>
  <c r="A11" i="58" s="1"/>
  <c r="A12" i="58" s="1"/>
  <c r="A13" i="58" s="1"/>
  <c r="A14" i="58" s="1"/>
  <c r="A15" i="58" s="1"/>
  <c r="A16" i="58" s="1"/>
  <c r="A17" i="58" s="1"/>
  <c r="A18" i="58" s="1"/>
  <c r="A19" i="58" s="1"/>
  <c r="A20" i="58" s="1"/>
  <c r="A21" i="58" s="1"/>
  <c r="A22" i="58" s="1"/>
  <c r="A23" i="58" s="1"/>
  <c r="A24" i="58" s="1"/>
  <c r="A25" i="58" s="1"/>
  <c r="A26" i="58" s="1"/>
  <c r="A27" i="58" s="1"/>
  <c r="A28" i="58" s="1"/>
  <c r="A29" i="58" s="1"/>
  <c r="A30" i="58" s="1"/>
  <c r="A31" i="58" s="1"/>
  <c r="A32" i="58" s="1"/>
  <c r="A33" i="58" s="1"/>
  <c r="A34" i="58" s="1"/>
  <c r="A35" i="58" s="1"/>
  <c r="A36" i="58" s="1"/>
  <c r="A37" i="58" s="1"/>
  <c r="A38" i="58" s="1"/>
  <c r="X38" i="58"/>
  <c r="V38" i="58"/>
  <c r="R38" i="58"/>
  <c r="X37" i="58"/>
  <c r="V37" i="58"/>
  <c r="R37" i="58"/>
  <c r="X36" i="58"/>
  <c r="V36" i="58"/>
  <c r="R36" i="58"/>
  <c r="X35" i="58"/>
  <c r="V35" i="58"/>
  <c r="R35" i="58"/>
  <c r="X34" i="58"/>
  <c r="V34" i="58"/>
  <c r="R34" i="58"/>
  <c r="X33" i="58"/>
  <c r="V33" i="58"/>
  <c r="R33" i="58"/>
  <c r="X32" i="58"/>
  <c r="V32" i="58"/>
  <c r="R32" i="58"/>
  <c r="X31" i="58"/>
  <c r="V31" i="58"/>
  <c r="R31" i="58"/>
  <c r="X30" i="58"/>
  <c r="V30" i="58"/>
  <c r="R30" i="58"/>
  <c r="X29" i="58"/>
  <c r="V29" i="58"/>
  <c r="R29" i="58"/>
  <c r="X28" i="58"/>
  <c r="V28" i="58"/>
  <c r="R28" i="58"/>
  <c r="X27" i="58"/>
  <c r="V27" i="58"/>
  <c r="R27" i="58"/>
  <c r="X26" i="58"/>
  <c r="V26" i="58"/>
  <c r="R26" i="58"/>
  <c r="X25" i="58"/>
  <c r="V25" i="58"/>
  <c r="R25" i="58"/>
  <c r="X24" i="58"/>
  <c r="V24" i="58"/>
  <c r="R24" i="58"/>
  <c r="X23" i="58"/>
  <c r="V23" i="58"/>
  <c r="R23" i="58"/>
  <c r="X22" i="58"/>
  <c r="V22" i="58"/>
  <c r="R22" i="58"/>
  <c r="X21" i="58"/>
  <c r="V21" i="58"/>
  <c r="R21" i="58"/>
  <c r="X20" i="58"/>
  <c r="V20" i="58"/>
  <c r="R20" i="58"/>
  <c r="X19" i="58"/>
  <c r="V19" i="58"/>
  <c r="R19" i="58"/>
  <c r="X18" i="58"/>
  <c r="V18" i="58"/>
  <c r="R18" i="58"/>
  <c r="X17" i="58"/>
  <c r="V17" i="58"/>
  <c r="R17" i="58"/>
  <c r="X16" i="58"/>
  <c r="V16" i="58"/>
  <c r="R16" i="58"/>
  <c r="X15" i="58"/>
  <c r="V15" i="58"/>
  <c r="R15" i="58"/>
  <c r="X14" i="58"/>
  <c r="V14" i="58"/>
  <c r="R14" i="58"/>
  <c r="X13" i="58"/>
  <c r="V13" i="58"/>
  <c r="R13" i="58"/>
  <c r="X12" i="58"/>
  <c r="V12" i="58"/>
  <c r="R12" i="58"/>
  <c r="X11" i="58"/>
  <c r="V11" i="58"/>
  <c r="R11" i="58"/>
  <c r="X10" i="58"/>
  <c r="V10" i="58"/>
  <c r="R10" i="58"/>
  <c r="X9" i="58"/>
  <c r="X1" i="58" s="1"/>
  <c r="V9" i="58"/>
  <c r="R9" i="58"/>
  <c r="X8" i="58"/>
  <c r="V8" i="58"/>
  <c r="R8" i="58"/>
  <c r="X7" i="58"/>
  <c r="V7" i="58"/>
  <c r="R7" i="58"/>
  <c r="X6" i="58"/>
  <c r="V6" i="58"/>
  <c r="R6" i="58"/>
  <c r="X5" i="58"/>
  <c r="V5" i="58"/>
  <c r="R5" i="58"/>
  <c r="X4" i="58"/>
  <c r="V4" i="58"/>
  <c r="R4" i="58"/>
  <c r="X3" i="58"/>
  <c r="V3" i="58"/>
  <c r="R3" i="58"/>
  <c r="Y4" i="52"/>
  <c r="Y5" i="52"/>
  <c r="Y6" i="52"/>
  <c r="Y7" i="52"/>
  <c r="Y10" i="52"/>
  <c r="Y11" i="52"/>
  <c r="Y12" i="52"/>
  <c r="Y13" i="52"/>
  <c r="Y14" i="52"/>
  <c r="Y15" i="52"/>
  <c r="Y16" i="52"/>
  <c r="Y17" i="52"/>
  <c r="Y18" i="52"/>
  <c r="Y19" i="52"/>
  <c r="Y20" i="52"/>
  <c r="Y21" i="52"/>
  <c r="Y22" i="52"/>
  <c r="Y23" i="52"/>
  <c r="Y24" i="52"/>
  <c r="Y25" i="52"/>
  <c r="Y26" i="52"/>
  <c r="Y27" i="52"/>
  <c r="Y28" i="52"/>
  <c r="Y29" i="52"/>
  <c r="Y30" i="52"/>
  <c r="Y31" i="52"/>
  <c r="Y32" i="52"/>
  <c r="Y33" i="52"/>
  <c r="Y34" i="52"/>
  <c r="Y35" i="52"/>
  <c r="Y36" i="52"/>
  <c r="Y37" i="52"/>
  <c r="Y38" i="52"/>
  <c r="Y39" i="52"/>
  <c r="Y40" i="52"/>
  <c r="Y41" i="52"/>
  <c r="Y3" i="52"/>
  <c r="Y1" i="52" l="1"/>
  <c r="V1" i="58"/>
  <c r="R1" i="58"/>
  <c r="E3" i="57"/>
  <c r="Q5" i="52"/>
  <c r="Q7" i="52"/>
  <c r="Q10" i="52"/>
  <c r="Q11" i="52"/>
  <c r="Q12" i="52"/>
  <c r="Q13" i="52"/>
  <c r="Q14" i="52"/>
  <c r="Q15" i="52"/>
  <c r="Q16" i="52"/>
  <c r="Q17" i="52"/>
  <c r="Q18" i="52"/>
  <c r="Q19" i="52"/>
  <c r="Q20" i="52"/>
  <c r="Q21" i="52"/>
  <c r="Q22" i="52"/>
  <c r="Q23" i="52"/>
  <c r="Q24" i="52"/>
  <c r="Q25" i="52"/>
  <c r="Q26" i="52"/>
  <c r="Q27" i="52"/>
  <c r="Q28" i="52"/>
  <c r="Q29" i="52"/>
  <c r="Q30" i="52"/>
  <c r="Q31" i="52"/>
  <c r="Q32" i="52"/>
  <c r="Q33" i="52"/>
  <c r="Q34" i="52"/>
  <c r="Q35" i="52"/>
  <c r="Q36" i="52"/>
  <c r="Q37" i="52"/>
  <c r="Q38" i="52"/>
  <c r="Q39" i="52"/>
  <c r="Q40" i="52"/>
  <c r="Q41" i="52"/>
  <c r="W7" i="52"/>
  <c r="W10" i="52"/>
  <c r="W11" i="52"/>
  <c r="W12" i="52"/>
  <c r="W13" i="52"/>
  <c r="W14" i="52"/>
  <c r="W15" i="52"/>
  <c r="W16" i="52"/>
  <c r="W17" i="52"/>
  <c r="W18" i="52"/>
  <c r="W19" i="52"/>
  <c r="W20" i="52"/>
  <c r="W21" i="52"/>
  <c r="W22" i="52"/>
  <c r="W23" i="52"/>
  <c r="W24" i="52"/>
  <c r="W25" i="52"/>
  <c r="W26" i="52"/>
  <c r="W27" i="52"/>
  <c r="W28" i="52"/>
  <c r="W29" i="52"/>
  <c r="W30" i="52"/>
  <c r="J2" i="56"/>
  <c r="W31" i="52" l="1"/>
  <c r="W32" i="52"/>
  <c r="W33" i="52"/>
  <c r="W34" i="52"/>
  <c r="W35" i="52"/>
  <c r="W36" i="52"/>
  <c r="W37" i="52"/>
  <c r="W38" i="52"/>
  <c r="W39" i="52"/>
  <c r="W40" i="52"/>
  <c r="W41" i="52"/>
  <c r="W6" i="52" l="1"/>
  <c r="W5" i="52"/>
  <c r="Q4" i="52" l="1"/>
  <c r="Q3" i="52"/>
  <c r="A4" i="52"/>
  <c r="A5" i="52" s="1"/>
  <c r="A7" i="52" s="1"/>
  <c r="W4" i="52"/>
  <c r="W3" i="52"/>
  <c r="Q1" i="52" l="1"/>
  <c r="A8" i="52"/>
  <c r="A9" i="52" s="1"/>
  <c r="A10" i="52" s="1"/>
  <c r="A11" i="52" s="1"/>
  <c r="A12" i="52" s="1"/>
  <c r="A13" i="52" s="1"/>
  <c r="A14" i="52" s="1"/>
  <c r="A15" i="52" s="1"/>
  <c r="A16" i="52" s="1"/>
  <c r="A17" i="52" s="1"/>
  <c r="A18" i="52" s="1"/>
  <c r="A19" i="52" s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W1" i="52"/>
  <c r="X250" i="44" l="1"/>
  <c r="X249" i="44"/>
  <c r="X247" i="44"/>
  <c r="X244" i="44"/>
  <c r="AA244" i="44" s="1"/>
  <c r="X243" i="44"/>
  <c r="X218" i="44"/>
  <c r="X217" i="44"/>
  <c r="X216" i="44"/>
  <c r="X215" i="44"/>
  <c r="X214" i="44"/>
  <c r="X213" i="44"/>
  <c r="X211" i="44"/>
  <c r="X210" i="44"/>
  <c r="X209" i="44"/>
  <c r="AA305" i="44"/>
  <c r="W281" i="44"/>
  <c r="Z281" i="44" s="1"/>
  <c r="O281" i="44"/>
  <c r="X185" i="44"/>
  <c r="X294" i="44"/>
  <c r="O294" i="44"/>
  <c r="W280" i="44"/>
  <c r="X280" i="44" s="1"/>
  <c r="W279" i="44"/>
  <c r="X279" i="44" s="1"/>
  <c r="X43" i="44"/>
  <c r="X44" i="44"/>
  <c r="X292" i="44"/>
  <c r="O292" i="44"/>
  <c r="X291" i="44"/>
  <c r="O291" i="44"/>
  <c r="X290" i="44"/>
  <c r="O290" i="44"/>
  <c r="X289" i="44"/>
  <c r="O289" i="44"/>
  <c r="X288" i="44"/>
  <c r="O288" i="44"/>
  <c r="X287" i="44"/>
  <c r="O287" i="44"/>
  <c r="X286" i="44"/>
  <c r="O286" i="44"/>
  <c r="X285" i="44"/>
  <c r="O285" i="44"/>
  <c r="X284" i="44"/>
  <c r="O284" i="44"/>
  <c r="X283" i="44"/>
  <c r="O283" i="44"/>
  <c r="O297" i="44"/>
  <c r="X297" i="44"/>
  <c r="O296" i="44"/>
  <c r="X296" i="44"/>
  <c r="O295" i="44"/>
  <c r="X295" i="44"/>
  <c r="O293" i="44"/>
  <c r="X293" i="44"/>
  <c r="X231" i="44"/>
  <c r="X300" i="44"/>
  <c r="O300" i="44"/>
  <c r="X299" i="44"/>
  <c r="AA299" i="44" s="1"/>
  <c r="O299" i="44"/>
  <c r="X298" i="44"/>
  <c r="O298" i="44"/>
  <c r="X282" i="44"/>
  <c r="O282" i="44"/>
  <c r="O280" i="44"/>
  <c r="O279" i="44"/>
  <c r="X278" i="44"/>
  <c r="AA278" i="44" s="1"/>
  <c r="O278" i="44"/>
  <c r="X277" i="44"/>
  <c r="O277" i="44"/>
  <c r="X276" i="44"/>
  <c r="O276" i="44"/>
  <c r="X275" i="44"/>
  <c r="O275" i="44"/>
  <c r="X274" i="44"/>
  <c r="AA274" i="44" s="1"/>
  <c r="O274" i="44"/>
  <c r="X273" i="44"/>
  <c r="O273" i="44"/>
  <c r="X272" i="44"/>
  <c r="O272" i="44"/>
  <c r="X271" i="44"/>
  <c r="O271" i="44"/>
  <c r="X270" i="44"/>
  <c r="AA270" i="44" s="1"/>
  <c r="O270" i="44"/>
  <c r="X269" i="44"/>
  <c r="O269" i="44"/>
  <c r="A4" i="44"/>
  <c r="A5" i="44" s="1"/>
  <c r="A6" i="44" s="1"/>
  <c r="A7" i="44" s="1"/>
  <c r="A8" i="44" s="1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A38" i="44" s="1"/>
  <c r="A39" i="44" s="1"/>
  <c r="A40" i="44" s="1"/>
  <c r="A41" i="44" s="1"/>
  <c r="A42" i="44" s="1"/>
  <c r="A43" i="44" s="1"/>
  <c r="A44" i="44" s="1"/>
  <c r="A45" i="44" s="1"/>
  <c r="A46" i="44" s="1"/>
  <c r="A47" i="44" s="1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86" i="44" s="1"/>
  <c r="A87" i="44" s="1"/>
  <c r="A88" i="44" s="1"/>
  <c r="A89" i="44" s="1"/>
  <c r="A90" i="44" s="1"/>
  <c r="A91" i="44" s="1"/>
  <c r="A92" i="44" s="1"/>
  <c r="A93" i="44" s="1"/>
  <c r="A94" i="44" s="1"/>
  <c r="A95" i="44" s="1"/>
  <c r="A96" i="44" s="1"/>
  <c r="A97" i="44" s="1"/>
  <c r="A98" i="44" s="1"/>
  <c r="A99" i="44" s="1"/>
  <c r="A100" i="44" s="1"/>
  <c r="A101" i="44" s="1"/>
  <c r="A102" i="44" s="1"/>
  <c r="A103" i="44" s="1"/>
  <c r="A104" i="44" s="1"/>
  <c r="A105" i="44" s="1"/>
  <c r="A106" i="44" s="1"/>
  <c r="A107" i="44" s="1"/>
  <c r="A108" i="44" s="1"/>
  <c r="A109" i="44" s="1"/>
  <c r="A110" i="44" s="1"/>
  <c r="A111" i="44" s="1"/>
  <c r="A112" i="44" s="1"/>
  <c r="A113" i="44" s="1"/>
  <c r="A114" i="44" s="1"/>
  <c r="A115" i="44" s="1"/>
  <c r="A116" i="44" s="1"/>
  <c r="A117" i="44" s="1"/>
  <c r="A118" i="44" s="1"/>
  <c r="A119" i="44" s="1"/>
  <c r="A120" i="44" s="1"/>
  <c r="A121" i="44" s="1"/>
  <c r="A122" i="44" s="1"/>
  <c r="A123" i="44" s="1"/>
  <c r="A124" i="44" s="1"/>
  <c r="A125" i="44" s="1"/>
  <c r="A126" i="44" s="1"/>
  <c r="A127" i="44" s="1"/>
  <c r="A128" i="44" s="1"/>
  <c r="A129" i="44" s="1"/>
  <c r="A130" i="44" s="1"/>
  <c r="A131" i="44" s="1"/>
  <c r="A132" i="44" s="1"/>
  <c r="A133" i="44" s="1"/>
  <c r="A134" i="44" s="1"/>
  <c r="A135" i="44" s="1"/>
  <c r="A136" i="44" s="1"/>
  <c r="A137" i="44" s="1"/>
  <c r="A138" i="44" s="1"/>
  <c r="A139" i="44" s="1"/>
  <c r="A140" i="44" s="1"/>
  <c r="A141" i="44" s="1"/>
  <c r="A142" i="44" s="1"/>
  <c r="A143" i="44" s="1"/>
  <c r="A144" i="44" s="1"/>
  <c r="A145" i="44" s="1"/>
  <c r="A146" i="44" s="1"/>
  <c r="A147" i="44" s="1"/>
  <c r="A148" i="44" s="1"/>
  <c r="A149" i="44" s="1"/>
  <c r="A150" i="44" s="1"/>
  <c r="A151" i="44" s="1"/>
  <c r="A152" i="44" s="1"/>
  <c r="A153" i="44" s="1"/>
  <c r="A154" i="44" s="1"/>
  <c r="A155" i="44" s="1"/>
  <c r="A156" i="44" s="1"/>
  <c r="A157" i="44" s="1"/>
  <c r="A158" i="44" s="1"/>
  <c r="A159" i="44" s="1"/>
  <c r="A160" i="44" s="1"/>
  <c r="A161" i="44" s="1"/>
  <c r="A162" i="44" s="1"/>
  <c r="A163" i="44" s="1"/>
  <c r="A164" i="44" s="1"/>
  <c r="A165" i="44" s="1"/>
  <c r="A166" i="44" s="1"/>
  <c r="A167" i="44" s="1"/>
  <c r="A168" i="44" s="1"/>
  <c r="A169" i="44" s="1"/>
  <c r="A170" i="44" s="1"/>
  <c r="A171" i="44" s="1"/>
  <c r="A172" i="44" s="1"/>
  <c r="A173" i="44" s="1"/>
  <c r="A174" i="44" s="1"/>
  <c r="A175" i="44" s="1"/>
  <c r="A176" i="44" s="1"/>
  <c r="A177" i="44" s="1"/>
  <c r="A178" i="44" s="1"/>
  <c r="A179" i="44" s="1"/>
  <c r="A180" i="44" s="1"/>
  <c r="A181" i="44" s="1"/>
  <c r="A182" i="44" s="1"/>
  <c r="A183" i="44" s="1"/>
  <c r="A184" i="44" s="1"/>
  <c r="A185" i="44" s="1"/>
  <c r="A186" i="44" s="1"/>
  <c r="A187" i="44" s="1"/>
  <c r="A188" i="44" s="1"/>
  <c r="A189" i="44" s="1"/>
  <c r="A190" i="44" s="1"/>
  <c r="A191" i="44" s="1"/>
  <c r="A192" i="44" s="1"/>
  <c r="A193" i="44" s="1"/>
  <c r="A194" i="44" s="1"/>
  <c r="A195" i="44" s="1"/>
  <c r="A196" i="44" s="1"/>
  <c r="A197" i="44" s="1"/>
  <c r="A198" i="44" s="1"/>
  <c r="A199" i="44" s="1"/>
  <c r="A200" i="44" s="1"/>
  <c r="A201" i="44" s="1"/>
  <c r="A202" i="44" s="1"/>
  <c r="A203" i="44" s="1"/>
  <c r="A204" i="44" s="1"/>
  <c r="A205" i="44" s="1"/>
  <c r="A206" i="44" s="1"/>
  <c r="A207" i="44" s="1"/>
  <c r="A208" i="44" s="1"/>
  <c r="A209" i="44" s="1"/>
  <c r="A210" i="44" s="1"/>
  <c r="A211" i="44" s="1"/>
  <c r="A212" i="44" s="1"/>
  <c r="A213" i="44" s="1"/>
  <c r="A214" i="44" s="1"/>
  <c r="A215" i="44" s="1"/>
  <c r="A216" i="44" s="1"/>
  <c r="A217" i="44" s="1"/>
  <c r="A218" i="44" s="1"/>
  <c r="A219" i="44" s="1"/>
  <c r="A220" i="44" s="1"/>
  <c r="A221" i="44" s="1"/>
  <c r="A222" i="44" s="1"/>
  <c r="A223" i="44" s="1"/>
  <c r="A224" i="44" s="1"/>
  <c r="A225" i="44" s="1"/>
  <c r="A226" i="44" s="1"/>
  <c r="A227" i="44" s="1"/>
  <c r="A228" i="44" s="1"/>
  <c r="A229" i="44" s="1"/>
  <c r="A230" i="44" s="1"/>
  <c r="A231" i="44" s="1"/>
  <c r="A232" i="44" s="1"/>
  <c r="A233" i="44" s="1"/>
  <c r="A234" i="44" s="1"/>
  <c r="A235" i="44" s="1"/>
  <c r="A236" i="44" s="1"/>
  <c r="A237" i="44" s="1"/>
  <c r="A238" i="44" s="1"/>
  <c r="A239" i="44" s="1"/>
  <c r="A240" i="44" s="1"/>
  <c r="A241" i="44" s="1"/>
  <c r="A242" i="44" s="1"/>
  <c r="A243" i="44" s="1"/>
  <c r="A244" i="44" s="1"/>
  <c r="A245" i="44" s="1"/>
  <c r="A246" i="44" s="1"/>
  <c r="A247" i="44" s="1"/>
  <c r="A248" i="44" s="1"/>
  <c r="A249" i="44" s="1"/>
  <c r="A250" i="44" s="1"/>
  <c r="A251" i="44" s="1"/>
  <c r="A252" i="44" s="1"/>
  <c r="A253" i="44" s="1"/>
  <c r="A254" i="44" s="1"/>
  <c r="A255" i="44" s="1"/>
  <c r="A256" i="44" s="1"/>
  <c r="A257" i="44" s="1"/>
  <c r="A258" i="44" s="1"/>
  <c r="A259" i="44" s="1"/>
  <c r="A260" i="44" s="1"/>
  <c r="A261" i="44" s="1"/>
  <c r="A262" i="44" s="1"/>
  <c r="A263" i="44" s="1"/>
  <c r="A264" i="44" s="1"/>
  <c r="A265" i="44" s="1"/>
  <c r="A266" i="44" s="1"/>
  <c r="A267" i="44" s="1"/>
  <c r="A268" i="44" s="1"/>
  <c r="A269" i="44" s="1"/>
  <c r="A270" i="44" s="1"/>
  <c r="A271" i="44" s="1"/>
  <c r="A272" i="44" s="1"/>
  <c r="A273" i="44" s="1"/>
  <c r="A274" i="44" s="1"/>
  <c r="A275" i="44" s="1"/>
  <c r="A276" i="44" s="1"/>
  <c r="A277" i="44" s="1"/>
  <c r="A278" i="44" s="1"/>
  <c r="A279" i="44" s="1"/>
  <c r="A280" i="44" s="1"/>
  <c r="A281" i="44" s="1"/>
  <c r="A282" i="44" s="1"/>
  <c r="A283" i="44" s="1"/>
  <c r="A284" i="44" s="1"/>
  <c r="A285" i="44" s="1"/>
  <c r="A286" i="44" s="1"/>
  <c r="A287" i="44" s="1"/>
  <c r="A288" i="44" s="1"/>
  <c r="A289" i="44" s="1"/>
  <c r="A290" i="44" s="1"/>
  <c r="A291" i="44" s="1"/>
  <c r="A292" i="44" s="1"/>
  <c r="A293" i="44" s="1"/>
  <c r="A294" i="44" s="1"/>
  <c r="A295" i="44" s="1"/>
  <c r="A296" i="44" s="1"/>
  <c r="A297" i="44" s="1"/>
  <c r="A298" i="44" s="1"/>
  <c r="A299" i="44" s="1"/>
  <c r="A300" i="44" s="1"/>
  <c r="A301" i="44" s="1"/>
  <c r="A302" i="44" s="1"/>
  <c r="A303" i="44" s="1"/>
  <c r="A304" i="44" s="1"/>
  <c r="A305" i="44" s="1"/>
  <c r="A306" i="44" s="1"/>
  <c r="A307" i="44" s="1"/>
  <c r="A308" i="44" s="1"/>
  <c r="A309" i="44" s="1"/>
  <c r="A310" i="44" s="1"/>
  <c r="A311" i="44" s="1"/>
  <c r="A312" i="44" s="1"/>
  <c r="A313" i="44" s="1"/>
  <c r="A314" i="44" s="1"/>
  <c r="A315" i="44" s="1"/>
  <c r="A316" i="44" s="1"/>
  <c r="A317" i="44" s="1"/>
  <c r="A318" i="44" s="1"/>
  <c r="AD254" i="44"/>
  <c r="O267" i="44"/>
  <c r="AA267" i="44" s="1"/>
  <c r="O252" i="44"/>
  <c r="AA252" i="44" s="1"/>
  <c r="O253" i="44"/>
  <c r="AA253" i="44" s="1"/>
  <c r="O254" i="44"/>
  <c r="AA254" i="44" s="1"/>
  <c r="O255" i="44"/>
  <c r="O256" i="44"/>
  <c r="AA256" i="44" s="1"/>
  <c r="O257" i="44"/>
  <c r="AA257" i="44" s="1"/>
  <c r="O258" i="44"/>
  <c r="AA258" i="44" s="1"/>
  <c r="O259" i="44"/>
  <c r="AA259" i="44" s="1"/>
  <c r="O260" i="44"/>
  <c r="AA260" i="44" s="1"/>
  <c r="O261" i="44"/>
  <c r="AA261" i="44" s="1"/>
  <c r="O262" i="44"/>
  <c r="AA262" i="44" s="1"/>
  <c r="O263" i="44"/>
  <c r="AA263" i="44" s="1"/>
  <c r="O264" i="44"/>
  <c r="AA264" i="44" s="1"/>
  <c r="O265" i="44"/>
  <c r="AA265" i="44" s="1"/>
  <c r="O266" i="44"/>
  <c r="AA266" i="44" s="1"/>
  <c r="O268" i="44"/>
  <c r="O301" i="44"/>
  <c r="O302" i="44"/>
  <c r="O303" i="44"/>
  <c r="O304" i="44"/>
  <c r="O306" i="44"/>
  <c r="O307" i="44"/>
  <c r="O308" i="44"/>
  <c r="AA308" i="44" s="1"/>
  <c r="O309" i="44"/>
  <c r="O311" i="44"/>
  <c r="O312" i="44"/>
  <c r="O313" i="44"/>
  <c r="O314" i="44"/>
  <c r="O315" i="44"/>
  <c r="O317" i="44"/>
  <c r="O318" i="44"/>
  <c r="O319" i="44"/>
  <c r="O320" i="44"/>
  <c r="O321" i="44"/>
  <c r="O322" i="44"/>
  <c r="O251" i="44"/>
  <c r="X301" i="44"/>
  <c r="X302" i="44"/>
  <c r="O202" i="44"/>
  <c r="X202" i="44"/>
  <c r="X322" i="44"/>
  <c r="X321" i="44"/>
  <c r="AA321" i="44" s="1"/>
  <c r="X320" i="44"/>
  <c r="X319" i="44"/>
  <c r="X318" i="44"/>
  <c r="X317" i="44"/>
  <c r="X316" i="44"/>
  <c r="AA316" i="44" s="1"/>
  <c r="X315" i="44"/>
  <c r="AA315" i="44" s="1"/>
  <c r="X314" i="44"/>
  <c r="X313" i="44"/>
  <c r="AA313" i="44" s="1"/>
  <c r="X312" i="44"/>
  <c r="X311" i="44"/>
  <c r="X310" i="44"/>
  <c r="N310" i="44"/>
  <c r="O310" i="44" s="1"/>
  <c r="AA310" i="44" s="1"/>
  <c r="X309" i="44"/>
  <c r="X307" i="44"/>
  <c r="X306" i="44"/>
  <c r="X304" i="44"/>
  <c r="X303" i="44"/>
  <c r="AA303" i="44" s="1"/>
  <c r="X268" i="44"/>
  <c r="X251" i="44"/>
  <c r="O250" i="44"/>
  <c r="O249" i="44"/>
  <c r="O248" i="44"/>
  <c r="AA248" i="44" s="1"/>
  <c r="O247" i="44"/>
  <c r="X246" i="44"/>
  <c r="O246" i="44"/>
  <c r="O245" i="44"/>
  <c r="AA245" i="44" s="1"/>
  <c r="O244" i="44"/>
  <c r="O243" i="44"/>
  <c r="X242" i="44"/>
  <c r="O242" i="44"/>
  <c r="X241" i="44"/>
  <c r="O241" i="44"/>
  <c r="X240" i="44"/>
  <c r="O240" i="44"/>
  <c r="X239" i="44"/>
  <c r="O239" i="44"/>
  <c r="AA239" i="44" s="1"/>
  <c r="X238" i="44"/>
  <c r="O238" i="44"/>
  <c r="X237" i="44"/>
  <c r="O237" i="44"/>
  <c r="X236" i="44"/>
  <c r="O236" i="44"/>
  <c r="X235" i="44"/>
  <c r="O235" i="44"/>
  <c r="AA235" i="44" s="1"/>
  <c r="X234" i="44"/>
  <c r="O234" i="44"/>
  <c r="X233" i="44"/>
  <c r="O233" i="44"/>
  <c r="X232" i="44"/>
  <c r="O232" i="44"/>
  <c r="O231" i="44"/>
  <c r="X230" i="44"/>
  <c r="O230" i="44"/>
  <c r="X229" i="44"/>
  <c r="O229" i="44"/>
  <c r="X228" i="44"/>
  <c r="O228" i="44"/>
  <c r="X227" i="44"/>
  <c r="O227" i="44"/>
  <c r="X226" i="44"/>
  <c r="O226" i="44"/>
  <c r="X225" i="44"/>
  <c r="O225" i="44"/>
  <c r="X224" i="44"/>
  <c r="O224" i="44"/>
  <c r="X223" i="44"/>
  <c r="O223" i="44"/>
  <c r="X222" i="44"/>
  <c r="O222" i="44"/>
  <c r="X221" i="44"/>
  <c r="O221" i="44"/>
  <c r="X220" i="44"/>
  <c r="O220" i="44"/>
  <c r="X219" i="44"/>
  <c r="O219" i="44"/>
  <c r="O218" i="44"/>
  <c r="O217" i="44"/>
  <c r="O216" i="44"/>
  <c r="O215" i="44"/>
  <c r="O214" i="44"/>
  <c r="O213" i="44"/>
  <c r="X212" i="44"/>
  <c r="O212" i="44"/>
  <c r="O211" i="44"/>
  <c r="AA211" i="44" s="1"/>
  <c r="O210" i="44"/>
  <c r="O209" i="44"/>
  <c r="X208" i="44"/>
  <c r="O208" i="44"/>
  <c r="X207" i="44"/>
  <c r="O207" i="44"/>
  <c r="X206" i="44"/>
  <c r="O206" i="44"/>
  <c r="AA206" i="44" s="1"/>
  <c r="X205" i="44"/>
  <c r="O205" i="44"/>
  <c r="X204" i="44"/>
  <c r="O204" i="44"/>
  <c r="X203" i="44"/>
  <c r="O203" i="44"/>
  <c r="X201" i="44"/>
  <c r="O201" i="44"/>
  <c r="AA201" i="44" s="1"/>
  <c r="X200" i="44"/>
  <c r="O200" i="44"/>
  <c r="X199" i="44"/>
  <c r="O199" i="44"/>
  <c r="X198" i="44"/>
  <c r="O198" i="44"/>
  <c r="X197" i="44"/>
  <c r="O197" i="44"/>
  <c r="AA197" i="44" s="1"/>
  <c r="X196" i="44"/>
  <c r="O196" i="44"/>
  <c r="X195" i="44"/>
  <c r="O195" i="44"/>
  <c r="X194" i="44"/>
  <c r="O194" i="44"/>
  <c r="X193" i="44"/>
  <c r="O193" i="44"/>
  <c r="X192" i="44"/>
  <c r="O192" i="44"/>
  <c r="X191" i="44"/>
  <c r="O191" i="44"/>
  <c r="X190" i="44"/>
  <c r="O190" i="44"/>
  <c r="X189" i="44"/>
  <c r="O189" i="44"/>
  <c r="AA189" i="44" s="1"/>
  <c r="X188" i="44"/>
  <c r="O188" i="44"/>
  <c r="AA188" i="44" s="1"/>
  <c r="X187" i="44"/>
  <c r="O187" i="44"/>
  <c r="X186" i="44"/>
  <c r="O186" i="44"/>
  <c r="O185" i="44"/>
  <c r="X184" i="44"/>
  <c r="O184" i="44"/>
  <c r="X183" i="44"/>
  <c r="O183" i="44"/>
  <c r="X182" i="44"/>
  <c r="O182" i="44"/>
  <c r="X181" i="44"/>
  <c r="O181" i="44"/>
  <c r="X180" i="44"/>
  <c r="O180" i="44"/>
  <c r="X179" i="44"/>
  <c r="O179" i="44"/>
  <c r="X178" i="44"/>
  <c r="O178" i="44"/>
  <c r="X177" i="44"/>
  <c r="O177" i="44"/>
  <c r="X176" i="44"/>
  <c r="O176" i="44"/>
  <c r="X175" i="44"/>
  <c r="O175" i="44"/>
  <c r="X174" i="44"/>
  <c r="O174" i="44"/>
  <c r="X173" i="44"/>
  <c r="O173" i="44"/>
  <c r="X172" i="44"/>
  <c r="O172" i="44"/>
  <c r="X171" i="44"/>
  <c r="O171" i="44"/>
  <c r="X170" i="44"/>
  <c r="O170" i="44"/>
  <c r="X169" i="44"/>
  <c r="O169" i="44"/>
  <c r="X168" i="44"/>
  <c r="O168" i="44"/>
  <c r="X167" i="44"/>
  <c r="O167" i="44"/>
  <c r="X166" i="44"/>
  <c r="O166" i="44"/>
  <c r="X165" i="44"/>
  <c r="O165" i="44"/>
  <c r="X164" i="44"/>
  <c r="O164" i="44"/>
  <c r="X163" i="44"/>
  <c r="O163" i="44"/>
  <c r="X162" i="44"/>
  <c r="O162" i="44"/>
  <c r="X161" i="44"/>
  <c r="O161" i="44"/>
  <c r="X160" i="44"/>
  <c r="O160" i="44"/>
  <c r="X159" i="44"/>
  <c r="O159" i="44"/>
  <c r="X158" i="44"/>
  <c r="O158" i="44"/>
  <c r="X157" i="44"/>
  <c r="O157" i="44"/>
  <c r="X156" i="44"/>
  <c r="O156" i="44"/>
  <c r="X155" i="44"/>
  <c r="O155" i="44"/>
  <c r="X154" i="44"/>
  <c r="O154" i="44"/>
  <c r="X153" i="44"/>
  <c r="O153" i="44"/>
  <c r="X152" i="44"/>
  <c r="O152" i="44"/>
  <c r="X151" i="44"/>
  <c r="O151" i="44"/>
  <c r="X150" i="44"/>
  <c r="AA150" i="44" s="1"/>
  <c r="O150" i="44"/>
  <c r="X149" i="44"/>
  <c r="O149" i="44"/>
  <c r="X148" i="44"/>
  <c r="O148" i="44"/>
  <c r="X147" i="44"/>
  <c r="O147" i="44"/>
  <c r="X146" i="44"/>
  <c r="O146" i="44"/>
  <c r="X145" i="44"/>
  <c r="O145" i="44"/>
  <c r="X144" i="44"/>
  <c r="O144" i="44"/>
  <c r="X143" i="44"/>
  <c r="O143" i="44"/>
  <c r="X142" i="44"/>
  <c r="O142" i="44"/>
  <c r="X141" i="44"/>
  <c r="O141" i="44"/>
  <c r="X140" i="44"/>
  <c r="O140" i="44"/>
  <c r="X139" i="44"/>
  <c r="O139" i="44"/>
  <c r="X138" i="44"/>
  <c r="O138" i="44"/>
  <c r="X137" i="44"/>
  <c r="O137" i="44"/>
  <c r="X136" i="44"/>
  <c r="O136" i="44"/>
  <c r="X135" i="44"/>
  <c r="O135" i="44"/>
  <c r="X134" i="44"/>
  <c r="O134" i="44"/>
  <c r="X133" i="44"/>
  <c r="O133" i="44"/>
  <c r="X132" i="44"/>
  <c r="O132" i="44"/>
  <c r="X131" i="44"/>
  <c r="O131" i="44"/>
  <c r="X130" i="44"/>
  <c r="O130" i="44"/>
  <c r="X129" i="44"/>
  <c r="O129" i="44"/>
  <c r="X128" i="44"/>
  <c r="N128" i="44"/>
  <c r="O128" i="44" s="1"/>
  <c r="X127" i="44"/>
  <c r="N127" i="44"/>
  <c r="O127" i="44" s="1"/>
  <c r="X126" i="44"/>
  <c r="O126" i="44"/>
  <c r="X125" i="44"/>
  <c r="O125" i="44"/>
  <c r="X124" i="44"/>
  <c r="O124" i="44"/>
  <c r="X123" i="44"/>
  <c r="O123" i="44"/>
  <c r="X122" i="44"/>
  <c r="O122" i="44"/>
  <c r="X121" i="44"/>
  <c r="O121" i="44"/>
  <c r="X120" i="44"/>
  <c r="O120" i="44"/>
  <c r="X119" i="44"/>
  <c r="O119" i="44"/>
  <c r="X118" i="44"/>
  <c r="O118" i="44"/>
  <c r="X117" i="44"/>
  <c r="O117" i="44"/>
  <c r="X116" i="44"/>
  <c r="O116" i="44"/>
  <c r="X115" i="44"/>
  <c r="O115" i="44"/>
  <c r="X114" i="44"/>
  <c r="O114" i="44"/>
  <c r="X113" i="44"/>
  <c r="O113" i="44"/>
  <c r="X112" i="44"/>
  <c r="O112" i="44"/>
  <c r="X111" i="44"/>
  <c r="O111" i="44"/>
  <c r="X110" i="44"/>
  <c r="O110" i="44"/>
  <c r="X109" i="44"/>
  <c r="O109" i="44"/>
  <c r="X108" i="44"/>
  <c r="O108" i="44"/>
  <c r="X107" i="44"/>
  <c r="O107" i="44"/>
  <c r="X106" i="44"/>
  <c r="O106" i="44"/>
  <c r="X105" i="44"/>
  <c r="O105" i="44"/>
  <c r="AA105" i="44" s="1"/>
  <c r="X104" i="44"/>
  <c r="O104" i="44"/>
  <c r="X103" i="44"/>
  <c r="O103" i="44"/>
  <c r="X102" i="44"/>
  <c r="O102" i="44"/>
  <c r="X101" i="44"/>
  <c r="O101" i="44"/>
  <c r="X100" i="44"/>
  <c r="O100" i="44"/>
  <c r="X99" i="44"/>
  <c r="O99" i="44"/>
  <c r="X98" i="44"/>
  <c r="O98" i="44"/>
  <c r="X97" i="44"/>
  <c r="O97" i="44"/>
  <c r="X96" i="44"/>
  <c r="O96" i="44"/>
  <c r="X95" i="44"/>
  <c r="O95" i="44"/>
  <c r="X94" i="44"/>
  <c r="O94" i="44"/>
  <c r="X93" i="44"/>
  <c r="O93" i="44"/>
  <c r="X92" i="44"/>
  <c r="O92" i="44"/>
  <c r="X91" i="44"/>
  <c r="O91" i="44"/>
  <c r="X90" i="44"/>
  <c r="O90" i="44"/>
  <c r="X89" i="44"/>
  <c r="O89" i="44"/>
  <c r="X88" i="44"/>
  <c r="O88" i="44"/>
  <c r="X87" i="44"/>
  <c r="O87" i="44"/>
  <c r="X86" i="44"/>
  <c r="T86" i="44"/>
  <c r="O86" i="44"/>
  <c r="X85" i="44"/>
  <c r="O85" i="44"/>
  <c r="X84" i="44"/>
  <c r="O84" i="44"/>
  <c r="X83" i="44"/>
  <c r="O83" i="44"/>
  <c r="X82" i="44"/>
  <c r="O82" i="44"/>
  <c r="X81" i="44"/>
  <c r="N81" i="44"/>
  <c r="O81" i="44" s="1"/>
  <c r="X80" i="44"/>
  <c r="O80" i="44"/>
  <c r="X79" i="44"/>
  <c r="O79" i="44"/>
  <c r="X78" i="44"/>
  <c r="O78" i="44"/>
  <c r="X77" i="44"/>
  <c r="O77" i="44"/>
  <c r="X76" i="44"/>
  <c r="O76" i="44"/>
  <c r="X75" i="44"/>
  <c r="O75" i="44"/>
  <c r="X74" i="44"/>
  <c r="O74" i="44"/>
  <c r="X73" i="44"/>
  <c r="O73" i="44"/>
  <c r="X72" i="44"/>
  <c r="O72" i="44"/>
  <c r="X71" i="44"/>
  <c r="O71" i="44"/>
  <c r="X70" i="44"/>
  <c r="O70" i="44"/>
  <c r="X69" i="44"/>
  <c r="O69" i="44"/>
  <c r="X68" i="44"/>
  <c r="O68" i="44"/>
  <c r="X67" i="44"/>
  <c r="O67" i="44"/>
  <c r="X66" i="44"/>
  <c r="O66" i="44"/>
  <c r="X65" i="44"/>
  <c r="O65" i="44"/>
  <c r="X64" i="44"/>
  <c r="O64" i="44"/>
  <c r="X63" i="44"/>
  <c r="O63" i="44"/>
  <c r="X62" i="44"/>
  <c r="O62" i="44"/>
  <c r="X61" i="44"/>
  <c r="O61" i="44"/>
  <c r="X60" i="44"/>
  <c r="O60" i="44"/>
  <c r="X59" i="44"/>
  <c r="O59" i="44"/>
  <c r="X58" i="44"/>
  <c r="O58" i="44"/>
  <c r="X57" i="44"/>
  <c r="O57" i="44"/>
  <c r="X56" i="44"/>
  <c r="O56" i="44"/>
  <c r="X55" i="44"/>
  <c r="O55" i="44"/>
  <c r="X54" i="44"/>
  <c r="O54" i="44"/>
  <c r="X53" i="44"/>
  <c r="O53" i="44"/>
  <c r="X52" i="44"/>
  <c r="O52" i="44"/>
  <c r="X51" i="44"/>
  <c r="O51" i="44"/>
  <c r="X50" i="44"/>
  <c r="O50" i="44"/>
  <c r="X49" i="44"/>
  <c r="O49" i="44"/>
  <c r="X48" i="44"/>
  <c r="O48" i="44"/>
  <c r="X47" i="44"/>
  <c r="O47" i="44"/>
  <c r="X46" i="44"/>
  <c r="O46" i="44"/>
  <c r="X45" i="44"/>
  <c r="O45" i="44"/>
  <c r="O44" i="44"/>
  <c r="O43" i="44"/>
  <c r="X42" i="44"/>
  <c r="O42" i="44"/>
  <c r="X41" i="44"/>
  <c r="O41" i="44"/>
  <c r="X40" i="44"/>
  <c r="O40" i="44"/>
  <c r="X39" i="44"/>
  <c r="O39" i="44"/>
  <c r="X38" i="44"/>
  <c r="O38" i="44"/>
  <c r="X37" i="44"/>
  <c r="O37" i="44"/>
  <c r="X36" i="44"/>
  <c r="O36" i="44"/>
  <c r="X35" i="44"/>
  <c r="O35" i="44"/>
  <c r="X34" i="44"/>
  <c r="O34" i="44"/>
  <c r="AA33" i="44"/>
  <c r="X32" i="44"/>
  <c r="O32" i="44"/>
  <c r="X31" i="44"/>
  <c r="O31" i="44"/>
  <c r="X30" i="44"/>
  <c r="O30" i="44"/>
  <c r="X29" i="44"/>
  <c r="O29" i="44"/>
  <c r="X28" i="44"/>
  <c r="O28" i="44"/>
  <c r="X27" i="44"/>
  <c r="O27" i="44"/>
  <c r="X26" i="44"/>
  <c r="O26" i="44"/>
  <c r="X25" i="44"/>
  <c r="O25" i="44"/>
  <c r="X24" i="44"/>
  <c r="O24" i="44"/>
  <c r="X23" i="44"/>
  <c r="O23" i="44"/>
  <c r="X22" i="44"/>
  <c r="O22" i="44"/>
  <c r="X21" i="44"/>
  <c r="O21" i="44"/>
  <c r="X20" i="44"/>
  <c r="O20" i="44"/>
  <c r="X19" i="44"/>
  <c r="O19" i="44"/>
  <c r="X18" i="44"/>
  <c r="O18" i="44"/>
  <c r="X17" i="44"/>
  <c r="O17" i="44"/>
  <c r="X16" i="44"/>
  <c r="O16" i="44"/>
  <c r="X15" i="44"/>
  <c r="O15" i="44"/>
  <c r="X14" i="44"/>
  <c r="O14" i="44"/>
  <c r="X13" i="44"/>
  <c r="N13" i="44"/>
  <c r="O13" i="44" s="1"/>
  <c r="X12" i="44"/>
  <c r="O12" i="44"/>
  <c r="X11" i="44"/>
  <c r="O11" i="44"/>
  <c r="X10" i="44"/>
  <c r="O10" i="44"/>
  <c r="X9" i="44"/>
  <c r="AA9" i="44" s="1"/>
  <c r="X8" i="44"/>
  <c r="O8" i="44"/>
  <c r="X7" i="44"/>
  <c r="O7" i="44"/>
  <c r="X6" i="44"/>
  <c r="O6" i="44"/>
  <c r="X5" i="44"/>
  <c r="O5" i="44"/>
  <c r="X4" i="44"/>
  <c r="O4" i="44"/>
  <c r="X3" i="44"/>
  <c r="O3" i="44"/>
  <c r="O94" i="2"/>
  <c r="W94" i="2"/>
  <c r="AA255" i="44"/>
  <c r="O247" i="2"/>
  <c r="W247" i="2"/>
  <c r="W257" i="2"/>
  <c r="O257" i="2"/>
  <c r="W256" i="2"/>
  <c r="O256" i="2"/>
  <c r="W255" i="2"/>
  <c r="O255" i="2"/>
  <c r="W254" i="2"/>
  <c r="O254" i="2"/>
  <c r="W253" i="2"/>
  <c r="O253" i="2"/>
  <c r="W252" i="2"/>
  <c r="O252" i="2"/>
  <c r="W251" i="2"/>
  <c r="O251" i="2"/>
  <c r="W250" i="2"/>
  <c r="O250" i="2"/>
  <c r="W249" i="2"/>
  <c r="O249" i="2"/>
  <c r="W248" i="2"/>
  <c r="O248" i="2"/>
  <c r="W246" i="2"/>
  <c r="O246" i="2"/>
  <c r="W245" i="2"/>
  <c r="O245" i="2"/>
  <c r="W234" i="2"/>
  <c r="O234" i="2"/>
  <c r="W233" i="2"/>
  <c r="O233" i="2"/>
  <c r="W232" i="2"/>
  <c r="O232" i="2"/>
  <c r="W231" i="2"/>
  <c r="O231" i="2"/>
  <c r="W230" i="2"/>
  <c r="O230" i="2"/>
  <c r="W229" i="2"/>
  <c r="O229" i="2"/>
  <c r="W228" i="2"/>
  <c r="O228" i="2"/>
  <c r="W227" i="2"/>
  <c r="O227" i="2"/>
  <c r="W226" i="2"/>
  <c r="O226" i="2"/>
  <c r="W259" i="2"/>
  <c r="O259" i="2"/>
  <c r="W258" i="2"/>
  <c r="O258" i="2"/>
  <c r="W244" i="2"/>
  <c r="O244" i="2"/>
  <c r="W243" i="2"/>
  <c r="O243" i="2"/>
  <c r="Z243" i="2" s="1"/>
  <c r="W242" i="2"/>
  <c r="O242" i="2"/>
  <c r="W241" i="2"/>
  <c r="O241" i="2"/>
  <c r="W240" i="2"/>
  <c r="O240" i="2"/>
  <c r="W239" i="2"/>
  <c r="O239" i="2"/>
  <c r="W238" i="2"/>
  <c r="O238" i="2"/>
  <c r="W237" i="2"/>
  <c r="O237" i="2"/>
  <c r="W236" i="2"/>
  <c r="O236" i="2"/>
  <c r="W235" i="2"/>
  <c r="O235" i="2"/>
  <c r="O95" i="2"/>
  <c r="W95" i="2"/>
  <c r="W264" i="2"/>
  <c r="O264" i="2"/>
  <c r="W263" i="2"/>
  <c r="O263" i="2"/>
  <c r="W262" i="2"/>
  <c r="O262" i="2"/>
  <c r="W261" i="2"/>
  <c r="O261" i="2"/>
  <c r="Z261" i="2" s="1"/>
  <c r="W260" i="2"/>
  <c r="O260" i="2"/>
  <c r="W225" i="2"/>
  <c r="O225" i="2"/>
  <c r="W224" i="2"/>
  <c r="O224" i="2"/>
  <c r="W223" i="2"/>
  <c r="O223" i="2"/>
  <c r="W222" i="2"/>
  <c r="O222" i="2"/>
  <c r="W221" i="2"/>
  <c r="O221" i="2"/>
  <c r="W220" i="2"/>
  <c r="O220" i="2"/>
  <c r="W219" i="2"/>
  <c r="O219" i="2"/>
  <c r="W218" i="2"/>
  <c r="O218" i="2"/>
  <c r="W217" i="2"/>
  <c r="O217" i="2"/>
  <c r="W216" i="2"/>
  <c r="O216" i="2"/>
  <c r="W215" i="2"/>
  <c r="O215" i="2"/>
  <c r="W214" i="2"/>
  <c r="O214" i="2"/>
  <c r="W213" i="2"/>
  <c r="O213" i="2"/>
  <c r="W212" i="2"/>
  <c r="O212" i="2"/>
  <c r="W211" i="2"/>
  <c r="O211" i="2"/>
  <c r="W210" i="2"/>
  <c r="O210" i="2"/>
  <c r="W209" i="2"/>
  <c r="O209" i="2"/>
  <c r="W208" i="2"/>
  <c r="O208" i="2"/>
  <c r="W207" i="2"/>
  <c r="O207" i="2"/>
  <c r="V289" i="2"/>
  <c r="W164" i="2"/>
  <c r="W163" i="2"/>
  <c r="W161" i="2"/>
  <c r="W170" i="2"/>
  <c r="W199" i="2"/>
  <c r="S86" i="2"/>
  <c r="W288" i="2"/>
  <c r="W287" i="2"/>
  <c r="W286" i="2"/>
  <c r="W285" i="2"/>
  <c r="W284" i="2"/>
  <c r="O284" i="2"/>
  <c r="W267" i="2"/>
  <c r="O267" i="2"/>
  <c r="Z267" i="2" s="1"/>
  <c r="W266" i="2"/>
  <c r="O266" i="2"/>
  <c r="W265" i="2"/>
  <c r="O265" i="2"/>
  <c r="W206" i="2"/>
  <c r="O206" i="2"/>
  <c r="O202" i="2"/>
  <c r="W202" i="2"/>
  <c r="O205" i="2"/>
  <c r="W205" i="2"/>
  <c r="O203" i="2"/>
  <c r="W203" i="2"/>
  <c r="W204" i="2"/>
  <c r="O204" i="2"/>
  <c r="Z204" i="2" s="1"/>
  <c r="W201" i="2"/>
  <c r="O201" i="2"/>
  <c r="W200" i="2"/>
  <c r="O200" i="2"/>
  <c r="O199" i="2"/>
  <c r="O180" i="2"/>
  <c r="W180" i="2"/>
  <c r="O197" i="2"/>
  <c r="O198" i="2"/>
  <c r="O196" i="2"/>
  <c r="W196" i="2"/>
  <c r="W195" i="2"/>
  <c r="O195" i="2"/>
  <c r="W194" i="2"/>
  <c r="O194" i="2"/>
  <c r="W193" i="2"/>
  <c r="O193" i="2"/>
  <c r="W192" i="2"/>
  <c r="O192" i="2"/>
  <c r="W191" i="2"/>
  <c r="O191" i="2"/>
  <c r="O56" i="2"/>
  <c r="W56" i="2"/>
  <c r="O154" i="2"/>
  <c r="W154" i="2"/>
  <c r="O185" i="2"/>
  <c r="W190" i="2"/>
  <c r="O190" i="2"/>
  <c r="W189" i="2"/>
  <c r="O189" i="2"/>
  <c r="W188" i="2"/>
  <c r="O188" i="2"/>
  <c r="W187" i="2"/>
  <c r="O187" i="2"/>
  <c r="Z187" i="2" s="1"/>
  <c r="W186" i="2"/>
  <c r="O186" i="2"/>
  <c r="W185" i="2"/>
  <c r="W184" i="2"/>
  <c r="O184" i="2"/>
  <c r="W183" i="2"/>
  <c r="O183" i="2"/>
  <c r="O92" i="2"/>
  <c r="W92" i="2"/>
  <c r="O86" i="2"/>
  <c r="W86" i="2"/>
  <c r="W197" i="2"/>
  <c r="W182" i="2"/>
  <c r="O182" i="2"/>
  <c r="W181" i="2"/>
  <c r="O181" i="2"/>
  <c r="W179" i="2"/>
  <c r="O179" i="2"/>
  <c r="W178" i="2"/>
  <c r="O178" i="2"/>
  <c r="W177" i="2"/>
  <c r="O177" i="2"/>
  <c r="W176" i="2"/>
  <c r="O176" i="2"/>
  <c r="W175" i="2"/>
  <c r="O175" i="2"/>
  <c r="W174" i="2"/>
  <c r="O174" i="2"/>
  <c r="N275" i="2"/>
  <c r="O275" i="2" s="1"/>
  <c r="O76" i="2"/>
  <c r="O55" i="2"/>
  <c r="W55" i="2"/>
  <c r="O144" i="2"/>
  <c r="W144" i="2"/>
  <c r="O145" i="2"/>
  <c r="W145" i="2"/>
  <c r="O163" i="2"/>
  <c r="W162" i="2"/>
  <c r="O162" i="2"/>
  <c r="O161" i="2"/>
  <c r="W160" i="2"/>
  <c r="O160" i="2"/>
  <c r="W159" i="2"/>
  <c r="O159" i="2"/>
  <c r="W172" i="2"/>
  <c r="O172" i="2"/>
  <c r="W171" i="2"/>
  <c r="O171" i="2"/>
  <c r="O170" i="2"/>
  <c r="Z170" i="2" s="1"/>
  <c r="W169" i="2"/>
  <c r="O169" i="2"/>
  <c r="W168" i="2"/>
  <c r="O168" i="2"/>
  <c r="W167" i="2"/>
  <c r="O167" i="2"/>
  <c r="W166" i="2"/>
  <c r="O166" i="2"/>
  <c r="W165" i="2"/>
  <c r="O165" i="2"/>
  <c r="O164" i="2"/>
  <c r="W278" i="2"/>
  <c r="O278" i="2"/>
  <c r="O273" i="2"/>
  <c r="Z273" i="2" s="1"/>
  <c r="W113" i="2"/>
  <c r="O113" i="2"/>
  <c r="W283" i="2"/>
  <c r="O283" i="2"/>
  <c r="O141" i="2"/>
  <c r="W141" i="2"/>
  <c r="N127" i="2"/>
  <c r="O127" i="2" s="1"/>
  <c r="N128" i="2"/>
  <c r="O128" i="2" s="1"/>
  <c r="W151" i="2"/>
  <c r="W152" i="2"/>
  <c r="W153" i="2"/>
  <c r="W155" i="2"/>
  <c r="W156" i="2"/>
  <c r="W157" i="2"/>
  <c r="O146" i="2"/>
  <c r="W146" i="2"/>
  <c r="W279" i="2"/>
  <c r="O279" i="2"/>
  <c r="O140" i="2"/>
  <c r="W140" i="2"/>
  <c r="W277" i="2"/>
  <c r="O277" i="2"/>
  <c r="W282" i="2"/>
  <c r="O282" i="2"/>
  <c r="W281" i="2"/>
  <c r="Z281" i="2" s="1"/>
  <c r="W280" i="2"/>
  <c r="O280" i="2"/>
  <c r="Z280" i="2" s="1"/>
  <c r="O288" i="2"/>
  <c r="O287" i="2"/>
  <c r="O286" i="2"/>
  <c r="O285" i="2"/>
  <c r="W147" i="2"/>
  <c r="O147" i="2"/>
  <c r="O155" i="2"/>
  <c r="O153" i="2"/>
  <c r="O152" i="2"/>
  <c r="O151" i="2"/>
  <c r="W150" i="2"/>
  <c r="O150" i="2"/>
  <c r="W149" i="2"/>
  <c r="O149" i="2"/>
  <c r="W148" i="2"/>
  <c r="O148" i="2"/>
  <c r="Z148" i="2" s="1"/>
  <c r="W173" i="2"/>
  <c r="O173" i="2"/>
  <c r="W158" i="2"/>
  <c r="O158" i="2"/>
  <c r="O157" i="2"/>
  <c r="O156" i="2"/>
  <c r="O112" i="2"/>
  <c r="O111" i="2"/>
  <c r="W112" i="2"/>
  <c r="W111" i="2"/>
  <c r="O137" i="2"/>
  <c r="O136" i="2"/>
  <c r="O135" i="2"/>
  <c r="O134" i="2"/>
  <c r="Z134" i="2" s="1"/>
  <c r="O133" i="2"/>
  <c r="O132" i="2"/>
  <c r="W137" i="2"/>
  <c r="W136" i="2"/>
  <c r="W135" i="2"/>
  <c r="W134" i="2"/>
  <c r="W133" i="2"/>
  <c r="W132" i="2"/>
  <c r="W139" i="2"/>
  <c r="O139" i="2"/>
  <c r="Z139" i="2" s="1"/>
  <c r="W138" i="2"/>
  <c r="O138" i="2"/>
  <c r="O129" i="2"/>
  <c r="W128" i="2"/>
  <c r="W127" i="2"/>
  <c r="W126" i="2"/>
  <c r="W125" i="2"/>
  <c r="O126" i="2"/>
  <c r="O125" i="2"/>
  <c r="W129" i="2"/>
  <c r="O130" i="2"/>
  <c r="W130" i="2"/>
  <c r="O124" i="2"/>
  <c r="O123" i="2"/>
  <c r="O122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W124" i="2"/>
  <c r="W123" i="2"/>
  <c r="W122" i="2"/>
  <c r="W198" i="2"/>
  <c r="O143" i="2"/>
  <c r="W143" i="2"/>
  <c r="O142" i="2"/>
  <c r="W142" i="2"/>
  <c r="O131" i="2"/>
  <c r="W131" i="2"/>
  <c r="O89" i="2"/>
  <c r="W89" i="2"/>
  <c r="O77" i="2"/>
  <c r="W77" i="2"/>
  <c r="W276" i="2"/>
  <c r="O276" i="2"/>
  <c r="W275" i="2"/>
  <c r="W274" i="2"/>
  <c r="O274" i="2"/>
  <c r="W272" i="2"/>
  <c r="O272" i="2"/>
  <c r="W271" i="2"/>
  <c r="O271" i="2"/>
  <c r="Z270" i="2"/>
  <c r="W269" i="2"/>
  <c r="O269" i="2"/>
  <c r="W268" i="2"/>
  <c r="O268" i="2"/>
  <c r="W121" i="2"/>
  <c r="O121" i="2"/>
  <c r="W120" i="2"/>
  <c r="O120" i="2"/>
  <c r="W119" i="2"/>
  <c r="O119" i="2"/>
  <c r="W118" i="2"/>
  <c r="O118" i="2"/>
  <c r="W117" i="2"/>
  <c r="O117" i="2"/>
  <c r="W116" i="2"/>
  <c r="O116" i="2"/>
  <c r="W115" i="2"/>
  <c r="O115" i="2"/>
  <c r="W114" i="2"/>
  <c r="O114" i="2"/>
  <c r="W110" i="2"/>
  <c r="O110" i="2"/>
  <c r="W109" i="2"/>
  <c r="O109" i="2"/>
  <c r="W108" i="2"/>
  <c r="O108" i="2"/>
  <c r="W107" i="2"/>
  <c r="O107" i="2"/>
  <c r="W106" i="2"/>
  <c r="O106" i="2"/>
  <c r="W105" i="2"/>
  <c r="O105" i="2"/>
  <c r="W104" i="2"/>
  <c r="O104" i="2"/>
  <c r="W103" i="2"/>
  <c r="O103" i="2"/>
  <c r="W102" i="2"/>
  <c r="O102" i="2"/>
  <c r="W101" i="2"/>
  <c r="O101" i="2"/>
  <c r="W100" i="2"/>
  <c r="O100" i="2"/>
  <c r="W99" i="2"/>
  <c r="O99" i="2"/>
  <c r="W98" i="2"/>
  <c r="O98" i="2"/>
  <c r="W97" i="2"/>
  <c r="O97" i="2"/>
  <c r="W96" i="2"/>
  <c r="O96" i="2"/>
  <c r="W93" i="2"/>
  <c r="O93" i="2"/>
  <c r="W91" i="2"/>
  <c r="O91" i="2"/>
  <c r="W90" i="2"/>
  <c r="O90" i="2"/>
  <c r="W88" i="2"/>
  <c r="O88" i="2"/>
  <c r="W87" i="2"/>
  <c r="O87" i="2"/>
  <c r="W85" i="2"/>
  <c r="O85" i="2"/>
  <c r="Z85" i="2" s="1"/>
  <c r="W84" i="2"/>
  <c r="O84" i="2"/>
  <c r="W83" i="2"/>
  <c r="O83" i="2"/>
  <c r="W82" i="2"/>
  <c r="O82" i="2"/>
  <c r="W81" i="2"/>
  <c r="N81" i="2"/>
  <c r="O81" i="2" s="1"/>
  <c r="W80" i="2"/>
  <c r="O80" i="2"/>
  <c r="W79" i="2"/>
  <c r="O79" i="2"/>
  <c r="W78" i="2"/>
  <c r="O78" i="2"/>
  <c r="W76" i="2"/>
  <c r="W75" i="2"/>
  <c r="O75" i="2"/>
  <c r="W74" i="2"/>
  <c r="O74" i="2"/>
  <c r="W73" i="2"/>
  <c r="O73" i="2"/>
  <c r="W72" i="2"/>
  <c r="O72" i="2"/>
  <c r="W71" i="2"/>
  <c r="O71" i="2"/>
  <c r="W70" i="2"/>
  <c r="O70" i="2"/>
  <c r="W69" i="2"/>
  <c r="O69" i="2"/>
  <c r="W68" i="2"/>
  <c r="O68" i="2"/>
  <c r="W67" i="2"/>
  <c r="O67" i="2"/>
  <c r="W66" i="2"/>
  <c r="O66" i="2"/>
  <c r="W65" i="2"/>
  <c r="O65" i="2"/>
  <c r="W64" i="2"/>
  <c r="O64" i="2"/>
  <c r="W63" i="2"/>
  <c r="O63" i="2"/>
  <c r="W62" i="2"/>
  <c r="O62" i="2"/>
  <c r="W61" i="2"/>
  <c r="O61" i="2"/>
  <c r="W60" i="2"/>
  <c r="O60" i="2"/>
  <c r="W59" i="2"/>
  <c r="O59" i="2"/>
  <c r="W58" i="2"/>
  <c r="O58" i="2"/>
  <c r="W57" i="2"/>
  <c r="O57" i="2"/>
  <c r="W54" i="2"/>
  <c r="O54" i="2"/>
  <c r="W53" i="2"/>
  <c r="O53" i="2"/>
  <c r="W52" i="2"/>
  <c r="O52" i="2"/>
  <c r="W51" i="2"/>
  <c r="O51" i="2"/>
  <c r="W50" i="2"/>
  <c r="O50" i="2"/>
  <c r="W49" i="2"/>
  <c r="O49" i="2"/>
  <c r="W48" i="2"/>
  <c r="O48" i="2"/>
  <c r="W47" i="2"/>
  <c r="O47" i="2"/>
  <c r="W46" i="2"/>
  <c r="O46" i="2"/>
  <c r="W45" i="2"/>
  <c r="O45" i="2"/>
  <c r="W44" i="2"/>
  <c r="O44" i="2"/>
  <c r="W43" i="2"/>
  <c r="O43" i="2"/>
  <c r="W42" i="2"/>
  <c r="O42" i="2"/>
  <c r="W41" i="2"/>
  <c r="O41" i="2"/>
  <c r="W40" i="2"/>
  <c r="O40" i="2"/>
  <c r="W39" i="2"/>
  <c r="O39" i="2"/>
  <c r="W38" i="2"/>
  <c r="O38" i="2"/>
  <c r="W37" i="2"/>
  <c r="O37" i="2"/>
  <c r="W36" i="2"/>
  <c r="O36" i="2"/>
  <c r="W35" i="2"/>
  <c r="O35" i="2"/>
  <c r="W34" i="2"/>
  <c r="O34" i="2"/>
  <c r="W32" i="2"/>
  <c r="O32" i="2"/>
  <c r="W31" i="2"/>
  <c r="O31" i="2"/>
  <c r="W30" i="2"/>
  <c r="O30" i="2"/>
  <c r="W29" i="2"/>
  <c r="O29" i="2"/>
  <c r="W28" i="2"/>
  <c r="O28" i="2"/>
  <c r="W27" i="2"/>
  <c r="O27" i="2"/>
  <c r="W26" i="2"/>
  <c r="O26" i="2"/>
  <c r="W25" i="2"/>
  <c r="O25" i="2"/>
  <c r="W24" i="2"/>
  <c r="O24" i="2"/>
  <c r="W23" i="2"/>
  <c r="O23" i="2"/>
  <c r="W22" i="2"/>
  <c r="O22" i="2"/>
  <c r="W21" i="2"/>
  <c r="O21" i="2"/>
  <c r="W20" i="2"/>
  <c r="O20" i="2"/>
  <c r="W19" i="2"/>
  <c r="O19" i="2"/>
  <c r="W18" i="2"/>
  <c r="O18" i="2"/>
  <c r="W17" i="2"/>
  <c r="O17" i="2"/>
  <c r="W16" i="2"/>
  <c r="O16" i="2"/>
  <c r="W15" i="2"/>
  <c r="O15" i="2"/>
  <c r="W14" i="2"/>
  <c r="O14" i="2"/>
  <c r="W13" i="2"/>
  <c r="N13" i="2"/>
  <c r="O13" i="2" s="1"/>
  <c r="W12" i="2"/>
  <c r="O12" i="2"/>
  <c r="W11" i="2"/>
  <c r="O11" i="2"/>
  <c r="W10" i="2"/>
  <c r="O10" i="2"/>
  <c r="W9" i="2"/>
  <c r="Z9" i="2" s="1"/>
  <c r="W8" i="2"/>
  <c r="O8" i="2"/>
  <c r="W7" i="2"/>
  <c r="O7" i="2"/>
  <c r="W6" i="2"/>
  <c r="O6" i="2"/>
  <c r="W5" i="2"/>
  <c r="O5" i="2"/>
  <c r="W4" i="2"/>
  <c r="O4" i="2"/>
  <c r="Z4" i="2" s="1"/>
  <c r="W3" i="2"/>
  <c r="O3" i="2"/>
  <c r="Z33" i="2"/>
  <c r="A319" i="44"/>
  <c r="A320" i="44" s="1"/>
  <c r="A321" i="44" s="1"/>
  <c r="A322" i="44" s="1"/>
  <c r="AA137" i="44"/>
  <c r="AA89" i="44"/>
  <c r="AA212" i="44"/>
  <c r="AA240" i="44"/>
  <c r="AA295" i="44"/>
  <c r="AA284" i="44"/>
  <c r="AA288" i="44"/>
  <c r="AA292" i="44"/>
  <c r="AA82" i="44"/>
  <c r="Z272" i="2" l="1"/>
  <c r="AA238" i="44"/>
  <c r="AA268" i="44"/>
  <c r="Z223" i="2"/>
  <c r="AA49" i="44"/>
  <c r="AA185" i="44"/>
  <c r="AA219" i="44"/>
  <c r="AA213" i="44"/>
  <c r="AA247" i="44"/>
  <c r="Z224" i="2"/>
  <c r="AA314" i="44"/>
  <c r="Z112" i="2"/>
  <c r="Z288" i="2"/>
  <c r="AA103" i="44"/>
  <c r="AA131" i="44"/>
  <c r="AA159" i="44"/>
  <c r="AA225" i="44"/>
  <c r="Z283" i="2"/>
  <c r="Z165" i="2"/>
  <c r="Z185" i="2"/>
  <c r="AA275" i="44"/>
  <c r="Z94" i="2"/>
  <c r="AA6" i="44"/>
  <c r="AA35" i="44"/>
  <c r="AA39" i="44"/>
  <c r="AA48" i="44"/>
  <c r="AA52" i="44"/>
  <c r="AA56" i="44"/>
  <c r="AA68" i="44"/>
  <c r="AA72" i="44"/>
  <c r="AA76" i="44"/>
  <c r="AA84" i="44"/>
  <c r="AA192" i="44"/>
  <c r="AA202" i="44"/>
  <c r="Z122" i="2"/>
  <c r="Z278" i="2"/>
  <c r="Z172" i="2"/>
  <c r="Z177" i="2"/>
  <c r="Z182" i="2"/>
  <c r="Z206" i="2"/>
  <c r="Z279" i="2"/>
  <c r="Z219" i="2"/>
  <c r="Z238" i="2"/>
  <c r="Z242" i="2"/>
  <c r="Z259" i="2"/>
  <c r="Z229" i="2"/>
  <c r="Z233" i="2"/>
  <c r="Z248" i="2"/>
  <c r="Z252" i="2"/>
  <c r="Z256" i="2"/>
  <c r="AA11" i="44"/>
  <c r="AA88" i="44"/>
  <c r="AA92" i="44"/>
  <c r="AA96" i="44"/>
  <c r="AA100" i="44"/>
  <c r="AA104" i="44"/>
  <c r="AA108" i="44"/>
  <c r="AA293" i="44"/>
  <c r="AA34" i="44"/>
  <c r="Z159" i="2"/>
  <c r="AA5" i="44"/>
  <c r="AA55" i="44"/>
  <c r="AA63" i="44"/>
  <c r="AA112" i="44"/>
  <c r="AA116" i="44"/>
  <c r="AA120" i="44"/>
  <c r="AA124" i="44"/>
  <c r="AA128" i="44"/>
  <c r="AA132" i="44"/>
  <c r="AA136" i="44"/>
  <c r="AA140" i="44"/>
  <c r="AA144" i="44"/>
  <c r="AA148" i="44"/>
  <c r="AA152" i="44"/>
  <c r="AA156" i="44"/>
  <c r="AA160" i="44"/>
  <c r="AA164" i="44"/>
  <c r="AA168" i="44"/>
  <c r="AA172" i="44"/>
  <c r="AA176" i="44"/>
  <c r="AA180" i="44"/>
  <c r="AA184" i="44"/>
  <c r="AA302" i="44"/>
  <c r="AA38" i="44"/>
  <c r="AA51" i="44"/>
  <c r="AA59" i="44"/>
  <c r="AA79" i="44"/>
  <c r="AA208" i="44"/>
  <c r="AA216" i="44"/>
  <c r="Z156" i="2"/>
  <c r="Z188" i="2"/>
  <c r="AA223" i="44"/>
  <c r="AA227" i="44"/>
  <c r="AA47" i="44"/>
  <c r="AA191" i="44"/>
  <c r="Z153" i="2"/>
  <c r="Z10" i="2"/>
  <c r="Z14" i="2"/>
  <c r="Z18" i="2"/>
  <c r="Z22" i="2"/>
  <c r="Z26" i="2"/>
  <c r="Z30" i="2"/>
  <c r="Z35" i="2"/>
  <c r="Z39" i="2"/>
  <c r="Z169" i="2"/>
  <c r="Z251" i="2"/>
  <c r="Z246" i="2"/>
  <c r="AA271" i="44"/>
  <c r="Z255" i="2"/>
  <c r="AA139" i="44"/>
  <c r="AA175" i="44"/>
  <c r="AA209" i="44"/>
  <c r="AA87" i="44"/>
  <c r="Z133" i="2"/>
  <c r="Z6" i="2"/>
  <c r="Z174" i="2"/>
  <c r="Z178" i="2"/>
  <c r="Z189" i="2"/>
  <c r="AA10" i="44"/>
  <c r="AA14" i="44"/>
  <c r="AA297" i="44"/>
  <c r="AA218" i="44"/>
  <c r="AA307" i="44"/>
  <c r="Z17" i="2"/>
  <c r="Z21" i="2"/>
  <c r="Z25" i="2"/>
  <c r="Z29" i="2"/>
  <c r="Z34" i="2"/>
  <c r="Z38" i="2"/>
  <c r="Z42" i="2"/>
  <c r="Z50" i="2"/>
  <c r="Z54" i="2"/>
  <c r="Z60" i="2"/>
  <c r="Z64" i="2"/>
  <c r="Z68" i="2"/>
  <c r="AA319" i="44"/>
  <c r="Z286" i="2"/>
  <c r="Z145" i="2"/>
  <c r="Z163" i="2"/>
  <c r="Z125" i="2"/>
  <c r="Z191" i="2"/>
  <c r="Z195" i="2"/>
  <c r="Z113" i="2"/>
  <c r="Z166" i="2"/>
  <c r="Z144" i="2"/>
  <c r="Z179" i="2"/>
  <c r="Z192" i="2"/>
  <c r="Z196" i="2"/>
  <c r="Z200" i="2"/>
  <c r="Z205" i="2"/>
  <c r="Z266" i="2"/>
  <c r="Z211" i="2"/>
  <c r="Z215" i="2"/>
  <c r="Z95" i="2"/>
  <c r="AA286" i="44"/>
  <c r="AA290" i="44"/>
  <c r="Z171" i="2"/>
  <c r="Z55" i="2"/>
  <c r="Z176" i="2"/>
  <c r="Z127" i="2"/>
  <c r="Z76" i="2"/>
  <c r="Z236" i="2"/>
  <c r="Z244" i="2"/>
  <c r="AA13" i="44"/>
  <c r="AA17" i="44"/>
  <c r="AA21" i="44"/>
  <c r="AA25" i="44"/>
  <c r="AA29" i="44"/>
  <c r="AA102" i="44"/>
  <c r="AA114" i="44"/>
  <c r="AA126" i="44"/>
  <c r="AA130" i="44"/>
  <c r="AA134" i="44"/>
  <c r="AA138" i="44"/>
  <c r="AA142" i="44"/>
  <c r="AA146" i="44"/>
  <c r="AA154" i="44"/>
  <c r="AA158" i="44"/>
  <c r="AA162" i="44"/>
  <c r="AA166" i="44"/>
  <c r="AA170" i="44"/>
  <c r="AA174" i="44"/>
  <c r="AA178" i="44"/>
  <c r="AA182" i="44"/>
  <c r="AA220" i="44"/>
  <c r="AA224" i="44"/>
  <c r="AA228" i="44"/>
  <c r="AA312" i="44"/>
  <c r="Z49" i="2"/>
  <c r="Z91" i="2"/>
  <c r="Z149" i="2"/>
  <c r="Z147" i="2"/>
  <c r="AA7" i="44"/>
  <c r="AA12" i="44"/>
  <c r="AA16" i="44"/>
  <c r="AA20" i="44"/>
  <c r="AA24" i="44"/>
  <c r="AA28" i="44"/>
  <c r="AA32" i="44"/>
  <c r="AA36" i="44"/>
  <c r="AA93" i="44"/>
  <c r="AA97" i="44"/>
  <c r="AA109" i="44"/>
  <c r="AA113" i="44"/>
  <c r="AA117" i="44"/>
  <c r="AA129" i="44"/>
  <c r="AA141" i="44"/>
  <c r="AA145" i="44"/>
  <c r="Z82" i="2"/>
  <c r="Z99" i="2"/>
  <c r="Z103" i="2"/>
  <c r="Z107" i="2"/>
  <c r="Z114" i="2"/>
  <c r="Z118" i="2"/>
  <c r="Z130" i="2"/>
  <c r="Z158" i="2"/>
  <c r="Z150" i="2"/>
  <c r="Z167" i="2"/>
  <c r="Z285" i="2"/>
  <c r="Z217" i="2"/>
  <c r="AA4" i="44"/>
  <c r="AA8" i="44"/>
  <c r="AA37" i="44"/>
  <c r="AA41" i="44"/>
  <c r="AA50" i="44"/>
  <c r="AA70" i="44"/>
  <c r="AA74" i="44"/>
  <c r="AA78" i="44"/>
  <c r="AA186" i="44"/>
  <c r="AA190" i="44"/>
  <c r="AA194" i="44"/>
  <c r="AA198" i="44"/>
  <c r="AA203" i="44"/>
  <c r="AA207" i="44"/>
  <c r="AA232" i="44"/>
  <c r="AA236" i="44"/>
  <c r="AA320" i="44"/>
  <c r="Z43" i="2"/>
  <c r="Z47" i="2"/>
  <c r="Z51" i="2"/>
  <c r="Z57" i="2"/>
  <c r="Z61" i="2"/>
  <c r="Z65" i="2"/>
  <c r="Z69" i="2"/>
  <c r="Z123" i="2"/>
  <c r="Z136" i="2"/>
  <c r="Z111" i="2"/>
  <c r="Z126" i="2"/>
  <c r="Z132" i="2"/>
  <c r="AA18" i="44"/>
  <c r="AA22" i="44"/>
  <c r="AA26" i="44"/>
  <c r="AA30" i="44"/>
  <c r="AA44" i="44"/>
  <c r="Z92" i="2"/>
  <c r="AA250" i="44"/>
  <c r="AA317" i="44"/>
  <c r="Z282" i="2"/>
  <c r="Z146" i="2"/>
  <c r="Z212" i="2"/>
  <c r="AA61" i="44"/>
  <c r="AA121" i="44"/>
  <c r="AA149" i="44"/>
  <c r="AA153" i="44"/>
  <c r="AA161" i="44"/>
  <c r="AA165" i="44"/>
  <c r="AA169" i="44"/>
  <c r="AA173" i="44"/>
  <c r="AA177" i="44"/>
  <c r="AA181" i="44"/>
  <c r="Z78" i="2"/>
  <c r="Z181" i="2"/>
  <c r="Z201" i="2"/>
  <c r="Z202" i="2"/>
  <c r="AA101" i="44"/>
  <c r="AA280" i="44"/>
  <c r="AA214" i="44"/>
  <c r="AA249" i="44"/>
  <c r="Z36" i="2"/>
  <c r="Z70" i="2"/>
  <c r="Z74" i="2"/>
  <c r="Z104" i="2"/>
  <c r="Z115" i="2"/>
  <c r="Z119" i="2"/>
  <c r="Z269" i="2"/>
  <c r="Z274" i="2"/>
  <c r="Z173" i="2"/>
  <c r="Z157" i="2"/>
  <c r="AA83" i="44"/>
  <c r="Z155" i="2"/>
  <c r="AA64" i="44"/>
  <c r="AA91" i="44"/>
  <c r="AA95" i="44"/>
  <c r="AA99" i="44"/>
  <c r="AA107" i="44"/>
  <c r="AA111" i="44"/>
  <c r="AA115" i="44"/>
  <c r="AA119" i="44"/>
  <c r="AA123" i="44"/>
  <c r="AA243" i="44"/>
  <c r="Z89" i="2"/>
  <c r="AA3" i="44"/>
  <c r="AA40" i="44"/>
  <c r="AA45" i="44"/>
  <c r="AA53" i="44"/>
  <c r="AA57" i="44"/>
  <c r="AA65" i="44"/>
  <c r="AA69" i="44"/>
  <c r="AA73" i="44"/>
  <c r="AA77" i="44"/>
  <c r="AA85" i="44"/>
  <c r="AA300" i="44"/>
  <c r="AA285" i="44"/>
  <c r="Z129" i="2"/>
  <c r="Z135" i="2"/>
  <c r="Z277" i="2"/>
  <c r="Z162" i="2"/>
  <c r="Z183" i="2"/>
  <c r="Z198" i="2"/>
  <c r="Z284" i="2"/>
  <c r="Z161" i="2"/>
  <c r="Z209" i="2"/>
  <c r="Z213" i="2"/>
  <c r="Z221" i="2"/>
  <c r="Z225" i="2"/>
  <c r="Z263" i="2"/>
  <c r="Z239" i="2"/>
  <c r="AA311" i="44"/>
  <c r="AA318" i="44"/>
  <c r="AA279" i="44"/>
  <c r="Z124" i="2"/>
  <c r="Z138" i="2"/>
  <c r="Z240" i="2"/>
  <c r="Z227" i="2"/>
  <c r="Z231" i="2"/>
  <c r="Z245" i="2"/>
  <c r="AA86" i="44"/>
  <c r="AA90" i="44"/>
  <c r="AA94" i="44"/>
  <c r="AA98" i="44"/>
  <c r="AA246" i="44"/>
  <c r="AA272" i="44"/>
  <c r="AA276" i="44"/>
  <c r="AA282" i="44"/>
  <c r="Z140" i="2"/>
  <c r="Z141" i="2"/>
  <c r="Z164" i="2"/>
  <c r="Z168" i="2"/>
  <c r="Z197" i="2"/>
  <c r="Z184" i="2"/>
  <c r="Z56" i="2"/>
  <c r="Z194" i="2"/>
  <c r="Z180" i="2"/>
  <c r="Z210" i="2"/>
  <c r="Z214" i="2"/>
  <c r="Z218" i="2"/>
  <c r="Z222" i="2"/>
  <c r="Z260" i="2"/>
  <c r="Z264" i="2"/>
  <c r="Z237" i="2"/>
  <c r="Z241" i="2"/>
  <c r="Z258" i="2"/>
  <c r="Z228" i="2"/>
  <c r="AA67" i="44"/>
  <c r="AA71" i="44"/>
  <c r="AA75" i="44"/>
  <c r="AA127" i="44"/>
  <c r="AA135" i="44"/>
  <c r="AA143" i="44"/>
  <c r="AA147" i="44"/>
  <c r="AA151" i="44"/>
  <c r="AA155" i="44"/>
  <c r="AA163" i="44"/>
  <c r="AA167" i="44"/>
  <c r="AA171" i="44"/>
  <c r="AA179" i="44"/>
  <c r="AA183" i="44"/>
  <c r="AA187" i="44"/>
  <c r="AA195" i="44"/>
  <c r="AA199" i="44"/>
  <c r="AA221" i="44"/>
  <c r="AA229" i="44"/>
  <c r="AA233" i="44"/>
  <c r="AA237" i="44"/>
  <c r="AA241" i="44"/>
  <c r="AA306" i="44"/>
  <c r="AA322" i="44"/>
  <c r="AA251" i="44"/>
  <c r="AA304" i="44"/>
  <c r="Z12" i="2"/>
  <c r="Z16" i="2"/>
  <c r="Z20" i="2"/>
  <c r="Z24" i="2"/>
  <c r="Z28" i="2"/>
  <c r="Z32" i="2"/>
  <c r="Z37" i="2"/>
  <c r="Z45" i="2"/>
  <c r="Z53" i="2"/>
  <c r="Z63" i="2"/>
  <c r="Z67" i="2"/>
  <c r="Z75" i="2"/>
  <c r="Z81" i="2"/>
  <c r="Z90" i="2"/>
  <c r="Z199" i="2"/>
  <c r="AA43" i="44"/>
  <c r="Z13" i="2"/>
  <c r="Z77" i="2"/>
  <c r="AA196" i="44"/>
  <c r="AA200" i="44"/>
  <c r="AA205" i="44"/>
  <c r="AA217" i="44"/>
  <c r="AA234" i="44"/>
  <c r="AA242" i="44"/>
  <c r="AE53" i="44"/>
  <c r="Z11" i="2"/>
  <c r="Z15" i="2"/>
  <c r="Z23" i="2"/>
  <c r="Z27" i="2"/>
  <c r="Z44" i="2"/>
  <c r="Z48" i="2"/>
  <c r="Z52" i="2"/>
  <c r="Z62" i="2"/>
  <c r="Z83" i="2"/>
  <c r="Z88" i="2"/>
  <c r="Z96" i="2"/>
  <c r="Z154" i="2"/>
  <c r="Z193" i="2"/>
  <c r="Z249" i="2"/>
  <c r="Z253" i="2"/>
  <c r="Z257" i="2"/>
  <c r="AA15" i="44"/>
  <c r="AA23" i="44"/>
  <c r="AA31" i="44"/>
  <c r="AA80" i="44"/>
  <c r="Z3" i="2"/>
  <c r="Z7" i="2"/>
  <c r="Z84" i="2"/>
  <c r="Z97" i="2"/>
  <c r="Z101" i="2"/>
  <c r="Z105" i="2"/>
  <c r="Z109" i="2"/>
  <c r="Z116" i="2"/>
  <c r="Z120" i="2"/>
  <c r="Z276" i="2"/>
  <c r="Z142" i="2"/>
  <c r="Z275" i="2"/>
  <c r="Z250" i="2"/>
  <c r="Z254" i="2"/>
  <c r="Z247" i="2"/>
  <c r="AA81" i="44"/>
  <c r="AA210" i="44"/>
  <c r="AA226" i="44"/>
  <c r="AA230" i="44"/>
  <c r="W289" i="2"/>
  <c r="Z8" i="2"/>
  <c r="AE117" i="2"/>
  <c r="Z271" i="2"/>
  <c r="Z203" i="2"/>
  <c r="Z265" i="2"/>
  <c r="Z232" i="2"/>
  <c r="AA66" i="44"/>
  <c r="AA125" i="44"/>
  <c r="AA133" i="44"/>
  <c r="AA157" i="44"/>
  <c r="AA193" i="44"/>
  <c r="AA231" i="44"/>
  <c r="AA283" i="44"/>
  <c r="AA287" i="44"/>
  <c r="AA291" i="44"/>
  <c r="N323" i="44"/>
  <c r="Z46" i="2"/>
  <c r="Z72" i="2"/>
  <c r="Z175" i="2"/>
  <c r="Z86" i="2"/>
  <c r="Z186" i="2"/>
  <c r="Z190" i="2"/>
  <c r="AA46" i="44"/>
  <c r="AA106" i="44"/>
  <c r="AA110" i="44"/>
  <c r="AA118" i="44"/>
  <c r="AA122" i="44"/>
  <c r="AA269" i="44"/>
  <c r="AA273" i="44"/>
  <c r="AA277" i="44"/>
  <c r="AA298" i="44"/>
  <c r="AA294" i="44"/>
  <c r="Z151" i="2"/>
  <c r="Z160" i="2"/>
  <c r="AA301" i="44"/>
  <c r="Z268" i="2"/>
  <c r="Z208" i="2"/>
  <c r="Z216" i="2"/>
  <c r="AA309" i="44"/>
  <c r="O323" i="44"/>
  <c r="AA60" i="44"/>
  <c r="Z5" i="2"/>
  <c r="Z128" i="2"/>
  <c r="Z207" i="2"/>
  <c r="AA222" i="44"/>
  <c r="AA215" i="44"/>
  <c r="Z137" i="2"/>
  <c r="Z152" i="2"/>
  <c r="Z287" i="2"/>
  <c r="Z98" i="2"/>
  <c r="Z102" i="2"/>
  <c r="Z106" i="2"/>
  <c r="Z110" i="2"/>
  <c r="Z121" i="2"/>
  <c r="Z73" i="2"/>
  <c r="Z79" i="2"/>
  <c r="Z87" i="2"/>
  <c r="Z93" i="2"/>
  <c r="Z143" i="2"/>
  <c r="Z220" i="2"/>
  <c r="Z262" i="2"/>
  <c r="Z235" i="2"/>
  <c r="AA54" i="44"/>
  <c r="AA58" i="44"/>
  <c r="AE62" i="44"/>
  <c r="AA296" i="44"/>
  <c r="W323" i="44"/>
  <c r="O289" i="2"/>
  <c r="AE72" i="2"/>
  <c r="Z19" i="2"/>
  <c r="Z31" i="2"/>
  <c r="Z40" i="2"/>
  <c r="Z58" i="2"/>
  <c r="Z66" i="2"/>
  <c r="Z80" i="2"/>
  <c r="Z100" i="2"/>
  <c r="Z108" i="2"/>
  <c r="Z226" i="2"/>
  <c r="Z230" i="2"/>
  <c r="Z234" i="2"/>
  <c r="AA42" i="44"/>
  <c r="AA204" i="44"/>
  <c r="Z41" i="2"/>
  <c r="AE61" i="2"/>
  <c r="Z59" i="2"/>
  <c r="Z71" i="2"/>
  <c r="Z131" i="2"/>
  <c r="Z117" i="2"/>
  <c r="AE62" i="2"/>
  <c r="AE60" i="2"/>
  <c r="X323" i="44"/>
  <c r="AE64" i="2"/>
  <c r="N289" i="2"/>
  <c r="AA19" i="44"/>
  <c r="AA27" i="44"/>
  <c r="AA289" i="44"/>
  <c r="AE53" i="2"/>
  <c r="AE117" i="44"/>
  <c r="AE72" i="44"/>
  <c r="AA62" i="44"/>
  <c r="AE60" i="44"/>
  <c r="AE61" i="44"/>
  <c r="AE64" i="44"/>
</calcChain>
</file>

<file path=xl/sharedStrings.xml><?xml version="1.0" encoding="utf-8"?>
<sst xmlns="http://schemas.openxmlformats.org/spreadsheetml/2006/main" count="6321" uniqueCount="1225">
  <si>
    <t>#</t>
  </si>
  <si>
    <t>Pn</t>
  </si>
  <si>
    <t>P/N</t>
  </si>
  <si>
    <t>Description</t>
  </si>
  <si>
    <t>U P (USD)</t>
  </si>
  <si>
    <t>T P (USD)</t>
  </si>
  <si>
    <t>Purchasing Price</t>
  </si>
  <si>
    <t>Selling Price</t>
  </si>
  <si>
    <t>Supplier</t>
  </si>
  <si>
    <t>Customer</t>
  </si>
  <si>
    <t>CD</t>
  </si>
  <si>
    <t>عدم شروع</t>
  </si>
  <si>
    <t>در حال قرارداد</t>
  </si>
  <si>
    <t>در حال خرید یا تولید</t>
  </si>
  <si>
    <t xml:space="preserve">در حال حمل به forwarder </t>
  </si>
  <si>
    <t xml:space="preserve">دریافت جنس توسط forwarder </t>
  </si>
  <si>
    <t>در حال حمل به ایران</t>
  </si>
  <si>
    <t>دریافت جنس توسط خودمان</t>
  </si>
  <si>
    <t>دریافت جنس توسط مشتری و منتظر پرداخت توسط مشتری</t>
  </si>
  <si>
    <t>اتمام پروژه</t>
  </si>
  <si>
    <t>کنسل</t>
  </si>
  <si>
    <t>منتظر تایید پول</t>
  </si>
  <si>
    <t>در انتظار حمل توسط تامین کننده</t>
  </si>
  <si>
    <t>Status</t>
  </si>
  <si>
    <t>Rate</t>
  </si>
  <si>
    <t>در حال واریز پرداخت</t>
  </si>
  <si>
    <t>مساله دار</t>
  </si>
  <si>
    <t>منتظر تامین بودجه</t>
  </si>
  <si>
    <t>Blank</t>
  </si>
  <si>
    <t>در حال واریز ما بقی پرداخت</t>
  </si>
  <si>
    <t>منتظر کنسل شدن</t>
  </si>
  <si>
    <t>منتظر تجمیع</t>
  </si>
  <si>
    <t>PO Date</t>
  </si>
  <si>
    <t>PO No</t>
  </si>
  <si>
    <t>درحال مذاکره با مشتری</t>
  </si>
  <si>
    <t>در حال واریز مابقی پرداخت</t>
  </si>
  <si>
    <t>Fleet</t>
  </si>
  <si>
    <t>درحال ترخیص</t>
  </si>
  <si>
    <t>TOTAL
 EXPENDITURE</t>
  </si>
  <si>
    <t>تحویل به مشتری</t>
  </si>
  <si>
    <t>paid</t>
  </si>
  <si>
    <t>waiting for final PFI</t>
  </si>
  <si>
    <t>RETURNING</t>
  </si>
  <si>
    <t>BANK INFORMATION</t>
  </si>
  <si>
    <t>BANK NAME:</t>
  </si>
  <si>
    <t>Bank of China (Hong Kong) Limited</t>
  </si>
  <si>
    <t>BANK ADDRESS:</t>
  </si>
  <si>
    <t>86 Tseuk Luk Street, San Po Kong, Kowloon HK</t>
  </si>
  <si>
    <t>City:</t>
  </si>
  <si>
    <t>Kowloon</t>
  </si>
  <si>
    <t>State:</t>
  </si>
  <si>
    <t>Zip:</t>
  </si>
  <si>
    <t>Country:</t>
  </si>
  <si>
    <t>HK CHINA</t>
  </si>
  <si>
    <t>Phone No.</t>
  </si>
  <si>
    <t>+852 3988 2388</t>
  </si>
  <si>
    <t>SWIFT Code: BKCHHKHHXXX</t>
  </si>
  <si>
    <t>Lichangyu HK Company Limited</t>
  </si>
  <si>
    <t>SHIPPING INFORMATION</t>
  </si>
  <si>
    <t>UPS Worldwide Saver, ACC: 78Y278</t>
  </si>
  <si>
    <t>Workshop 13B 9/F BLK B, Goldfield Industrial Centre, 1 Sui Wo Rd, Shatin,
Hong Kong 000000</t>
  </si>
  <si>
    <t>Phone: +852-91656584
Fax: +852-22469738</t>
  </si>
  <si>
    <t>در Shop</t>
  </si>
  <si>
    <t>DP</t>
  </si>
  <si>
    <t>Alt P/N</t>
  </si>
  <si>
    <t>NOTE</t>
  </si>
  <si>
    <t>ID#</t>
  </si>
  <si>
    <t>Expert</t>
  </si>
  <si>
    <t>IN No</t>
  </si>
  <si>
    <t>Delivery Time
(Days)</t>
  </si>
  <si>
    <t>PO
Ref#</t>
  </si>
  <si>
    <t>Purchase
QTY (EA)</t>
  </si>
  <si>
    <t>Customer Request</t>
  </si>
  <si>
    <t>Fedex Economy service, ACC: 620483877</t>
  </si>
  <si>
    <t>C66441-200</t>
  </si>
  <si>
    <t>MLG IMPROVED BARREL PIN</t>
  </si>
  <si>
    <t>NE</t>
  </si>
  <si>
    <t>MGH</t>
  </si>
  <si>
    <t>Aerotechnic (Xiamen) Aviation Technology Co.</t>
  </si>
  <si>
    <t>M21</t>
  </si>
  <si>
    <t>Air Station Aviation, Inc.</t>
  </si>
  <si>
    <t>A300</t>
  </si>
  <si>
    <t>-</t>
  </si>
  <si>
    <t>2002M28P01</t>
  </si>
  <si>
    <t>SEAL,HPT NOZZLE</t>
  </si>
  <si>
    <t>A320</t>
  </si>
  <si>
    <t>Q6211</t>
  </si>
  <si>
    <t>9173M90G33</t>
  </si>
  <si>
    <t>1474M54P11</t>
  </si>
  <si>
    <t>LUG ASSY-STG.8 LKG</t>
  </si>
  <si>
    <t>BOLT-SELF WRENCHING</t>
  </si>
  <si>
    <t>NS</t>
  </si>
  <si>
    <t>SH4824
TA4720-IN1725
17-Jul-2024</t>
  </si>
  <si>
    <t>SH4826
TA4704-IN1725
13-Jul-2024</t>
  </si>
  <si>
    <t>Q6216</t>
  </si>
  <si>
    <t>110VF01B0023NOB</t>
  </si>
  <si>
    <t>RJ</t>
  </si>
  <si>
    <t>SH4839
TA4755-IN1725
27-Jul-2024</t>
  </si>
  <si>
    <t>Q6208</t>
  </si>
  <si>
    <t>1474M54P11 
(Alt to 1474M54P03)</t>
  </si>
  <si>
    <t>Dasi 
Miami HQ (FL)</t>
  </si>
  <si>
    <t>110VF01B0023N0B
(Alt to S2835-102)</t>
  </si>
  <si>
    <t>SWITCH MASTER
OUR Quote: BODY LIGHT</t>
  </si>
  <si>
    <t>Saywell International</t>
  </si>
  <si>
    <t>98A07003907200</t>
  </si>
  <si>
    <t>ADAPTER-FOR LOADCELL</t>
  </si>
  <si>
    <t>ADAPTER LOAD CELL</t>
  </si>
  <si>
    <t>Q6249</t>
  </si>
  <si>
    <t>SH4878
TA4835-IN1725
06-Aug-2024</t>
  </si>
  <si>
    <t>FEZA AERO</t>
  </si>
  <si>
    <t>83647-14-1</t>
  </si>
  <si>
    <t>PIN</t>
  </si>
  <si>
    <t>PDQ Airspares</t>
  </si>
  <si>
    <t>Q6257</t>
  </si>
  <si>
    <t>SH4830
TA4700-IN1725
13-Jul-2024</t>
  </si>
  <si>
    <t>SH4823
TA4703-IN1725
13 July 2024</t>
  </si>
  <si>
    <t>TVS</t>
  </si>
  <si>
    <t>CH31900-6</t>
  </si>
  <si>
    <t>IGNITER PLUG</t>
  </si>
  <si>
    <t>Q6251</t>
  </si>
  <si>
    <t>9044035-1
V59501
9072215-1
V59501</t>
  </si>
  <si>
    <t>DMC</t>
  </si>
  <si>
    <t>SV</t>
  </si>
  <si>
    <t>1211313-008</t>
  </si>
  <si>
    <t>ACT .VARIABLE STATOR</t>
  </si>
  <si>
    <t>OH</t>
  </si>
  <si>
    <t>Q6240</t>
  </si>
  <si>
    <t>SKYTOP AERO</t>
  </si>
  <si>
    <t>9024-15704-2</t>
  </si>
  <si>
    <t xml:space="preserve"> SAFETY-VALVE</t>
  </si>
  <si>
    <t>10-60592-2</t>
  </si>
  <si>
    <t>FILTER</t>
  </si>
  <si>
    <t>BACB30LE6K28</t>
  </si>
  <si>
    <t>BOLT</t>
  </si>
  <si>
    <t>BACW10BP6CD</t>
  </si>
  <si>
    <t>WASHER</t>
  </si>
  <si>
    <t>50-3361-4265</t>
  </si>
  <si>
    <t>FILLER</t>
  </si>
  <si>
    <t>BOEING</t>
  </si>
  <si>
    <t>M23</t>
  </si>
  <si>
    <t>SHBN</t>
  </si>
  <si>
    <t>IN1729</t>
  </si>
  <si>
    <t>B737</t>
  </si>
  <si>
    <t>S12</t>
  </si>
  <si>
    <t>Falcon Dynamics Inc.</t>
  </si>
  <si>
    <t>16004-027-14</t>
  </si>
  <si>
    <t>HOSE-FLEX</t>
  </si>
  <si>
    <t>Routine</t>
  </si>
  <si>
    <t>PLATE ASSY-HANDLE MECH CAM</t>
  </si>
  <si>
    <t>B0E2003-0032</t>
  </si>
  <si>
    <t>SEAL</t>
  </si>
  <si>
    <t>SP20523</t>
  </si>
  <si>
    <t>HYD DAMPENERAFT SEAT</t>
  </si>
  <si>
    <t>49-270-1</t>
  </si>
  <si>
    <t>PLUG FUSIBLE</t>
  </si>
  <si>
    <t>65-2346-5</t>
  </si>
  <si>
    <t>SNUBBER ASSY</t>
  </si>
  <si>
    <t>ALT 65-2346-3</t>
  </si>
  <si>
    <t>69-34971-8</t>
  </si>
  <si>
    <t>CAM CONTROL ASSY</t>
  </si>
  <si>
    <t>ALT 69-34971-6</t>
  </si>
  <si>
    <t>335-299-401-0</t>
  </si>
  <si>
    <t>PACKING</t>
  </si>
  <si>
    <t>ALT 335-299-400-0</t>
  </si>
  <si>
    <t>65C37607-25</t>
  </si>
  <si>
    <t>BEAM SUPPORT INSTL - STA 178 BULKHEAD PREVENTIVE MODIFICATION</t>
  </si>
  <si>
    <t>AOG</t>
  </si>
  <si>
    <t>ALT 65C37602-25</t>
  </si>
  <si>
    <t>798A-196</t>
  </si>
  <si>
    <t>CHARGING VLV</t>
  </si>
  <si>
    <t>ALT 14199-1</t>
  </si>
  <si>
    <t>H414-21</t>
  </si>
  <si>
    <t>LATCH ASSY-FLUSH</t>
  </si>
  <si>
    <t>NAS1611-113</t>
  </si>
  <si>
    <t>ALT 8091812</t>
  </si>
  <si>
    <t>66-16691-1</t>
  </si>
  <si>
    <t>SPRING-DOOR STOP PIN RTNR</t>
  </si>
  <si>
    <t>FUEL QUANTITY INDICATOR</t>
  </si>
  <si>
    <t>BRACKET ASSY--FLASH LIGHT</t>
  </si>
  <si>
    <t>VRH-PO-1403-149</t>
  </si>
  <si>
    <t>29/09/2024</t>
  </si>
  <si>
    <t>DASI DALLAS</t>
  </si>
  <si>
    <t>Wencor</t>
  </si>
  <si>
    <t>Dasi 
30 DAYS LT</t>
  </si>
  <si>
    <t>M38</t>
  </si>
  <si>
    <t>3A2203B</t>
  </si>
  <si>
    <t>S700B1423-511</t>
  </si>
  <si>
    <t>POWER LEVER ANGEL SENSOR</t>
  </si>
  <si>
    <t>BUSHING</t>
  </si>
  <si>
    <t>Q6260</t>
  </si>
  <si>
    <t>SH4893
TA4891-IN1725
21-Aug-2024</t>
  </si>
  <si>
    <t>P2-07-0004-201
(Alt to P2-07-004-201)</t>
  </si>
  <si>
    <t>M25</t>
  </si>
  <si>
    <t>F100</t>
  </si>
  <si>
    <t>M27</t>
  </si>
  <si>
    <t>DASI</t>
  </si>
  <si>
    <t>DASI HQ</t>
  </si>
  <si>
    <t>SPRING</t>
  </si>
  <si>
    <t>BEARING</t>
  </si>
  <si>
    <t>DASI SEATTLE</t>
  </si>
  <si>
    <t>3-4 WEEKS</t>
  </si>
  <si>
    <t>M31</t>
  </si>
  <si>
    <t xml:space="preserve"> </t>
  </si>
  <si>
    <t>کردیت</t>
  </si>
  <si>
    <t>HEICO</t>
  </si>
  <si>
    <t>SYD</t>
  </si>
  <si>
    <t>APS</t>
  </si>
  <si>
    <t>335-107-901-0</t>
  </si>
  <si>
    <t>Seal</t>
  </si>
  <si>
    <t>M32</t>
  </si>
  <si>
    <t>PACIFIC AIR</t>
  </si>
  <si>
    <t>Bearing &amp; Drive Systems, Inc</t>
  </si>
  <si>
    <t>TURBO</t>
  </si>
  <si>
    <t>CLAMP</t>
  </si>
  <si>
    <t>SCREW</t>
  </si>
  <si>
    <r>
      <t xml:space="preserve">CAPE AERO 
</t>
    </r>
    <r>
      <rPr>
        <sz val="12.5"/>
        <color rgb="FFFF0000"/>
        <rFont val="Times New Roman"/>
        <family val="1"/>
      </rPr>
      <t>Alpha</t>
    </r>
  </si>
  <si>
    <t>E3611904-1</t>
  </si>
  <si>
    <t>SHROUD</t>
  </si>
  <si>
    <t>BACB30ME8A8</t>
  </si>
  <si>
    <t>NEW</t>
  </si>
  <si>
    <t>BOLT, SHEAR</t>
  </si>
  <si>
    <t>FSV</t>
  </si>
  <si>
    <t>LIGHT</t>
  </si>
  <si>
    <t>NUT PLATE</t>
  </si>
  <si>
    <t>M35</t>
  </si>
  <si>
    <t>PO 14031/562</t>
  </si>
  <si>
    <t>J221P023</t>
  </si>
  <si>
    <t>9515M29P03</t>
  </si>
  <si>
    <t>GASKET, SEAL</t>
  </si>
  <si>
    <t>1316M84G01KT
(Alt for 1316M84G01)</t>
  </si>
  <si>
    <t>NUT, ASSY-SLFKG GANG CHANNEL</t>
  </si>
  <si>
    <t>WE</t>
  </si>
  <si>
    <t>COUPLING ASSEMBLY, TUBE, FLEXIBLE</t>
  </si>
  <si>
    <t>MOUSER</t>
  </si>
  <si>
    <t>BACR15BA3AD4C</t>
  </si>
  <si>
    <t>BACN10JC08CD</t>
  </si>
  <si>
    <t>Nut, Self-locking</t>
  </si>
  <si>
    <t>Screw</t>
  </si>
  <si>
    <t>NAS1301-6-5</t>
  </si>
  <si>
    <t>NAS1149D0316J</t>
  </si>
  <si>
    <t>Washer, Flat</t>
  </si>
  <si>
    <t>NAS1149DN816J</t>
  </si>
  <si>
    <t>RIVET</t>
  </si>
  <si>
    <t>86 ITEMS</t>
  </si>
  <si>
    <t>MS21919DF16</t>
  </si>
  <si>
    <t>COUPLING</t>
  </si>
  <si>
    <t>NUT</t>
  </si>
  <si>
    <t>FOCUSED AIR</t>
  </si>
  <si>
    <t>1475M35P02</t>
  </si>
  <si>
    <t>HPT ROTOR BLADE</t>
  </si>
  <si>
    <t>QTY</t>
  </si>
  <si>
    <t>SWITCH</t>
  </si>
  <si>
    <t>LAMP</t>
  </si>
  <si>
    <t>TVS/SHBN</t>
  </si>
  <si>
    <t>BT27-12</t>
  </si>
  <si>
    <t>9514M87P04</t>
  </si>
  <si>
    <t>BOLT MACH DBL HEX</t>
  </si>
  <si>
    <t>Altus Global</t>
  </si>
  <si>
    <t>LINK</t>
  </si>
  <si>
    <t>Q6034</t>
  </si>
  <si>
    <t>SH4724</t>
  </si>
  <si>
    <t xml:space="preserve"> P40830</t>
  </si>
  <si>
    <t>jetpartsengineering
Price increased\</t>
  </si>
  <si>
    <t>ASP7330
(Alt:418-17054)</t>
  </si>
  <si>
    <t>FUEL PRESS TRANSMITTER</t>
  </si>
  <si>
    <t>Q6050</t>
  </si>
  <si>
    <t>TA4405-IN1646</t>
  </si>
  <si>
    <t>ANCHOR NUT</t>
  </si>
  <si>
    <t>STUD</t>
  </si>
  <si>
    <t>WATER FAUCET</t>
  </si>
  <si>
    <t>Q6089</t>
  </si>
  <si>
    <t>TA4375-IN1646</t>
  </si>
  <si>
    <t xml:space="preserve">ABS0201-03B9 </t>
  </si>
  <si>
    <t>Q6095</t>
  </si>
  <si>
    <t>TA4410-IN1646</t>
  </si>
  <si>
    <t>$120 PLUS BEFORE ORDER</t>
  </si>
  <si>
    <t>2863</t>
  </si>
  <si>
    <t>LATCH ASSY</t>
  </si>
  <si>
    <t>Q6101</t>
  </si>
  <si>
    <t>TA4520-IN1646</t>
  </si>
  <si>
    <t>Q6124</t>
  </si>
  <si>
    <t>TA4494-IN1646</t>
  </si>
  <si>
    <t>PAD,FRICTION</t>
  </si>
  <si>
    <t>6774B030000</t>
  </si>
  <si>
    <t xml:space="preserve">BLEED VALVE PRESSURE
REGULATOR </t>
  </si>
  <si>
    <t>Q6133</t>
  </si>
  <si>
    <t>TA4580-IN1646</t>
  </si>
  <si>
    <t>KT-1258
(Alt: 9985M32P06)</t>
  </si>
  <si>
    <t>Q6172</t>
  </si>
  <si>
    <t>TA4490-IN1646</t>
  </si>
  <si>
    <t>Q6203</t>
  </si>
  <si>
    <t>TA4820-IN1646</t>
  </si>
  <si>
    <t>Beach Aviation Group</t>
  </si>
  <si>
    <t>4803-54</t>
  </si>
  <si>
    <t>GASKET</t>
  </si>
  <si>
    <t>03-400184</t>
  </si>
  <si>
    <t>4 Rqst
3 Buy</t>
  </si>
  <si>
    <t>10037-1000-0153</t>
  </si>
  <si>
    <t>Q6267</t>
  </si>
  <si>
    <t>A3411400020200</t>
  </si>
  <si>
    <t>D2547090003200</t>
  </si>
  <si>
    <t>SHROUD ASSY</t>
  </si>
  <si>
    <t>Q6270</t>
  </si>
  <si>
    <t>BACB30LJ4D20</t>
  </si>
  <si>
    <t>65-51687-4</t>
  </si>
  <si>
    <t>ALT 141A6310-3</t>
  </si>
  <si>
    <t>Foreland Aviation</t>
  </si>
  <si>
    <t>AS1591-06-0580A</t>
  </si>
  <si>
    <t>AS1591-06-0570A</t>
  </si>
  <si>
    <t>AS1591-10-0232A</t>
  </si>
  <si>
    <t>417N3170-13</t>
  </si>
  <si>
    <t>HOSE FLEX</t>
  </si>
  <si>
    <t>HOSE DUCT</t>
  </si>
  <si>
    <t>DASI  Seattle</t>
  </si>
  <si>
    <t>3888210-1</t>
  </si>
  <si>
    <t>FN</t>
  </si>
  <si>
    <t>Thameside Aero Spares Ltd</t>
  </si>
  <si>
    <t>AVIOSUPPORT PTE. LTD.</t>
  </si>
  <si>
    <t>96019-01</t>
  </si>
  <si>
    <t>ISOLATOR ASSYVIBRATION</t>
  </si>
  <si>
    <t>IGNITER</t>
  </si>
  <si>
    <t>TruServ Aviation</t>
  </si>
  <si>
    <t>336-064-002-0</t>
  </si>
  <si>
    <t>SH4916
TA4967-IN1725
16-Sep-2024</t>
  </si>
  <si>
    <t>Q6272</t>
  </si>
  <si>
    <t>9992M17P01</t>
  </si>
  <si>
    <t>Q6274</t>
  </si>
  <si>
    <t>SH4917
TA4968-IN1725
16-Sep-2024</t>
  </si>
  <si>
    <t>BOLT,MACH SPLINE DRIVE</t>
  </si>
  <si>
    <t>Q6277</t>
  </si>
  <si>
    <t>SH4921
TA4970-IN1725
16-Sep-2024</t>
  </si>
  <si>
    <t>340-179-402-0</t>
  </si>
  <si>
    <t>S7</t>
  </si>
  <si>
    <t>1621412-1</t>
  </si>
  <si>
    <t>Adapter Assembly Instructions</t>
  </si>
  <si>
    <t>DUCT</t>
  </si>
  <si>
    <t>1358M79P01</t>
  </si>
  <si>
    <t>BOLT,SLABBED HD</t>
  </si>
  <si>
    <t>Q6278</t>
  </si>
  <si>
    <t>1523M86P01</t>
  </si>
  <si>
    <t>SEAL, HPT NOZZLE INNER</t>
  </si>
  <si>
    <t>2002M29P01</t>
  </si>
  <si>
    <t>SEAL, HPT NOZZLE</t>
  </si>
  <si>
    <t>SH4923
TA4972-IN1725
16-Sep-2024</t>
  </si>
  <si>
    <t>9514M84P02</t>
  </si>
  <si>
    <t>Q6282</t>
  </si>
  <si>
    <t>SH4924
TA4973-IN1725
16-Sep-2024</t>
  </si>
  <si>
    <t>FILTER-IDG</t>
  </si>
  <si>
    <t>Q6284</t>
  </si>
  <si>
    <t>SH4925
TA4974-IN1725
16-Sep-2024</t>
  </si>
  <si>
    <t>1338M79P01</t>
  </si>
  <si>
    <t>Q6287</t>
  </si>
  <si>
    <t>SH4920
TA4969-IN1725
16-Sep-2024</t>
  </si>
  <si>
    <t>D5311143620000</t>
  </si>
  <si>
    <t>Q6289</t>
  </si>
  <si>
    <t>SH4892
TA4890-IN1725
21-Aug-2024</t>
  </si>
  <si>
    <t>1319M18P04JP</t>
  </si>
  <si>
    <t>305-397-702-0</t>
  </si>
  <si>
    <t>GASKET SEAL</t>
  </si>
  <si>
    <t>Q6290</t>
  </si>
  <si>
    <t>SH4915
TA4966-IN1725
16-Sep-2024</t>
  </si>
  <si>
    <t>65-68269-25</t>
  </si>
  <si>
    <t>ARM</t>
  </si>
  <si>
    <t>AE2463921G0181</t>
  </si>
  <si>
    <t xml:space="preserve">Hose Assy </t>
  </si>
  <si>
    <t>AOG
WhatsApp</t>
  </si>
  <si>
    <t>SH4900
TA4876-IN1725
14-Aug-2024</t>
  </si>
  <si>
    <t>Mr SYD purchase it!</t>
  </si>
  <si>
    <t>Universal Logistics Support Corp.</t>
  </si>
  <si>
    <t>PDQ</t>
  </si>
  <si>
    <t>TVS/MGH</t>
  </si>
  <si>
    <t>Pacific Air Industries</t>
  </si>
  <si>
    <t>Q6296</t>
  </si>
  <si>
    <t>SH4928
TA4976-IN1725
16-Sep-2024</t>
  </si>
  <si>
    <t>763A0000-03</t>
  </si>
  <si>
    <t>A75M</t>
  </si>
  <si>
    <t>Q6298</t>
  </si>
  <si>
    <t>SH4927
TA4975-IN1725
16-Sep-2024</t>
  </si>
  <si>
    <t>PLUG</t>
  </si>
  <si>
    <t>OVER SENSOR
My Quote: TEMPERATURE SENSOR</t>
  </si>
  <si>
    <t>Q6304</t>
  </si>
  <si>
    <t>AOG, due to unqulified cert</t>
  </si>
  <si>
    <t>Dasi 
Tag Date 2015
You shold buy it 4500</t>
  </si>
  <si>
    <t>Q6224</t>
  </si>
  <si>
    <t>SH4859
TA4730-IN1646
01-Aug-2024</t>
  </si>
  <si>
    <t>S10</t>
  </si>
  <si>
    <t>Sources</t>
  </si>
  <si>
    <t>Olivia</t>
  </si>
  <si>
    <t>Saywell</t>
  </si>
  <si>
    <t>130A01NW3</t>
  </si>
  <si>
    <t>INDICATOR LIGHT</t>
  </si>
  <si>
    <t>Q6028</t>
  </si>
  <si>
    <t>SH4729
TA4337-IN1695</t>
  </si>
  <si>
    <t>H414-55</t>
  </si>
  <si>
    <t>KT1319M20P01</t>
  </si>
  <si>
    <t>J221P025</t>
  </si>
  <si>
    <t>SH4922
TA4971-IN1725
16-Sep-2024</t>
  </si>
  <si>
    <t>Q6305</t>
  </si>
  <si>
    <t>1335M66G04</t>
  </si>
  <si>
    <t>TUBE AIR T-RV</t>
  </si>
  <si>
    <t>SH4885
TA4886-IN1646
19-Aug-2024</t>
  </si>
  <si>
    <t>Q6308</t>
  </si>
  <si>
    <t>DASI HQ
2023</t>
  </si>
  <si>
    <t>ALT E0424W3</t>
  </si>
  <si>
    <t>TOPCAST/S12</t>
  </si>
  <si>
    <r>
      <t xml:space="preserve">DASI  HQ
</t>
    </r>
    <r>
      <rPr>
        <b/>
        <sz val="12.5"/>
        <color theme="1"/>
        <rFont val="Times New Roman"/>
        <family val="1"/>
      </rPr>
      <t>30 days(SHOP / FRESH)</t>
    </r>
  </si>
  <si>
    <t>AJW***</t>
  </si>
  <si>
    <t>ILS</t>
  </si>
  <si>
    <t>SATAIR / 10</t>
  </si>
  <si>
    <t>Proponent / S12</t>
  </si>
  <si>
    <t>We could not purchase from Avair</t>
  </si>
  <si>
    <t>Stealth Aerospace / S12</t>
  </si>
  <si>
    <t>MS24524-27</t>
  </si>
  <si>
    <t>Switch, Toggle</t>
  </si>
  <si>
    <t>A-871W</t>
  </si>
  <si>
    <t>Relay, Electromagnetic</t>
  </si>
  <si>
    <t>A-703-FA</t>
  </si>
  <si>
    <t>Flame Enterprises, Inc</t>
  </si>
  <si>
    <t>MS14181-09034</t>
  </si>
  <si>
    <t>NAS630-20</t>
  </si>
  <si>
    <t>HL13VAP8-19</t>
  </si>
  <si>
    <t>MS14182L12</t>
  </si>
  <si>
    <t>PIN, RIVET</t>
  </si>
  <si>
    <t>NUT, SELF-LOCKING</t>
  </si>
  <si>
    <t xml:space="preserve"> Seltech Products</t>
  </si>
  <si>
    <t>46-st</t>
  </si>
  <si>
    <t>42-akh</t>
  </si>
  <si>
    <t>RG-25XC</t>
  </si>
  <si>
    <t>STS-M12
(12 V)</t>
  </si>
  <si>
    <t>B320-1</t>
  </si>
  <si>
    <t>01-0771554-11</t>
  </si>
  <si>
    <t>01-0771105-01</t>
  </si>
  <si>
    <t>01-0771105-02</t>
  </si>
  <si>
    <t>V1510A</t>
  </si>
  <si>
    <t>STS-S12</t>
  </si>
  <si>
    <t>X61-0030</t>
  </si>
  <si>
    <t xml:space="preserve">P-128-carb </t>
  </si>
  <si>
    <t>T1A9-1</t>
  </si>
  <si>
    <t>10-00302</t>
  </si>
  <si>
    <t>10-02038</t>
  </si>
  <si>
    <t>10-01202</t>
  </si>
  <si>
    <t>10-00376</t>
  </si>
  <si>
    <t>BATTERY</t>
  </si>
  <si>
    <t>RELAY</t>
  </si>
  <si>
    <t>HORN ASSY</t>
  </si>
  <si>
    <t>POSITION LIGHT (GREEN)</t>
  </si>
  <si>
    <t>TAIL LIGHT</t>
  </si>
  <si>
    <t>POSITION LIGHT (RED)</t>
  </si>
  <si>
    <t>OVER VOLTAGE RELAY</t>
  </si>
  <si>
    <t>Carb Temp Sensor</t>
  </si>
  <si>
    <t>RPM SENSOR</t>
  </si>
  <si>
    <t>OIL TEMP SENSOR</t>
  </si>
  <si>
    <t>CHT PROBE 12MM</t>
  </si>
  <si>
    <t>Pressure Transducer</t>
  </si>
  <si>
    <t>EGT PROBE</t>
  </si>
  <si>
    <t>aircraftspruce</t>
  </si>
  <si>
    <t>EXW</t>
  </si>
  <si>
    <t>Q22MO</t>
  </si>
  <si>
    <r>
      <rPr>
        <b/>
        <sz val="12.5"/>
        <color theme="1"/>
        <rFont val="Times New Roman"/>
        <family val="1"/>
      </rPr>
      <t>Flame Enterprises, Inc</t>
    </r>
    <r>
      <rPr>
        <sz val="12.5"/>
        <color theme="1"/>
        <rFont val="Times New Roman"/>
        <family val="1"/>
      </rPr>
      <t xml:space="preserve">
or 
</t>
    </r>
    <r>
      <rPr>
        <b/>
        <sz val="12.5"/>
        <color theme="1"/>
        <rFont val="Times New Roman"/>
        <family val="1"/>
      </rPr>
      <t>316 AVIATION COMPANY INC</t>
    </r>
  </si>
  <si>
    <t>622-7911-301</t>
  </si>
  <si>
    <t>ABS0368-01</t>
  </si>
  <si>
    <t>OMP2506-2</t>
  </si>
  <si>
    <t>SERVO AUTO TROTTLE</t>
  </si>
  <si>
    <t>Q6322</t>
  </si>
  <si>
    <t>SH4875
TA4811-IN1725
31-Jul-2024</t>
  </si>
  <si>
    <t>JA2002M30P001A
2002M30P001A</t>
  </si>
  <si>
    <t>S1 / HEICO</t>
  </si>
  <si>
    <t>AOG / 64EA QUOTED</t>
  </si>
  <si>
    <t xml:space="preserve"> عودت به تامین کننده</t>
  </si>
  <si>
    <t>Oaaviation
WAITING FOR PAYMENT FROM W6</t>
  </si>
  <si>
    <t>GIOCOM / S12</t>
  </si>
  <si>
    <t>SATAIR / S10</t>
  </si>
  <si>
    <t>MRO SUPPORT
(Tag Date: 2022)</t>
  </si>
  <si>
    <t>W5</t>
  </si>
  <si>
    <t>Fedex A/C: 213827420</t>
  </si>
  <si>
    <t>Block B , Rm08 16/F Kong Nam Industrial Building , 603-609 Castle Peak Road , Tsuen Wan , NT. 
荃灣青山公路603-609號江南工業大廈B座16樓08室</t>
  </si>
  <si>
    <t>cstransportco@gmail.com</t>
  </si>
  <si>
    <t>Lichangyu HK Company Limited / W3</t>
  </si>
  <si>
    <t>W1</t>
  </si>
  <si>
    <t>Tel: 94350753
Lung Ho</t>
  </si>
  <si>
    <t>Name of Company: Yik Fai International Logistics Limited</t>
  </si>
  <si>
    <t>Account Name: Lichangyu (HK) Co Ltd</t>
  </si>
  <si>
    <t>Account Number: 01269292152107</t>
  </si>
  <si>
    <t>Bank Name: Bank of China (Hong Kong) Limited</t>
  </si>
  <si>
    <t>Bank Address: Unit S041B, G/F, Lakeside 2, No.10 Science Park West Avenue, Hong Kong Science Park, Shatin NT HK </t>
  </si>
  <si>
    <t xml:space="preserve">Account Number/IBAN: </t>
  </si>
  <si>
    <t xml:space="preserve">BIC/Swift Code: </t>
  </si>
  <si>
    <t>EURO account:</t>
  </si>
  <si>
    <t>USD account:</t>
  </si>
  <si>
    <t>Tax Number N/A:</t>
  </si>
  <si>
    <t>MRD</t>
  </si>
  <si>
    <t>TruServ</t>
  </si>
  <si>
    <t>we buy NE for them</t>
  </si>
  <si>
    <t>98A07003911200</t>
  </si>
  <si>
    <t xml:space="preserve">Lichangyu HK Company Limited </t>
  </si>
  <si>
    <t>1869M12G03</t>
  </si>
  <si>
    <t>BRACKET</t>
  </si>
  <si>
    <t>IN</t>
  </si>
  <si>
    <t>329695-5</t>
  </si>
  <si>
    <t>VALVE TURBINE CLEARANCE</t>
  </si>
  <si>
    <t>SH4939
TA5096-IN1725
13-Oct-2024</t>
  </si>
  <si>
    <t>Q6333</t>
  </si>
  <si>
    <t>Lufthansa Technik Sofia Ltd.
Aerotechnic (Xiamen) Aviation Technology Co.</t>
  </si>
  <si>
    <t>aircraftspruce / S8</t>
  </si>
  <si>
    <t>AIRPOWER / S8</t>
  </si>
  <si>
    <t>$18K was the real value .source quotation was only $18</t>
  </si>
  <si>
    <t>65C37850-1092</t>
  </si>
  <si>
    <t>PSU PANEL MODIFICATION -
LANYARD IMPROVEMENT</t>
  </si>
  <si>
    <t>KAPO-14030776 (JNK)</t>
  </si>
  <si>
    <t>RFQ No.: 1403-129
TA5232-IN1796</t>
  </si>
  <si>
    <t>B737-300</t>
  </si>
  <si>
    <t>Dynamic Air Solution</t>
  </si>
  <si>
    <t>ایمیل کنسلی ارسال شود. بدون مدرک mfg coc قابل قبول نیست</t>
  </si>
  <si>
    <t>Tecnica Aerospace LLC</t>
  </si>
  <si>
    <t>KP Aviation</t>
  </si>
  <si>
    <t>Tru Serv
MTI AVIATION
Main Price: =1.05*7000</t>
  </si>
  <si>
    <t>TVS/SHBN/MGH</t>
  </si>
  <si>
    <t>A320/F100</t>
  </si>
  <si>
    <t xml:space="preserve">  763A0000-03 </t>
  </si>
  <si>
    <t>HL13VAZ8-19</t>
  </si>
  <si>
    <t>deltindustries / S8</t>
  </si>
  <si>
    <t xml:space="preserve">در حال دریافت قبض </t>
  </si>
  <si>
    <t>در حال عودت به تامین کننده</t>
  </si>
  <si>
    <t>در حال ترخیص</t>
  </si>
  <si>
    <t>Aerospace Engineering Services</t>
  </si>
  <si>
    <t xml:space="preserve">N69-37201-3 </t>
  </si>
  <si>
    <t>LENS</t>
  </si>
  <si>
    <t>KAPO-14030781 (JNK)</t>
  </si>
  <si>
    <t>SN</t>
  </si>
  <si>
    <t>E.067-2024</t>
  </si>
  <si>
    <t>PT06E8-4P(SR)</t>
  </si>
  <si>
    <t>Connector, Plug, Electrical</t>
  </si>
  <si>
    <t>1277M90G01</t>
  </si>
  <si>
    <t>SEAL RETAINER CPRSR STTR</t>
  </si>
  <si>
    <t>J1493P05A</t>
  </si>
  <si>
    <t>SC628DP</t>
  </si>
  <si>
    <t>BUZZER</t>
  </si>
  <si>
    <t>Q6348</t>
  </si>
  <si>
    <t>SH4942
TA5153-IN1725
29-Oct-2024</t>
  </si>
  <si>
    <t>Bestwings Technologies Limited</t>
  </si>
  <si>
    <t>9206M79P15</t>
  </si>
  <si>
    <t>9244M49P03</t>
  </si>
  <si>
    <t>9299M74G05</t>
  </si>
  <si>
    <t>9311M66P02</t>
  </si>
  <si>
    <t>Q6361</t>
  </si>
  <si>
    <t>SH4974
TA5184-IN1725
07-Nov-2024</t>
  </si>
  <si>
    <t>2980212100000, Dasi went BER</t>
  </si>
  <si>
    <t>Dasi no longer available</t>
  </si>
  <si>
    <t>MS21059L3</t>
  </si>
  <si>
    <t>Q6379</t>
  </si>
  <si>
    <t>SH4986
TA5271-IN1725
26-Nov-2024</t>
  </si>
  <si>
    <t>9EL095528-10</t>
  </si>
  <si>
    <t>D5288023700301</t>
  </si>
  <si>
    <t>LENS-WHITE</t>
  </si>
  <si>
    <t>HINGE ASSY</t>
  </si>
  <si>
    <t>Q6385</t>
  </si>
  <si>
    <t>SH4976
TA5186-IN1725
7/11/2024</t>
  </si>
  <si>
    <t>03/14/2025</t>
  </si>
  <si>
    <t>Aeropartes / Brazil
/ S12</t>
  </si>
  <si>
    <t xml:space="preserve"> Skyspares Ltd
/ S12</t>
  </si>
  <si>
    <t>اوردر نشد</t>
  </si>
  <si>
    <t>1277M91G03</t>
  </si>
  <si>
    <t>SHROUD ASSY CPRSR STTR STG3</t>
  </si>
  <si>
    <t>1277M91G04</t>
  </si>
  <si>
    <t>Q6399</t>
  </si>
  <si>
    <t>SH4997
TA5348-IN1725
11-DEC-2024</t>
  </si>
  <si>
    <t>1559M33P24</t>
  </si>
  <si>
    <t>BUSHING,STG1</t>
  </si>
  <si>
    <t>1559M33P26</t>
  </si>
  <si>
    <t>1559M33P27</t>
  </si>
  <si>
    <t>BUSHING STG3</t>
  </si>
  <si>
    <t>Q6402</t>
  </si>
  <si>
    <t>SH4996
TA5347-IN1725
11-DEC-2024</t>
  </si>
  <si>
    <t>A942-3</t>
  </si>
  <si>
    <t>ALTERNATOR CONTROL UNIT</t>
  </si>
  <si>
    <t>H10-36</t>
  </si>
  <si>
    <t>HEADSET-DAVID CLARK (Company:AEM)</t>
  </si>
  <si>
    <t>WL202EED4</t>
  </si>
  <si>
    <t>EGT INDICATOR ANALOG</t>
  </si>
  <si>
    <t>VRH-PO-1403-204</t>
  </si>
  <si>
    <t>WL201EED2</t>
  </si>
  <si>
    <t>N2 INDICATOR</t>
  </si>
  <si>
    <t>MFT</t>
  </si>
  <si>
    <t>4063-19972-01AA</t>
  </si>
  <si>
    <t>OUTFLOW VALVE</t>
  </si>
  <si>
    <t>4215-01</t>
  </si>
  <si>
    <t>INDICATOR TRIM UNIT</t>
  </si>
  <si>
    <t>65-68269-33</t>
  </si>
  <si>
    <t>AGL / aeropacific</t>
  </si>
  <si>
    <r>
      <t xml:space="preserve">Satair / </t>
    </r>
    <r>
      <rPr>
        <b/>
        <sz val="12.5"/>
        <color theme="1"/>
        <rFont val="Times New Roman"/>
        <family val="1"/>
      </rPr>
      <t>Magnetic</t>
    </r>
  </si>
  <si>
    <t>California AirSales (CAS)[JOSE GONZALES]/S12</t>
  </si>
  <si>
    <t>AOG / 44ea quoted
Emailed Doug</t>
  </si>
  <si>
    <t xml:space="preserve"> 316 AVIATION</t>
  </si>
  <si>
    <t>FLAP CARRIAGE</t>
  </si>
  <si>
    <t>65-46481-156
ALT 65-46481-146</t>
  </si>
  <si>
    <t>Zina</t>
  </si>
  <si>
    <t>VRH-PO-1403-209</t>
  </si>
  <si>
    <t>S12 / Electronic</t>
  </si>
  <si>
    <t>65-46481-119</t>
  </si>
  <si>
    <t>Aero pacific</t>
  </si>
  <si>
    <t>THRUST REVERSER HYDRAULIC SYSTEM FUSES</t>
  </si>
  <si>
    <t>S/V</t>
  </si>
  <si>
    <t>AOG Logistic</t>
  </si>
  <si>
    <t>MARFA</t>
  </si>
  <si>
    <t>336-044-001-0</t>
  </si>
  <si>
    <t>Q6406</t>
  </si>
  <si>
    <t>3876128-2</t>
  </si>
  <si>
    <t>OIL LEVEL SWITCH</t>
  </si>
  <si>
    <t>04/30/2025
AOG</t>
  </si>
  <si>
    <t>702409-1001</t>
  </si>
  <si>
    <t>INDICATOR ASSY-EXIT</t>
  </si>
  <si>
    <t>822-1047-002</t>
  </si>
  <si>
    <t>TRANSCEIVER-VHF NO.1</t>
  </si>
  <si>
    <t>B9845-8-1665</t>
  </si>
  <si>
    <t>LT CARGO CMPT LIGHT ASSY</t>
  </si>
  <si>
    <t>BACC18R60C</t>
  </si>
  <si>
    <t>CKT BKR-BAT CHG</t>
  </si>
  <si>
    <t>C22102-262-007</t>
  </si>
  <si>
    <t>LAMP ASSY</t>
  </si>
  <si>
    <t>MS3459LS14S-5S</t>
  </si>
  <si>
    <t>PLUG-FUEL SOV NO.2</t>
  </si>
  <si>
    <t>KAPO-14030937</t>
  </si>
  <si>
    <t>Siam Aero</t>
  </si>
  <si>
    <t>DASI HQ
(30 days LT)</t>
  </si>
  <si>
    <t>Cancelled by Customer! Out of No reason</t>
  </si>
  <si>
    <t>initialy we want to buy from dasi $690</t>
  </si>
  <si>
    <t>PDQ AIRSPARES LTD</t>
  </si>
  <si>
    <t>TURBO out of stock
Alt: 9673M11P01</t>
  </si>
  <si>
    <t>DOUGLAS</t>
  </si>
  <si>
    <t>112 revised to 150 qty due to SPQ</t>
  </si>
  <si>
    <t>S7/Doug</t>
  </si>
  <si>
    <t>تحویل به مشتری
Rejected</t>
  </si>
  <si>
    <t>Olivia
YLF</t>
  </si>
  <si>
    <t>Q5906(Revised)</t>
  </si>
  <si>
    <t>SH4662
TA4218-IN1646&amp;Email
26-Feb-2024&amp;13-05-2024&amp;18-01-2025</t>
  </si>
  <si>
    <t>SHBN/TVS</t>
  </si>
  <si>
    <t>Ansett</t>
  </si>
  <si>
    <t>YLF</t>
  </si>
  <si>
    <t xml:space="preserve"> 1-2</t>
  </si>
  <si>
    <t>Q6274(Revised)</t>
  </si>
  <si>
    <r>
      <t xml:space="preserve">Jet Parts Engineering LLC 
</t>
    </r>
    <r>
      <rPr>
        <b/>
        <sz val="12.5"/>
        <color theme="1"/>
        <rFont val="Times New Roman"/>
        <family val="1"/>
      </rPr>
      <t>Doug</t>
    </r>
  </si>
  <si>
    <r>
      <t xml:space="preserve">Saywell
</t>
    </r>
    <r>
      <rPr>
        <b/>
        <sz val="12.5"/>
        <color rgb="FFFF0000"/>
        <rFont val="Times New Roman"/>
        <family val="1"/>
      </rPr>
      <t>Doug May be helpful</t>
    </r>
  </si>
  <si>
    <t>Quantum Air Services</t>
  </si>
  <si>
    <t>Originally quoted Latch
Purchased Lamp(Bombardier) instead / Customer rejected</t>
  </si>
  <si>
    <t>SAYWELL (YLF)</t>
  </si>
  <si>
    <t xml:space="preserve"> پارت ABS0201-01B9  تحویل داده شده بود. منتظر عودت مشتری</t>
  </si>
  <si>
    <t>منتظر عودت مشتری
Rejected</t>
  </si>
  <si>
    <t>Original quote from Seal Dynamic with price $2932.50
Customer has requested PMA:   763A0000JP-03  Must have FAA</t>
  </si>
  <si>
    <t>763A0000JP-03</t>
  </si>
  <si>
    <t>M83420/4-001</t>
  </si>
  <si>
    <t>MS51844-62</t>
  </si>
  <si>
    <t>Sleeve, Wire Rope</t>
  </si>
  <si>
    <t>Rivet, Solid, Countersink Head
(1/8 lb)</t>
  </si>
  <si>
    <t>Wire Rope, Nylon Coated, Stainless Steel (1400
feet)</t>
  </si>
  <si>
    <t>A320, B737</t>
  </si>
  <si>
    <t>338-010-601-0</t>
  </si>
  <si>
    <t>FAN SHAFT</t>
  </si>
  <si>
    <t>Jet International Company, L.L.C
Cert: May 30, 2024, CR 5060
APOC, Just Air, AMP, Drift Alt</t>
  </si>
  <si>
    <t>Q6409</t>
  </si>
  <si>
    <t>SH4936
TA5095-IN1725
13-Oct-2024</t>
  </si>
  <si>
    <t>Aero-Zone</t>
  </si>
  <si>
    <t>53 North Aviation</t>
  </si>
  <si>
    <t>Jetrux</t>
  </si>
  <si>
    <t>AOG
2025.02.13</t>
  </si>
  <si>
    <t>20 revised to 50 qty due to SPQ
2025.02.13</t>
  </si>
  <si>
    <t xml:space="preserve"> 2025.03.20</t>
  </si>
  <si>
    <t>JMF Global, INC</t>
  </si>
  <si>
    <t>Shipping Cost</t>
  </si>
  <si>
    <t>Shipping Status</t>
  </si>
  <si>
    <t>HK to Iran</t>
  </si>
  <si>
    <t>A320
B747-400</t>
  </si>
  <si>
    <t>AVSTOCK AERO ASSETS (JR)</t>
  </si>
  <si>
    <t>LAMP (EMBERAER)</t>
  </si>
  <si>
    <t xml:space="preserve">ALT 65-46481-143
This part was supposed to be purchased from Zina, but cancelled due to Zina request to ship to end user. </t>
  </si>
  <si>
    <t>Tru Serv
Koolhaas Alphen BV
Initial Price 2200</t>
  </si>
  <si>
    <t>983-6S10-06SN</t>
  </si>
  <si>
    <t>Connector</t>
  </si>
  <si>
    <t>M85049/52S10N</t>
  </si>
  <si>
    <t>Back shell</t>
  </si>
  <si>
    <r>
      <t>MRO AGL Aerospace Corp
($</t>
    </r>
    <r>
      <rPr>
        <b/>
        <sz val="12.5"/>
        <color theme="1"/>
        <rFont val="Century"/>
        <family val="1"/>
      </rPr>
      <t>4000 - RP 2010)</t>
    </r>
  </si>
  <si>
    <t>Aerotrends Aviation</t>
  </si>
  <si>
    <t>HEICO / S1</t>
  </si>
  <si>
    <t>CANCELL</t>
  </si>
  <si>
    <t>MTI AVIATION, INC / JR</t>
  </si>
  <si>
    <t>Jet Parts Engineering LLC 
Doug</t>
  </si>
  <si>
    <t>was rejected by customer
1. We were not able to purchase from zina
2. Cert for the alternative PN() from aerotrends was rejected</t>
  </si>
  <si>
    <t>1C4196</t>
  </si>
  <si>
    <t>NAS1611-214A</t>
  </si>
  <si>
    <t>MS28782-19</t>
  </si>
  <si>
    <t>MS28782-13</t>
  </si>
  <si>
    <t xml:space="preserve"> NAS1611-115 </t>
  </si>
  <si>
    <t>CHECK VALVE</t>
  </si>
  <si>
    <t>O-RING</t>
  </si>
  <si>
    <t>BACK UP RING</t>
  </si>
  <si>
    <t>M39</t>
  </si>
  <si>
    <t>AEROPACIFIC</t>
  </si>
  <si>
    <t>AN503-6-6</t>
  </si>
  <si>
    <t>MS21042L4</t>
  </si>
  <si>
    <t>MS27039-5-11</t>
  </si>
  <si>
    <t>MS27039-5-16</t>
  </si>
  <si>
    <t>NAS1330H3K116L</t>
  </si>
  <si>
    <t>DPP4FS464</t>
  </si>
  <si>
    <t>MS21069L3</t>
  </si>
  <si>
    <t>W-20250121</t>
  </si>
  <si>
    <r>
      <t>BOLT, SHEAR-</t>
    </r>
    <r>
      <rPr>
        <b/>
        <sz val="12.5"/>
        <color rgb="FFFF0000"/>
        <rFont val="Times New Roman"/>
        <family val="1"/>
      </rPr>
      <t>13EA</t>
    </r>
  </si>
  <si>
    <t>Total 50 EA</t>
  </si>
  <si>
    <t>990-3-13</t>
  </si>
  <si>
    <t>D2907031600000</t>
  </si>
  <si>
    <t>F5357640920000</t>
  </si>
  <si>
    <t>F5357641420800</t>
  </si>
  <si>
    <t>D5311251200100</t>
  </si>
  <si>
    <t>D5311251200000</t>
  </si>
  <si>
    <t>D5311251200500</t>
  </si>
  <si>
    <t>PROBE</t>
  </si>
  <si>
    <t>FITTING ASSY - SPECIAL</t>
  </si>
  <si>
    <t>E.2025.A340.015</t>
  </si>
  <si>
    <t>February 12, 2025</t>
  </si>
  <si>
    <t>DASI HQ
MFG 2010-2014</t>
  </si>
  <si>
    <t>DASI HQ
MFG 2013</t>
  </si>
  <si>
    <t>5 EA</t>
  </si>
  <si>
    <t>Monroe</t>
  </si>
  <si>
    <t>DASI HQ
MFG 2007</t>
  </si>
  <si>
    <t>customer wanted SV we sold OH</t>
  </si>
  <si>
    <t>VRH-PO-1403-231</t>
  </si>
  <si>
    <t>2J1659</t>
  </si>
  <si>
    <t>JACK-INPH</t>
  </si>
  <si>
    <t>65-55551-16</t>
  </si>
  <si>
    <t>BELLCRANK ASSY</t>
  </si>
  <si>
    <t>2A7-200A</t>
  </si>
  <si>
    <t>ACTUATOR ASSY-MACH TRIM
LINEAR</t>
  </si>
  <si>
    <t>65C26869-2</t>
  </si>
  <si>
    <t>AUTO SLAT VALVE ASS</t>
  </si>
  <si>
    <t>Cavalier Aerospace, LLC</t>
  </si>
  <si>
    <t>975-0172-006</t>
  </si>
  <si>
    <t>SATAIR</t>
  </si>
  <si>
    <t>2J-1865A
2J1865A</t>
  </si>
  <si>
    <t>3000-46-29</t>
  </si>
  <si>
    <t>February 16, 2025</t>
  </si>
  <si>
    <t>Was Suppopsed to purchase from DASI
Rejected due to not having MFG CERT
M31 requires MFG Certs for ENGINE PARTS***</t>
  </si>
  <si>
    <t>Order Date: 09/02/2025</t>
  </si>
  <si>
    <t>Critical</t>
  </si>
  <si>
    <t>63274-008</t>
  </si>
  <si>
    <t>M47</t>
  </si>
  <si>
    <t>Dasi HQ</t>
  </si>
  <si>
    <t>HAND MIKE</t>
  </si>
  <si>
    <t>first purchasing :68.47 / selling 101</t>
  </si>
  <si>
    <t>JACAERO</t>
  </si>
  <si>
    <t>SOUTHERN CROSS AVIATION</t>
  </si>
  <si>
    <t xml:space="preserve">MS27643-4 </t>
  </si>
  <si>
    <t>STAGE 3 DISK</t>
  </si>
  <si>
    <t>VRH-PO-1403-246</t>
  </si>
  <si>
    <t>BOOSTER SPOOL</t>
  </si>
  <si>
    <t>335-009-306-0
CR: 5,684</t>
  </si>
  <si>
    <t>1590M59P01
CR: 4,376</t>
  </si>
  <si>
    <t>1275M37P02
CR: 4,729</t>
  </si>
  <si>
    <t>1319M25P02
CR: 3,929</t>
  </si>
  <si>
    <t>REAR AIR SEAL</t>
  </si>
  <si>
    <t>HPCR SHAFT</t>
  </si>
  <si>
    <t>STAGE 1-2 SPOOL</t>
  </si>
  <si>
    <t>1589M66G02
CR: 3,199</t>
  </si>
  <si>
    <t>Mindaugas</t>
  </si>
  <si>
    <t>MDA Aerospace Inc</t>
  </si>
  <si>
    <t>M0</t>
  </si>
  <si>
    <t>S1 / MHR</t>
  </si>
  <si>
    <t>X</t>
  </si>
  <si>
    <t>VRH-PO-1403-247</t>
  </si>
  <si>
    <t>16-3518-11H</t>
  </si>
  <si>
    <t>Socket, Plug-in</t>
  </si>
  <si>
    <t>shengyuic.com</t>
  </si>
  <si>
    <t>61-s-mhb</t>
  </si>
  <si>
    <t xml:space="preserve"> 35-1B-2-5-3 </t>
  </si>
  <si>
    <t>DS87C520-ENL+ or
DS87C520-QNL+</t>
  </si>
  <si>
    <t>HOLDER, PRINTED WIRI</t>
  </si>
  <si>
    <t>MICROCIRCUIT, MEMORY</t>
  </si>
  <si>
    <t>23-MO</t>
  </si>
  <si>
    <t>OnlineComponent</t>
  </si>
  <si>
    <t>MAGNETIC GROUP</t>
  </si>
  <si>
    <t>Satair</t>
  </si>
  <si>
    <t>NEW Price $1245</t>
  </si>
  <si>
    <t>467.72
612</t>
  </si>
  <si>
    <t>1800 instead of 1050</t>
  </si>
  <si>
    <t>Aerospace Manufacturing</t>
  </si>
  <si>
    <t>Apex (Kasra Mokhlesi)</t>
  </si>
  <si>
    <t>520260 / 520360 :]</t>
  </si>
  <si>
    <t>E.2025.02.007R</t>
  </si>
  <si>
    <t>January 20, 2025</t>
  </si>
  <si>
    <t>NAS6820A6</t>
  </si>
  <si>
    <t>MS2105L06</t>
  </si>
  <si>
    <t>NUTPLATE</t>
  </si>
  <si>
    <t>THE ALTERNATIVE WAS NOT CONFIRMED</t>
  </si>
  <si>
    <r>
      <t xml:space="preserve">DASI HQ
</t>
    </r>
    <r>
      <rPr>
        <b/>
        <sz val="12.5"/>
        <color rgb="FFFF0000"/>
        <rFont val="Times New Roman"/>
        <family val="1"/>
      </rPr>
      <t>MFG OLD CERT</t>
    </r>
  </si>
  <si>
    <t>$2,520 PREPAID
(15 %)</t>
  </si>
  <si>
    <t xml:space="preserve">DASI </t>
  </si>
  <si>
    <t>PLEASE INCLUDE SHIP TO ADDRESS ONCE UNIT READY TO SHIP
50% PAID
Remains $11,000</t>
  </si>
  <si>
    <r>
      <t>BOEING/</t>
    </r>
    <r>
      <rPr>
        <b/>
        <sz val="12.5"/>
        <color rgb="FFFF0000"/>
        <rFont val="Times New Roman"/>
        <family val="1"/>
      </rPr>
      <t>DASI 10 EA</t>
    </r>
  </si>
  <si>
    <t>Mainly it was $950 from Turbo. But the universe is not with us.</t>
  </si>
  <si>
    <t>S12/ OAI Stock LLC</t>
  </si>
  <si>
    <t>No.</t>
  </si>
  <si>
    <t>Part Number</t>
  </si>
  <si>
    <t>CON</t>
  </si>
  <si>
    <t>Unit Price</t>
  </si>
  <si>
    <t>Total Price</t>
  </si>
  <si>
    <t>1355-1363-606</t>
  </si>
  <si>
    <t>PACKING,PREFORMED</t>
  </si>
  <si>
    <t>1355-1363-012</t>
  </si>
  <si>
    <t>NE MFG COC 4-5 WEEKS</t>
  </si>
  <si>
    <t>1355-1363-612</t>
  </si>
  <si>
    <t>1355-1363-615</t>
  </si>
  <si>
    <t>BEARING,BALL</t>
  </si>
  <si>
    <t>1355-1363-623</t>
  </si>
  <si>
    <t>1355-1363-654</t>
  </si>
  <si>
    <t>1355-1363-622</t>
  </si>
  <si>
    <t>1355-1363-631</t>
  </si>
  <si>
    <t>1355-1363-651</t>
  </si>
  <si>
    <t>1355-1363-617</t>
  </si>
  <si>
    <t>NAS1301-6-6</t>
  </si>
  <si>
    <t>E.2025.HMU.020</t>
  </si>
  <si>
    <t>180206WD</t>
  </si>
  <si>
    <t>Commercial Aviation Resources</t>
  </si>
  <si>
    <t>02 Apr 2025
10 Feb 2025</t>
  </si>
  <si>
    <t>1109
Mr KZM</t>
  </si>
  <si>
    <t>502222001-603 
(Alt to 63274-008)</t>
  </si>
  <si>
    <t>69-72023-4</t>
  </si>
  <si>
    <t>LOWER TOROSION LINK PIN</t>
  </si>
  <si>
    <t>VRH-PO-1404-10</t>
  </si>
  <si>
    <t>65-46140-9</t>
  </si>
  <si>
    <t>65-46140-6</t>
  </si>
  <si>
    <t>PIN-TORSIONLINK</t>
  </si>
  <si>
    <t>Drag Strut Tee Bolt Assy</t>
  </si>
  <si>
    <t>69-72023-2
(CR : 42,855)</t>
  </si>
  <si>
    <t>DASI HQ
(DAR)</t>
  </si>
  <si>
    <t>VRH-PO-1404-11</t>
  </si>
  <si>
    <t>SPOOL STAGE 4-9</t>
  </si>
  <si>
    <t>FWD HPT SHAFT</t>
  </si>
  <si>
    <t>Aviation Power Inc</t>
  </si>
  <si>
    <t>1385M90P04
(CR = 3,727)</t>
  </si>
  <si>
    <t>1588M89G03
(CR = 4,376)</t>
  </si>
  <si>
    <t>UOM</t>
  </si>
  <si>
    <t>A/C</t>
  </si>
  <si>
    <t>Cond.</t>
  </si>
  <si>
    <t>Discount</t>
  </si>
  <si>
    <t>Priority</t>
  </si>
  <si>
    <t>Delivery Days</t>
  </si>
  <si>
    <t>MRF No.</t>
  </si>
  <si>
    <t>Remark</t>
  </si>
  <si>
    <t>Your Reference</t>
  </si>
  <si>
    <t>3290050-4</t>
  </si>
  <si>
    <t>3-1/2"SURGE CONT VLV</t>
  </si>
  <si>
    <t>EA</t>
  </si>
  <si>
    <t>OVH</t>
  </si>
  <si>
    <t>H502-1-220-306</t>
  </si>
  <si>
    <t>LATCH</t>
  </si>
  <si>
    <t>EMDP PLUG</t>
  </si>
  <si>
    <t>TH25028</t>
  </si>
  <si>
    <t>INSERT</t>
  </si>
  <si>
    <t>SCD510-44-8</t>
  </si>
  <si>
    <t>AUDIO SELECTOR PANEL SWITCH</t>
  </si>
  <si>
    <t>PACKING-SEAL</t>
  </si>
  <si>
    <t>69-46451-1</t>
  </si>
  <si>
    <t>DISC-CLUTCH</t>
  </si>
  <si>
    <t>69-44965-1</t>
  </si>
  <si>
    <t>7-44169-3</t>
  </si>
  <si>
    <t>CABLE ASSY-THROTTLE</t>
  </si>
  <si>
    <t>69-44994-2</t>
  </si>
  <si>
    <t>LWR Torsion Link Pin</t>
  </si>
  <si>
    <t>STRUT ASSY-DRAG</t>
  </si>
  <si>
    <t>69-38993-1</t>
  </si>
  <si>
    <t>BOLT-REACTION LINK UPLOCK</t>
  </si>
  <si>
    <t>65-46133-3</t>
  </si>
  <si>
    <t>UPR Side Strut Assy</t>
  </si>
  <si>
    <t>CR : 37695</t>
  </si>
  <si>
    <t>VRH-PO-1404-02</t>
  </si>
  <si>
    <t>MS21209F4-20</t>
  </si>
  <si>
    <t>BACC63BN18C8S</t>
  </si>
  <si>
    <t>10732-AHC-3MT</t>
  </si>
  <si>
    <t>580-291-021</t>
  </si>
  <si>
    <t>AE69-44994-2</t>
  </si>
  <si>
    <t>69-72023-1
(CR : 73,250)</t>
  </si>
  <si>
    <t>65-46103-11
(CR : 40,175)</t>
  </si>
  <si>
    <t>65-46133-3
(CR : 37,695)</t>
  </si>
  <si>
    <t>tailwindafrica</t>
  </si>
  <si>
    <t>peigenesis</t>
  </si>
  <si>
    <t>measure-tech.com</t>
  </si>
  <si>
    <t>DASI  Phoenix</t>
  </si>
  <si>
    <t>Dasi HQ and Glendale</t>
  </si>
  <si>
    <t>North Star Aerospace, Inc</t>
  </si>
  <si>
    <t>AVENGER</t>
  </si>
  <si>
    <t>SPECTRUM</t>
  </si>
  <si>
    <t>MGH &amp; SHBN</t>
  </si>
  <si>
    <t>G5347900900100</t>
  </si>
  <si>
    <t>BOLT ASSY</t>
  </si>
  <si>
    <t>NE MFG COC
L/T: 4-5 WEEK</t>
  </si>
  <si>
    <t>89-01-07045</t>
  </si>
  <si>
    <t>HANDSET</t>
  </si>
  <si>
    <t>4192-10</t>
  </si>
  <si>
    <t>NS
40 DAYS</t>
  </si>
  <si>
    <t>13100008-1</t>
  </si>
  <si>
    <t>CLIP-NUTS</t>
  </si>
  <si>
    <t>NE MGF COC
4-5 WEEKS</t>
  </si>
  <si>
    <t>2LA455276-10</t>
  </si>
  <si>
    <t>NE MGF COC 4-5 WEEKS</t>
  </si>
  <si>
    <t>CH251533</t>
  </si>
  <si>
    <t>SWITCH-LOCKED UNLOCKED ACTUATOR)</t>
  </si>
  <si>
    <t>CH2325-0241</t>
  </si>
  <si>
    <t>SEAL RING</t>
  </si>
  <si>
    <t xml:space="preserve">NE </t>
  </si>
  <si>
    <t>E.2025.A340.023</t>
  </si>
  <si>
    <t>DASI HQ
(MFG 2010)</t>
  </si>
  <si>
    <t xml:space="preserve">DASI  Lake Forest, CA </t>
  </si>
  <si>
    <t>BOEING ???</t>
  </si>
  <si>
    <t>100K paid
60K &amp; 52,8K Paid
50$ CREDIT FOR END OF THE APR 2025</t>
  </si>
  <si>
    <t>REQUOTE</t>
  </si>
  <si>
    <t>Order runned with selling price of 1200</t>
  </si>
  <si>
    <t xml:space="preserve"> کردیت</t>
  </si>
  <si>
    <t>Customer QTY</t>
  </si>
  <si>
    <t>DPP4FS464
DPP4-FS464</t>
  </si>
  <si>
    <t>500 ordered but 1000 delivered</t>
  </si>
  <si>
    <t>69-72023-1
(CR : 73,250)
This part was ordered first</t>
  </si>
  <si>
    <t>69-72023-4 
(CSN: 17,950)</t>
  </si>
  <si>
    <t>69-72023-1</t>
  </si>
  <si>
    <t>Apex</t>
  </si>
  <si>
    <t>1589M66G02
CR: 3,517</t>
  </si>
  <si>
    <t>Douglas</t>
  </si>
  <si>
    <t>BACC63BN18C8SN</t>
  </si>
  <si>
    <t>AUTOMATIC CABIN PRESSURE CONTROLLER</t>
  </si>
  <si>
    <t>MOTOR ACTUATED DUAL ROTORY SHUTOFF VALVE</t>
  </si>
  <si>
    <t>204950-5-5</t>
  </si>
  <si>
    <t>AIR CYCLE MACHINE COOLING TURBINE</t>
  </si>
  <si>
    <t>3-4 WORKING WEEKS</t>
  </si>
  <si>
    <t>SVC</t>
  </si>
  <si>
    <t>7957134-525</t>
  </si>
  <si>
    <t>PPI</t>
  </si>
  <si>
    <t>5-6 WORKING WEEKS</t>
  </si>
  <si>
    <t>7957134-1</t>
  </si>
  <si>
    <t>API</t>
  </si>
  <si>
    <t>FUEL TEMP INDICATORS</t>
  </si>
  <si>
    <t>2CM9ABH7</t>
  </si>
  <si>
    <t>GENERATOR TACHOMETER N1</t>
  </si>
  <si>
    <t>2588533-901</t>
  </si>
  <si>
    <t>INSTRUMENT AMPLIFIER RACK</t>
  </si>
  <si>
    <t>6-7 WORKING WEEKS</t>
  </si>
  <si>
    <t>114426-21</t>
  </si>
  <si>
    <t>MASK ASSY CREW OXYGEN</t>
  </si>
  <si>
    <t>240695-2</t>
  </si>
  <si>
    <t>29261-7E-A1</t>
  </si>
  <si>
    <t>OXYGEN REGULATOR ASSY</t>
  </si>
  <si>
    <t>PUMP ASSY</t>
  </si>
  <si>
    <t>11206-007</t>
  </si>
  <si>
    <t>VALVE ASSY DRAIN</t>
  </si>
  <si>
    <t>321858-3-1</t>
  </si>
  <si>
    <t>VALVE ASSY TEMP CONTROL</t>
  </si>
  <si>
    <t>HYD AUX PUMP</t>
  </si>
  <si>
    <t>45-0057-1</t>
  </si>
  <si>
    <t>LANDING LIGHT</t>
  </si>
  <si>
    <t>392796-5</t>
  </si>
  <si>
    <t>STARTER VLV</t>
  </si>
  <si>
    <t>Grand Total</t>
  </si>
  <si>
    <t>2117180-3
Alt PN : 2117180-2</t>
  </si>
  <si>
    <r>
      <t>MRO AGL Aerospace Corp
($</t>
    </r>
    <r>
      <rPr>
        <b/>
        <sz val="12.5"/>
        <color theme="1"/>
        <rFont val="Times New Roman"/>
        <family val="1"/>
      </rPr>
      <t>4000 - RP 2010)</t>
    </r>
  </si>
  <si>
    <t>Total</t>
  </si>
  <si>
    <t>MD</t>
  </si>
  <si>
    <t>14031053</t>
  </si>
  <si>
    <t>Order runned with selling price of 1200
We sell it with a discount from 3980 to 3200</t>
  </si>
  <si>
    <t>with discount</t>
  </si>
  <si>
    <t>AQA
2024</t>
  </si>
  <si>
    <t>DASI HQ
2022</t>
  </si>
  <si>
    <t>AQA
5 D</t>
  </si>
  <si>
    <t>AQA
7 D</t>
  </si>
  <si>
    <t>CAVALIER
15-18 D</t>
  </si>
  <si>
    <t>DASI HQ
2024</t>
  </si>
  <si>
    <t>Prestige 
5-7 D</t>
  </si>
  <si>
    <t>Cavalier Aerospace, LLC
2024</t>
  </si>
  <si>
    <t>AQA
TAG DATE???</t>
  </si>
  <si>
    <t>65-46113-16</t>
  </si>
  <si>
    <t>TRUNNION PIN ASSY</t>
  </si>
  <si>
    <t>VRH-PO-1404-16</t>
  </si>
  <si>
    <t>4/14/2025</t>
  </si>
  <si>
    <t>65-46113-21</t>
  </si>
  <si>
    <t>M25988-4-112</t>
  </si>
  <si>
    <t>M25988-4-242</t>
  </si>
  <si>
    <t>AS43013-153</t>
  </si>
  <si>
    <t>AS43013-122</t>
  </si>
  <si>
    <t>M25988-4-133</t>
  </si>
  <si>
    <t>AS43013-014</t>
  </si>
  <si>
    <t>AS43013-018</t>
  </si>
  <si>
    <t>AS43003-904</t>
  </si>
  <si>
    <t>Seal end cover assay</t>
  </si>
  <si>
    <t>O-Ring for test fitting</t>
  </si>
  <si>
    <t>Seal valve guide</t>
  </si>
  <si>
    <t>Seal rosan insert</t>
  </si>
  <si>
    <t>14041-2440</t>
  </si>
  <si>
    <t>OnlineComponent/S12</t>
  </si>
  <si>
    <t>peigenesis/S12</t>
  </si>
  <si>
    <t>LPT STUB SHAFT</t>
  </si>
  <si>
    <t>301-330-626-0
CR = 7,275</t>
  </si>
  <si>
    <t>CONICAL SUPPORT</t>
  </si>
  <si>
    <t>STAGE 3 LPT DISK</t>
  </si>
  <si>
    <t>305-056-116-0
CR = 3,562</t>
  </si>
  <si>
    <t>301-331-322-0
CR = 4,567</t>
  </si>
  <si>
    <t>AMP</t>
  </si>
  <si>
    <t>301-331-126-0</t>
  </si>
  <si>
    <t>STAGE 1 LPT DISK</t>
  </si>
  <si>
    <t>1403-117</t>
  </si>
  <si>
    <t>WENCOR/S12</t>
  </si>
  <si>
    <t>PACIFIC AIR/S12</t>
  </si>
  <si>
    <t xml:space="preserve">ADVANTAGE
15-20 Days </t>
  </si>
  <si>
    <t>1319M25P02
CR: 3,929 was ordered first</t>
  </si>
  <si>
    <t>1319M25P02
CR: 6,666</t>
  </si>
  <si>
    <t>14F02-20A</t>
  </si>
  <si>
    <t>14J02-48A</t>
  </si>
  <si>
    <t>14J02-56A</t>
  </si>
  <si>
    <t>14F02-56A</t>
  </si>
  <si>
    <t>M25988/1-117</t>
  </si>
  <si>
    <t>M25988/1-214</t>
  </si>
  <si>
    <t>M25988/1-218</t>
  </si>
  <si>
    <t>M25988/1-222</t>
  </si>
  <si>
    <t>M25988/1-226</t>
  </si>
  <si>
    <t>M25988/1-230</t>
  </si>
  <si>
    <t>M25988/1-234</t>
  </si>
  <si>
    <t>M25988/1-238</t>
  </si>
  <si>
    <t xml:space="preserve">COUPLING, RETAINER </t>
  </si>
  <si>
    <t>24Coup</t>
  </si>
  <si>
    <t>Boeing</t>
  </si>
  <si>
    <t>Kastle Aviation Inc</t>
  </si>
  <si>
    <t>TA5608-IN1714</t>
  </si>
  <si>
    <t>SHGH</t>
  </si>
  <si>
    <t>first purchasing :68.47 / selling 101
11 EA $297 from Douglas</t>
  </si>
  <si>
    <t>عدم موجودی</t>
  </si>
  <si>
    <t>Price before discount: $26,000.0</t>
  </si>
  <si>
    <t>Price before discount: $16,400.0</t>
  </si>
  <si>
    <t>Price before discount: $28,500.0</t>
  </si>
  <si>
    <t>Price before discount: $12,200.0</t>
  </si>
  <si>
    <t>NOTE 01</t>
  </si>
  <si>
    <t>NOTE 02</t>
  </si>
  <si>
    <t>MAGNETIC GROUP
Estonia</t>
  </si>
  <si>
    <t>H502-1-220-306
BACL10AH5</t>
  </si>
  <si>
    <t>$9,750 PAID</t>
  </si>
  <si>
    <t>measure-tech.com / DOUGLAS</t>
  </si>
  <si>
    <t>North Star Aerospace, Inc / DOUGLAS</t>
  </si>
  <si>
    <t>65-63378-9</t>
  </si>
  <si>
    <t>TRUNNION LINK ASSY</t>
  </si>
  <si>
    <t>65-63378-20 
CR :40,299</t>
  </si>
  <si>
    <t>65-46108-19</t>
  </si>
  <si>
    <t>ACTUATOR BEAM ASSY</t>
  </si>
  <si>
    <t>VRH-PO-1404-18</t>
  </si>
  <si>
    <t>LANDING AEROSPACE
(7 Days)</t>
  </si>
  <si>
    <t>Suncoast Landing Systems</t>
  </si>
  <si>
    <t>TA5811-IN2337</t>
  </si>
  <si>
    <t>4-6 WEEKS</t>
  </si>
  <si>
    <t>65C37853-63</t>
  </si>
  <si>
    <t xml:space="preserve">TOP KIT </t>
  </si>
  <si>
    <t>Aile Aviation Services BV</t>
  </si>
  <si>
    <t>s</t>
  </si>
  <si>
    <t>Customer QTY (EA)</t>
  </si>
  <si>
    <t>Primary (Alt) P/N</t>
  </si>
  <si>
    <t>PO#</t>
  </si>
  <si>
    <t>IN#</t>
  </si>
  <si>
    <t>TOTAL EXPENDITURE</t>
  </si>
  <si>
    <t>Vendor</t>
  </si>
  <si>
    <t>DP#</t>
  </si>
  <si>
    <t>SN#</t>
  </si>
  <si>
    <t>Supplier Delivery Time
(Days)</t>
  </si>
  <si>
    <t>Customer Delivery Time
(Days)</t>
  </si>
  <si>
    <t xml:space="preserve">دریافت جنس توسط warehouse </t>
  </si>
  <si>
    <t>کنسل توسط مشتری</t>
  </si>
  <si>
    <t>کنسل توسط ما</t>
  </si>
  <si>
    <t>BER</t>
  </si>
  <si>
    <t xml:space="preserve">در حال حمل به warehouse </t>
  </si>
  <si>
    <t>Not Started</t>
  </si>
  <si>
    <t>Delivered to Customer</t>
  </si>
  <si>
    <t>Clearing Customs</t>
  </si>
  <si>
    <t>Shipping to Iran</t>
  </si>
  <si>
    <t>Receiving Customs Bill</t>
  </si>
  <si>
    <t>Cancelled by Us</t>
  </si>
  <si>
    <t>Cancelled by Customer</t>
  </si>
  <si>
    <t>Awaiting Shipment by Supplier</t>
  </si>
  <si>
    <t>In Production / Purchasing</t>
  </si>
  <si>
    <t>Negotiating with Customer</t>
  </si>
  <si>
    <t>Received in Warehouse</t>
  </si>
  <si>
    <t>In Repair Shop</t>
  </si>
  <si>
    <t>Received in Office</t>
  </si>
  <si>
    <t>Negotiating with Supplier</t>
  </si>
  <si>
    <t>Shipping to Warehouse</t>
  </si>
  <si>
    <t>Under Contract</t>
  </si>
  <si>
    <t>Purchasing Unit Price (USD)</t>
  </si>
  <si>
    <t>Purchasing Total Price (USD)</t>
  </si>
  <si>
    <t>Selling Unit Price (USD)</t>
  </si>
  <si>
    <t>Selling Total Price (USD)</t>
  </si>
  <si>
    <t>Track#</t>
  </si>
  <si>
    <t>Warehouse</t>
  </si>
  <si>
    <t>Under Payment</t>
  </si>
  <si>
    <t>Credit</t>
  </si>
  <si>
    <t>M48</t>
  </si>
  <si>
    <t>交易金额/Amount</t>
  </si>
  <si>
    <t>USD</t>
  </si>
  <si>
    <t>银行费/Bank Fee</t>
  </si>
  <si>
    <t xml:space="preserve"> 本公司支付所有的银行费用</t>
  </si>
  <si>
    <t>本公司支付本地银行费用，受款人支付海外银行费用。</t>
  </si>
  <si>
    <t>受款公司支付所有的银行费用</t>
  </si>
  <si>
    <t>APN</t>
  </si>
  <si>
    <t>收款公司资料 (Receiver Company Info)</t>
  </si>
  <si>
    <t>Name of Company</t>
  </si>
  <si>
    <t>Account</t>
  </si>
  <si>
    <t>Swift</t>
  </si>
  <si>
    <t>收款公司地/Company Address</t>
  </si>
  <si>
    <t>收款银行资料 (Receiver Bank Info)</t>
  </si>
  <si>
    <t>银行名称/Receiving Bank Name</t>
  </si>
  <si>
    <t>银行地址/Bank Address</t>
  </si>
  <si>
    <t>$7165-APN468-M48</t>
  </si>
  <si>
    <t>MUST BE PAID BY LYC</t>
  </si>
  <si>
    <t>Väike-Sõjamäe 1A
Tallinn, Estonia 11415</t>
  </si>
  <si>
    <t>Magnetic MRO AS</t>
  </si>
  <si>
    <t>REVOLT21</t>
  </si>
  <si>
    <t>Revolut Bank UAB</t>
  </si>
  <si>
    <t>Please Specify Invoice# MCQ1098268 in payment order</t>
  </si>
  <si>
    <t>IBAN for EUR/USD: LT25 3250 0154 0477 6714
Intermediary BIC for USD: CHASGB2L</t>
  </si>
  <si>
    <t>KONSTITUCIJOS AVE. 21B, VILNIUS, Lithuania</t>
  </si>
  <si>
    <t>$36580.28-APN468-M48-Magnetic MRO AS</t>
  </si>
  <si>
    <t>Waiting for Funding</t>
  </si>
  <si>
    <t>Remaining Payment Deposit</t>
  </si>
  <si>
    <t>Project Finalized</t>
  </si>
  <si>
    <t>Awaiting Payment Confirmation</t>
  </si>
  <si>
    <t>Issue Identified</t>
  </si>
  <si>
    <t>Awaiting Cancellation</t>
  </si>
  <si>
    <t>Awaiting Consolidation</t>
  </si>
  <si>
    <t>Returned to Supplier</t>
  </si>
  <si>
    <t>Returning to Supplier</t>
  </si>
  <si>
    <t>Order not Placed</t>
  </si>
  <si>
    <t>Awaiting Customer Payment</t>
  </si>
  <si>
    <t>$2,440.00</t>
  </si>
  <si>
    <t>本公司支付所有的银行费用</t>
  </si>
  <si>
    <t>MUST BE PAID BY Jetrux</t>
  </si>
  <si>
    <t>Account No.</t>
  </si>
  <si>
    <t xml:space="preserve">  898089156022</t>
  </si>
  <si>
    <t>SWIFT Code</t>
  </si>
  <si>
    <t>BOFAUS6S</t>
  </si>
  <si>
    <t>6340 Techster Blvd, Ft. Myers, Fl 33966, USA</t>
  </si>
  <si>
    <t>BANK OF AMERICA</t>
  </si>
  <si>
    <t>222 BROADWAY, NEW YORK, NY 10038</t>
  </si>
  <si>
    <t>SA-ID#</t>
  </si>
  <si>
    <t>SA-PN</t>
  </si>
  <si>
    <t>AN960-6L</t>
  </si>
  <si>
    <t>51469-2</t>
  </si>
  <si>
    <t>Shim</t>
  </si>
  <si>
    <t>Contact</t>
  </si>
  <si>
    <t>Selling Unit Price (Yuan)</t>
  </si>
  <si>
    <t>Selling Total Price (Yuan)</t>
  </si>
  <si>
    <t>SA161K15</t>
  </si>
  <si>
    <t>SHB</t>
  </si>
  <si>
    <t>3-4 Weeks</t>
  </si>
  <si>
    <t>APEX</t>
  </si>
  <si>
    <t>ANV0193</t>
  </si>
  <si>
    <t>335-352-303-0</t>
  </si>
  <si>
    <t>W3</t>
  </si>
  <si>
    <t>305-355-718-0</t>
  </si>
  <si>
    <t>W3/W7</t>
  </si>
  <si>
    <t>INV</t>
  </si>
  <si>
    <t>SOLD</t>
  </si>
  <si>
    <t>TAP0044017</t>
  </si>
  <si>
    <t>Killick Aerospace</t>
  </si>
  <si>
    <t>VALVE-LOAD CONTROL</t>
  </si>
  <si>
    <t>SA-1014</t>
  </si>
  <si>
    <t>AMJ</t>
  </si>
  <si>
    <t>PO-Synair</t>
  </si>
  <si>
    <t>C201</t>
  </si>
  <si>
    <t>1499M62G09</t>
  </si>
  <si>
    <t>Shroud HPT stator</t>
  </si>
  <si>
    <t>PO26040303-3549</t>
  </si>
  <si>
    <t>TAP0045925</t>
  </si>
  <si>
    <t>Altitude Aero</t>
  </si>
  <si>
    <t>2S6296</t>
  </si>
  <si>
    <t>NAS145A24</t>
  </si>
  <si>
    <t>C501</t>
  </si>
  <si>
    <t>GMT4150-1</t>
  </si>
  <si>
    <t>RP</t>
  </si>
  <si>
    <t>CLOCK</t>
  </si>
  <si>
    <t>Global Trade Aviation</t>
  </si>
  <si>
    <t>B2</t>
  </si>
  <si>
    <t>B5</t>
  </si>
  <si>
    <t>Turbine Works</t>
  </si>
  <si>
    <t>ROLLER BEARING #4
ORM REPAIR</t>
  </si>
  <si>
    <t>Jetline K15</t>
  </si>
  <si>
    <t>Cancelled</t>
  </si>
  <si>
    <t>Aeronova</t>
  </si>
  <si>
    <t>340-167-902-0</t>
  </si>
  <si>
    <t>SUNDER AEROSPACE LLC</t>
  </si>
  <si>
    <t>Received</t>
  </si>
  <si>
    <t>Received Date</t>
  </si>
  <si>
    <t>DE835690</t>
  </si>
  <si>
    <t>Aerospace Support International</t>
  </si>
  <si>
    <t>PO5633</t>
  </si>
  <si>
    <t>B1/B2</t>
  </si>
  <si>
    <t xml:space="preserve">3617750-1 </t>
  </si>
  <si>
    <t>FUEL CONTROL UNIT</t>
  </si>
  <si>
    <t>1070JP</t>
  </si>
  <si>
    <t>PN 340-167-902-0</t>
  </si>
  <si>
    <t>DD924006-B</t>
  </si>
  <si>
    <t>DC15340-V</t>
  </si>
  <si>
    <t>1662</t>
  </si>
  <si>
    <t>3291432-2</t>
  </si>
  <si>
    <t>S11, Our Stock</t>
  </si>
  <si>
    <t>BEARING 4 RLR</t>
  </si>
  <si>
    <t>AIRFLOW COMPONENTS</t>
  </si>
  <si>
    <t>APEX, Our Stock</t>
  </si>
  <si>
    <t>PO15042026-6</t>
  </si>
  <si>
    <t>SA-260416</t>
  </si>
  <si>
    <t>SA-6619</t>
  </si>
  <si>
    <t>INV Amount</t>
  </si>
  <si>
    <t>Central Line</t>
  </si>
  <si>
    <t>SYD/ASD</t>
  </si>
  <si>
    <t>AHM/SHB</t>
  </si>
  <si>
    <t>Revima Asia Pacific Ltd.</t>
  </si>
  <si>
    <t>PI# to Customer</t>
  </si>
  <si>
    <t>PINV-6628</t>
  </si>
  <si>
    <t>Payment Term</t>
  </si>
  <si>
    <t>Net 30</t>
  </si>
  <si>
    <t>INV Date</t>
  </si>
  <si>
    <t>PINV-6627</t>
  </si>
  <si>
    <t>TAP0045646</t>
  </si>
  <si>
    <t>GHS</t>
  </si>
  <si>
    <t>145-131-9008</t>
  </si>
  <si>
    <t>BOLT (131)</t>
  </si>
  <si>
    <t>quotation Expert</t>
  </si>
  <si>
    <t>ProcurementExpert</t>
  </si>
  <si>
    <t>PO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</si>
</sst>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8" formatCode="&quot;$&quot;#,##0.00_);[Red]\(&quot;$&quot;#,##0.00\)"/>
    <numFmt numFmtId="44" formatCode="_(&quot;$&quot;* #,##0.00_);_(&quot;$&quot;* \(#,##0.00\);_(&quot;$&quot;* &quot;-&quot;??_);_(@_)"/>
    <numFmt numFmtId="164" formatCode="_-&quot;RM&quot;* #,##0.00_-;\-&quot;RM&quot;* #,##0.00_-;_-&quot;RM&quot;* &quot;-&quot;??_-;_-@_-"/>
    <numFmt numFmtId="165" formatCode="_-* #,##0.00_-;\-* #,##0.00_-;_-* &quot;-&quot;??_-;_-@_-"/>
    <numFmt numFmtId="166" formatCode="&quot;$&quot;#,##0"/>
    <numFmt numFmtId="167" formatCode="&quot;$&quot;#,##0.00"/>
    <numFmt numFmtId="168" formatCode="000000"/>
    <numFmt numFmtId="169" formatCode="00000000000000"/>
    <numFmt numFmtId="170" formatCode="&quot;$&quot;#,##0.0"/>
    <numFmt numFmtId="171" formatCode="_-[$$-409]* #,##0.00_ ;_-[$$-409]* \-#,##0.00\ ;_-[$$-409]* &quot;-&quot;??_ ;_-@_ "/>
    <numFmt numFmtId="172" formatCode="\$0.00"/>
    <numFmt numFmtId="173" formatCode="\$\ 0.00"/>
    <numFmt numFmtId="174" formatCode="\$\ #,##0.00"/>
    <numFmt numFmtId="175" formatCode="\$#,##0.00"/>
    <numFmt numFmtId="176" formatCode="_-* #,##0.00_-;\-* #,##0.00_-;_-* \-??_-;_-@_-"/>
    <numFmt numFmtId="177" formatCode="_(\$* #,##0.00_);_(\$* \(#,##0.00\);_(\$* \-??_);_(@_)"/>
    <numFmt numFmtId="178" formatCode="_(* #,##0.00_);_(* \(#,##0.00\);_(* \-??_);_(@_)"/>
    <numFmt numFmtId="179" formatCode="0_);\(0\)"/>
    <numFmt numFmtId="180" formatCode="_ [$¥-804]* #,##0.00_ ;_ [$¥-804]* \-#,##0.00_ ;_ [$¥-804]* &quot;-&quot;??_ ;_ @_ "/>
    <numFmt numFmtId="181" formatCode="[$-409]mmmm\ d\,\ yyyy;@"/>
    <numFmt numFmtId="182" formatCode="_([$$-409]* #,##0.00_);_([$$-409]* \(#,##0.00\);_([$$-409]* &quot;-&quot;??_);_(@_)"/>
  </numFmts>
  <fonts count="99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rgb="FF000000"/>
      <name val="Calibri"/>
      <family val="2"/>
    </font>
    <font>
      <b/>
      <sz val="12.5"/>
      <color theme="1"/>
      <name val="B Nazanin"/>
      <charset val="178"/>
    </font>
    <font>
      <b/>
      <sz val="12.5"/>
      <color theme="1"/>
      <name val="Times New Roman"/>
      <family val="1"/>
    </font>
    <font>
      <b/>
      <sz val="12.5"/>
      <color rgb="FFFF0000"/>
      <name val="Times New Roman"/>
      <family val="1"/>
    </font>
    <font>
      <sz val="12.5"/>
      <name val="Times New Roman"/>
      <family val="1"/>
    </font>
    <font>
      <b/>
      <sz val="12.5"/>
      <name val="Times New Roman"/>
      <family val="1"/>
    </font>
    <font>
      <sz val="12.5"/>
      <color theme="1"/>
      <name val="Calibri"/>
      <family val="2"/>
      <charset val="178"/>
      <scheme val="minor"/>
    </font>
    <font>
      <b/>
      <sz val="11"/>
      <color theme="1"/>
      <name val="Times New Roman"/>
      <family val="1"/>
    </font>
    <font>
      <sz val="10"/>
      <color indexed="8"/>
      <name val="Times New Roman"/>
      <family val="1"/>
    </font>
    <font>
      <sz val="10"/>
      <name val="Times Roman"/>
    </font>
    <font>
      <b/>
      <sz val="12"/>
      <color theme="1"/>
      <name val="B Nazanin"/>
      <charset val="178"/>
    </font>
    <font>
      <u/>
      <sz val="11"/>
      <color theme="10"/>
      <name val="Calibri"/>
      <family val="2"/>
      <scheme val="minor"/>
    </font>
    <font>
      <sz val="10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u/>
      <sz val="10"/>
      <color indexed="12"/>
      <name val="Arial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theme="0"/>
      <name val="B Nazanin"/>
      <charset val="178"/>
    </font>
    <font>
      <b/>
      <sz val="12.5"/>
      <color theme="1"/>
      <name val="Century"/>
      <family val="1"/>
    </font>
    <font>
      <sz val="12.5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2.5"/>
      <color theme="0"/>
      <name val="B Nazanin"/>
      <charset val="178"/>
    </font>
    <font>
      <sz val="12.5"/>
      <color theme="1"/>
      <name val="Times Roman"/>
    </font>
    <font>
      <sz val="12.5"/>
      <color theme="1"/>
      <name val="Times New Roman"/>
      <family val="1"/>
    </font>
    <font>
      <sz val="12.5"/>
      <color indexed="8"/>
      <name val="Times New Roman"/>
      <family val="1"/>
    </font>
    <font>
      <sz val="12.5"/>
      <name val="Century"/>
      <family val="1"/>
    </font>
    <font>
      <sz val="12.5"/>
      <color theme="1"/>
      <name val="Century"/>
      <family val="1"/>
    </font>
    <font>
      <b/>
      <sz val="12.5"/>
      <color theme="1"/>
      <name val="Calibri"/>
      <family val="2"/>
      <charset val="178"/>
      <scheme val="minor"/>
    </font>
    <font>
      <b/>
      <sz val="12.5"/>
      <color rgb="FFFF0000"/>
      <name val="Calibri"/>
      <family val="2"/>
      <charset val="178"/>
      <scheme val="minor"/>
    </font>
    <font>
      <u/>
      <sz val="11"/>
      <color theme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charset val="178"/>
      <scheme val="minor"/>
    </font>
    <font>
      <sz val="10"/>
      <name val="Times New Roman"/>
      <family val="1"/>
      <charset val="204"/>
    </font>
    <font>
      <sz val="8"/>
      <color indexed="8"/>
      <name val="Arial"/>
      <family val="2"/>
    </font>
    <font>
      <b/>
      <sz val="8"/>
      <color indexed="18"/>
      <name val="Times New Roman"/>
      <family val="2"/>
    </font>
    <font>
      <sz val="8"/>
      <color indexed="8"/>
      <name val="Times New Roman"/>
      <family val="2"/>
    </font>
    <font>
      <sz val="8"/>
      <color indexed="8"/>
      <name val="Times New Roman"/>
      <family val="1"/>
      <charset val="204"/>
    </font>
    <font>
      <sz val="12.5"/>
      <color rgb="FFFF33CC"/>
      <name val="Times New Roman"/>
      <family val="1"/>
    </font>
    <font>
      <b/>
      <sz val="12.5"/>
      <color theme="0"/>
      <name val="Times New Roman"/>
      <family val="1"/>
    </font>
    <font>
      <b/>
      <sz val="8"/>
      <color indexed="8"/>
      <name val="Arial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Calibri"/>
      <family val="1"/>
      <charset val="204"/>
    </font>
    <font>
      <b/>
      <sz val="18"/>
      <color theme="1"/>
      <name val="B Nazanin"/>
      <charset val="178"/>
    </font>
    <font>
      <sz val="12.5"/>
      <color theme="1"/>
      <name val="Times New Roman"/>
      <family val="1"/>
      <charset val="1"/>
    </font>
    <font>
      <sz val="12.5"/>
      <name val="Calibri"/>
      <family val="2"/>
      <charset val="178"/>
      <scheme val="minor"/>
    </font>
    <font>
      <b/>
      <sz val="12.5"/>
      <name val="B Nazanin"/>
      <charset val="178"/>
    </font>
    <font>
      <b/>
      <sz val="12.5"/>
      <name val="Calibri"/>
      <family val="2"/>
      <charset val="178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b/>
      <sz val="11"/>
      <color rgb="FF99CC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0080"/>
      <name val="Calibri"/>
      <family val="2"/>
      <charset val="1"/>
    </font>
    <font>
      <b/>
      <sz val="13"/>
      <color rgb="FF000080"/>
      <name val="Calibri"/>
      <family val="2"/>
      <charset val="1"/>
    </font>
    <font>
      <b/>
      <sz val="11"/>
      <color rgb="FF000080"/>
      <name val="Calibri"/>
      <family val="2"/>
      <charset val="1"/>
    </font>
    <font>
      <u/>
      <sz val="10"/>
      <color rgb="FF0000FF"/>
      <name val="Arial"/>
      <family val="2"/>
      <charset val="1"/>
    </font>
    <font>
      <u/>
      <sz val="11"/>
      <color theme="10"/>
      <name val="Calibri"/>
      <family val="2"/>
      <charset val="1"/>
    </font>
    <font>
      <sz val="11"/>
      <color rgb="FFFF6600"/>
      <name val="Calibri"/>
      <family val="2"/>
      <charset val="1"/>
    </font>
    <font>
      <sz val="11"/>
      <color rgb="FF99CC00"/>
      <name val="Calibri"/>
      <family val="2"/>
      <charset val="1"/>
    </font>
    <font>
      <sz val="11"/>
      <color rgb="FF333300"/>
      <name val="Calibri"/>
      <family val="2"/>
      <charset val="1"/>
    </font>
    <font>
      <sz val="11"/>
      <color theme="1"/>
      <name val="Calibri"/>
      <family val="2"/>
      <charset val="178"/>
    </font>
    <font>
      <sz val="10"/>
      <name val="Trebuchet MS"/>
      <family val="2"/>
      <charset val="1"/>
    </font>
    <font>
      <sz val="12"/>
      <color theme="1"/>
      <name val="Calibri"/>
      <family val="2"/>
      <charset val="1"/>
    </font>
    <font>
      <b/>
      <sz val="11"/>
      <color rgb="FF333333"/>
      <name val="Calibri"/>
      <family val="2"/>
      <charset val="1"/>
    </font>
    <font>
      <b/>
      <sz val="18"/>
      <color rgb="FF000080"/>
      <name val="Cambria"/>
      <family val="2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name val="Arial"/>
      <family val="2"/>
      <charset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0"/>
      <color theme="1"/>
      <name val="Times"/>
      <family val="1"/>
    </font>
  </fonts>
  <fills count="79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789D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4C5E7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rgb="FFF8CBAD"/>
      </patternFill>
    </fill>
    <fill>
      <patternFill patternType="solid">
        <fgColor rgb="FFCC99FF"/>
        <bgColor rgb="FFFF99FF"/>
      </patternFill>
    </fill>
    <fill>
      <patternFill patternType="solid">
        <fgColor rgb="FFCCFFFF"/>
        <bgColor rgb="FFCCFFCC"/>
      </patternFill>
    </fill>
    <fill>
      <patternFill patternType="solid">
        <fgColor rgb="FFFFFFCC"/>
        <bgColor rgb="FFFFF2CC"/>
      </patternFill>
    </fill>
    <fill>
      <patternFill patternType="solid">
        <fgColor rgb="FFFFCC00"/>
        <bgColor rgb="FFFFC000"/>
      </patternFill>
    </fill>
    <fill>
      <patternFill patternType="solid">
        <fgColor rgb="FF993366"/>
        <bgColor rgb="FF843C0B"/>
      </patternFill>
    </fill>
    <fill>
      <patternFill patternType="solid">
        <fgColor rgb="FFFF9900"/>
        <bgColor rgb="FFFFC000"/>
      </patternFill>
    </fill>
    <fill>
      <patternFill patternType="solid">
        <fgColor rgb="FF800080"/>
        <bgColor rgb="FF993366"/>
      </patternFill>
    </fill>
    <fill>
      <patternFill patternType="solid">
        <fgColor rgb="FF00CCFF"/>
        <bgColor rgb="FF00FFFF"/>
      </patternFill>
    </fill>
    <fill>
      <patternFill patternType="solid">
        <fgColor rgb="FFFF8080"/>
        <bgColor rgb="FFFF99CC"/>
      </patternFill>
    </fill>
    <fill>
      <patternFill patternType="solid">
        <fgColor rgb="FFFF00FF"/>
        <bgColor rgb="FF800080"/>
      </patternFill>
    </fill>
    <fill>
      <patternFill patternType="solid">
        <fgColor rgb="FF808080"/>
        <bgColor rgb="FF969696"/>
      </patternFill>
    </fill>
    <fill>
      <patternFill patternType="solid">
        <fgColor rgb="FF00FFFF"/>
        <bgColor rgb="FF00CCFF"/>
      </patternFill>
    </fill>
    <fill>
      <patternFill patternType="solid">
        <fgColor rgb="FFFF0000"/>
        <bgColor rgb="FF9C0006"/>
      </patternFill>
    </fill>
    <fill>
      <patternFill patternType="solid">
        <fgColor rgb="FFFF99CC"/>
        <bgColor rgb="FFFF99FF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99"/>
        <bgColor indexed="64"/>
      </patternFill>
    </fill>
  </fills>
  <borders count="1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00CCFF"/>
      </bottom>
      <diagonal/>
    </border>
    <border>
      <left/>
      <right/>
      <top/>
      <bottom style="thick">
        <color rgb="FFFFCC00"/>
      </bottom>
      <diagonal/>
    </border>
    <border>
      <left/>
      <right/>
      <top/>
      <bottom style="medium">
        <color rgb="FFFF9900"/>
      </bottom>
      <diagonal/>
    </border>
    <border>
      <left/>
      <right/>
      <top/>
      <bottom style="double">
        <color rgb="FF99CC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00CCFF"/>
      </top>
      <bottom style="double">
        <color rgb="FF00CCF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</borders>
  <cellStyleXfs count="6414">
    <xf numFmtId="0" fontId="0" fillId="0" borderId="0"/>
    <xf numFmtId="0" fontId="4" fillId="0" borderId="0"/>
    <xf numFmtId="0" fontId="5" fillId="0" borderId="0"/>
    <xf numFmtId="0" fontId="16" fillId="0" borderId="0" applyNumberFormat="0" applyFill="0" applyBorder="0" applyAlignment="0" applyProtection="0"/>
    <xf numFmtId="0" fontId="17" fillId="0" borderId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4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8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0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2" borderId="0" applyNumberFormat="0" applyBorder="0" applyAlignment="0" applyProtection="0"/>
    <xf numFmtId="0" fontId="19" fillId="34" borderId="0" applyNumberFormat="0" applyBorder="0" applyAlignment="0" applyProtection="0"/>
    <xf numFmtId="0" fontId="19" fillId="31" borderId="0" applyNumberFormat="0" applyBorder="0" applyAlignment="0" applyProtection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20" fillId="38" borderId="0" applyNumberFormat="0" applyBorder="0" applyAlignment="0" applyProtection="0"/>
    <xf numFmtId="0" fontId="21" fillId="39" borderId="14" applyNumberFormat="0" applyAlignment="0" applyProtection="0"/>
    <xf numFmtId="0" fontId="22" fillId="40" borderId="15" applyNumberFormat="0" applyAlignment="0" applyProtection="0"/>
    <xf numFmtId="0" fontId="24" fillId="0" borderId="0" applyNumberFormat="0" applyFill="0" applyBorder="0" applyAlignment="0" applyProtection="0"/>
    <xf numFmtId="0" fontId="25" fillId="41" borderId="0" applyNumberFormat="0" applyBorder="0" applyAlignment="0" applyProtection="0"/>
    <xf numFmtId="0" fontId="26" fillId="0" borderId="16" applyNumberFormat="0" applyFill="0" applyAlignment="0" applyProtection="0"/>
    <xf numFmtId="0" fontId="27" fillId="0" borderId="17" applyNumberFormat="0" applyFill="0" applyAlignment="0" applyProtection="0"/>
    <xf numFmtId="0" fontId="28" fillId="0" borderId="18" applyNumberFormat="0" applyFill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0" fillId="33" borderId="14" applyNumberFormat="0" applyAlignment="0" applyProtection="0"/>
    <xf numFmtId="0" fontId="31" fillId="0" borderId="19" applyNumberFormat="0" applyFill="0" applyAlignment="0" applyProtection="0"/>
    <xf numFmtId="0" fontId="32" fillId="27" borderId="0" applyNumberFormat="0" applyBorder="0" applyAlignment="0" applyProtection="0"/>
    <xf numFmtId="0" fontId="23" fillId="27" borderId="20" applyNumberFormat="0" applyFont="0" applyAlignment="0" applyProtection="0"/>
    <xf numFmtId="0" fontId="33" fillId="39" borderId="21" applyNumberFormat="0" applyAlignment="0" applyProtection="0"/>
    <xf numFmtId="0" fontId="34" fillId="0" borderId="0" applyNumberFormat="0" applyFill="0" applyBorder="0" applyAlignment="0" applyProtection="0"/>
    <xf numFmtId="0" fontId="35" fillId="0" borderId="22" applyNumberFormat="0" applyFill="0" applyAlignment="0" applyProtection="0"/>
    <xf numFmtId="0" fontId="36" fillId="0" borderId="0" applyNumberFormat="0" applyFill="0" applyBorder="0" applyAlignment="0" applyProtection="0"/>
    <xf numFmtId="44" fontId="17" fillId="0" borderId="0" applyFont="0" applyFill="0" applyBorder="0" applyAlignment="0" applyProtection="0"/>
    <xf numFmtId="0" fontId="4" fillId="0" borderId="0"/>
    <xf numFmtId="0" fontId="40" fillId="0" borderId="0"/>
    <xf numFmtId="0" fontId="17" fillId="0" borderId="0"/>
    <xf numFmtId="165" fontId="40" fillId="0" borderId="0" applyFont="0" applyFill="0" applyBorder="0" applyAlignment="0" applyProtection="0"/>
    <xf numFmtId="0" fontId="52" fillId="0" borderId="0"/>
    <xf numFmtId="0" fontId="30" fillId="33" borderId="64" applyNumberFormat="0" applyAlignment="0" applyProtection="0"/>
    <xf numFmtId="0" fontId="23" fillId="27" borderId="65" applyNumberFormat="0" applyFont="0" applyAlignment="0" applyProtection="0"/>
    <xf numFmtId="165" fontId="40" fillId="0" borderId="0" applyFont="0" applyFill="0" applyBorder="0" applyAlignment="0" applyProtection="0"/>
    <xf numFmtId="0" fontId="30" fillId="33" borderId="76" applyNumberFormat="0" applyAlignment="0" applyProtection="0"/>
    <xf numFmtId="0" fontId="21" fillId="39" borderId="76" applyNumberFormat="0" applyAlignment="0" applyProtection="0"/>
    <xf numFmtId="0" fontId="21" fillId="39" borderId="68" applyNumberFormat="0" applyAlignment="0" applyProtection="0"/>
    <xf numFmtId="0" fontId="30" fillId="33" borderId="72" applyNumberFormat="0" applyAlignment="0" applyProtection="0"/>
    <xf numFmtId="0" fontId="30" fillId="33" borderId="64" applyNumberFormat="0" applyAlignment="0" applyProtection="0"/>
    <xf numFmtId="0" fontId="23" fillId="27" borderId="73" applyNumberFormat="0" applyFont="0" applyAlignment="0" applyProtection="0"/>
    <xf numFmtId="0" fontId="33" fillId="39" borderId="74" applyNumberFormat="0" applyAlignment="0" applyProtection="0"/>
    <xf numFmtId="0" fontId="23" fillId="27" borderId="65" applyNumberFormat="0" applyFont="0" applyAlignment="0" applyProtection="0"/>
    <xf numFmtId="0" fontId="33" fillId="39" borderId="66" applyNumberFormat="0" applyAlignment="0" applyProtection="0"/>
    <xf numFmtId="0" fontId="21" fillId="39" borderId="60" applyNumberFormat="0" applyAlignment="0" applyProtection="0"/>
    <xf numFmtId="0" fontId="35" fillId="0" borderId="79" applyNumberFormat="0" applyFill="0" applyAlignment="0" applyProtection="0"/>
    <xf numFmtId="0" fontId="30" fillId="33" borderId="60" applyNumberFormat="0" applyAlignment="0" applyProtection="0"/>
    <xf numFmtId="0" fontId="21" fillId="39" borderId="64" applyNumberFormat="0" applyAlignment="0" applyProtection="0"/>
    <xf numFmtId="0" fontId="23" fillId="27" borderId="61" applyNumberFormat="0" applyFont="0" applyAlignment="0" applyProtection="0"/>
    <xf numFmtId="0" fontId="33" fillId="39" borderId="62" applyNumberFormat="0" applyAlignment="0" applyProtection="0"/>
    <xf numFmtId="0" fontId="30" fillId="33" borderId="68" applyNumberFormat="0" applyAlignment="0" applyProtection="0"/>
    <xf numFmtId="0" fontId="35" fillId="0" borderId="63" applyNumberFormat="0" applyFill="0" applyAlignment="0" applyProtection="0"/>
    <xf numFmtId="0" fontId="35" fillId="0" borderId="67" applyNumberFormat="0" applyFill="0" applyAlignment="0" applyProtection="0"/>
    <xf numFmtId="0" fontId="33" fillId="39" borderId="66" applyNumberFormat="0" applyAlignment="0" applyProtection="0"/>
    <xf numFmtId="0" fontId="23" fillId="27" borderId="69" applyNumberFormat="0" applyFont="0" applyAlignment="0" applyProtection="0"/>
    <xf numFmtId="0" fontId="35" fillId="0" borderId="67" applyNumberFormat="0" applyFill="0" applyAlignment="0" applyProtection="0"/>
    <xf numFmtId="165" fontId="40" fillId="0" borderId="0" applyFont="0" applyFill="0" applyBorder="0" applyAlignment="0" applyProtection="0"/>
    <xf numFmtId="0" fontId="21" fillId="39" borderId="60" applyNumberFormat="0" applyAlignment="0" applyProtection="0"/>
    <xf numFmtId="0" fontId="22" fillId="40" borderId="15" applyNumberFormat="0" applyAlignment="0" applyProtection="0"/>
    <xf numFmtId="0" fontId="30" fillId="33" borderId="60" applyNumberFormat="0" applyAlignment="0" applyProtection="0"/>
    <xf numFmtId="0" fontId="23" fillId="27" borderId="61" applyNumberFormat="0" applyFont="0" applyAlignment="0" applyProtection="0"/>
    <xf numFmtId="0" fontId="33" fillId="39" borderId="62" applyNumberFormat="0" applyAlignment="0" applyProtection="0"/>
    <xf numFmtId="0" fontId="35" fillId="0" borderId="63" applyNumberFormat="0" applyFill="0" applyAlignment="0" applyProtection="0"/>
    <xf numFmtId="0" fontId="40" fillId="0" borderId="0"/>
    <xf numFmtId="0" fontId="23" fillId="27" borderId="77" applyNumberFormat="0" applyFont="0" applyAlignment="0" applyProtection="0"/>
    <xf numFmtId="0" fontId="35" fillId="0" borderId="71" applyNumberFormat="0" applyFill="0" applyAlignment="0" applyProtection="0"/>
    <xf numFmtId="0" fontId="33" fillId="39" borderId="78" applyNumberFormat="0" applyAlignment="0" applyProtection="0"/>
    <xf numFmtId="0" fontId="21" fillId="39" borderId="64" applyNumberFormat="0" applyAlignment="0" applyProtection="0"/>
    <xf numFmtId="0" fontId="33" fillId="39" borderId="70" applyNumberFormat="0" applyAlignment="0" applyProtection="0"/>
    <xf numFmtId="0" fontId="21" fillId="39" borderId="72" applyNumberFormat="0" applyAlignment="0" applyProtection="0"/>
    <xf numFmtId="0" fontId="35" fillId="0" borderId="75" applyNumberFormat="0" applyFill="0" applyAlignment="0" applyProtection="0"/>
    <xf numFmtId="0" fontId="21" fillId="39" borderId="68" applyNumberFormat="0" applyAlignment="0" applyProtection="0"/>
    <xf numFmtId="0" fontId="30" fillId="33" borderId="68" applyNumberFormat="0" applyAlignment="0" applyProtection="0"/>
    <xf numFmtId="0" fontId="23" fillId="27" borderId="69" applyNumberFormat="0" applyFont="0" applyAlignment="0" applyProtection="0"/>
    <xf numFmtId="0" fontId="33" fillId="39" borderId="70" applyNumberFormat="0" applyAlignment="0" applyProtection="0"/>
    <xf numFmtId="0" fontId="35" fillId="0" borderId="71" applyNumberFormat="0" applyFill="0" applyAlignment="0" applyProtection="0"/>
    <xf numFmtId="0" fontId="21" fillId="39" borderId="72" applyNumberFormat="0" applyAlignment="0" applyProtection="0"/>
    <xf numFmtId="0" fontId="30" fillId="33" borderId="72" applyNumberFormat="0" applyAlignment="0" applyProtection="0"/>
    <xf numFmtId="0" fontId="23" fillId="27" borderId="73" applyNumberFormat="0" applyFont="0" applyAlignment="0" applyProtection="0"/>
    <xf numFmtId="0" fontId="33" fillId="39" borderId="74" applyNumberFormat="0" applyAlignment="0" applyProtection="0"/>
    <xf numFmtId="0" fontId="35" fillId="0" borderId="75" applyNumberFormat="0" applyFill="0" applyAlignment="0" applyProtection="0"/>
    <xf numFmtId="0" fontId="21" fillId="39" borderId="76" applyNumberFormat="0" applyAlignment="0" applyProtection="0"/>
    <xf numFmtId="0" fontId="30" fillId="33" borderId="76" applyNumberFormat="0" applyAlignment="0" applyProtection="0"/>
    <xf numFmtId="0" fontId="23" fillId="27" borderId="77" applyNumberFormat="0" applyFont="0" applyAlignment="0" applyProtection="0"/>
    <xf numFmtId="0" fontId="33" fillId="39" borderId="78" applyNumberFormat="0" applyAlignment="0" applyProtection="0"/>
    <xf numFmtId="0" fontId="35" fillId="0" borderId="79" applyNumberFormat="0" applyFill="0" applyAlignment="0" applyProtection="0"/>
    <xf numFmtId="165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0" fontId="21" fillId="39" borderId="82" applyNumberFormat="0" applyAlignment="0" applyProtection="0"/>
    <xf numFmtId="0" fontId="30" fillId="33" borderId="82" applyNumberFormat="0" applyAlignment="0" applyProtection="0"/>
    <xf numFmtId="0" fontId="23" fillId="27" borderId="83" applyNumberFormat="0" applyFont="0" applyAlignment="0" applyProtection="0"/>
    <xf numFmtId="0" fontId="33" fillId="39" borderId="84" applyNumberFormat="0" applyAlignment="0" applyProtection="0"/>
    <xf numFmtId="0" fontId="35" fillId="0" borderId="85" applyNumberFormat="0" applyFill="0" applyAlignment="0" applyProtection="0"/>
    <xf numFmtId="165" fontId="40" fillId="0" borderId="0" applyFont="0" applyFill="0" applyBorder="0" applyAlignment="0" applyProtection="0"/>
    <xf numFmtId="0" fontId="21" fillId="39" borderId="82" applyNumberFormat="0" applyAlignment="0" applyProtection="0"/>
    <xf numFmtId="0" fontId="30" fillId="33" borderId="82" applyNumberFormat="0" applyAlignment="0" applyProtection="0"/>
    <xf numFmtId="0" fontId="23" fillId="27" borderId="83" applyNumberFormat="0" applyFont="0" applyAlignment="0" applyProtection="0"/>
    <xf numFmtId="0" fontId="33" fillId="39" borderId="84" applyNumberFormat="0" applyAlignment="0" applyProtection="0"/>
    <xf numFmtId="0" fontId="35" fillId="0" borderId="85" applyNumberFormat="0" applyFill="0" applyAlignment="0" applyProtection="0"/>
    <xf numFmtId="0" fontId="40" fillId="0" borderId="0"/>
    <xf numFmtId="44" fontId="40" fillId="0" borderId="0" applyFont="0" applyFill="0" applyBorder="0" applyAlignment="0" applyProtection="0"/>
    <xf numFmtId="0" fontId="35" fillId="0" borderId="89" applyNumberFormat="0" applyFill="0" applyAlignment="0" applyProtection="0"/>
    <xf numFmtId="0" fontId="33" fillId="39" borderId="88" applyNumberFormat="0" applyAlignment="0" applyProtection="0"/>
    <xf numFmtId="0" fontId="23" fillId="27" borderId="87" applyNumberFormat="0" applyFont="0" applyAlignment="0" applyProtection="0"/>
    <xf numFmtId="0" fontId="30" fillId="33" borderId="86" applyNumberFormat="0" applyAlignment="0" applyProtection="0"/>
    <xf numFmtId="0" fontId="21" fillId="39" borderId="86" applyNumberFormat="0" applyAlignment="0" applyProtection="0"/>
    <xf numFmtId="0" fontId="35" fillId="0" borderId="89" applyNumberFormat="0" applyFill="0" applyAlignment="0" applyProtection="0"/>
    <xf numFmtId="0" fontId="33" fillId="39" borderId="88" applyNumberFormat="0" applyAlignment="0" applyProtection="0"/>
    <xf numFmtId="0" fontId="23" fillId="27" borderId="87" applyNumberFormat="0" applyFont="0" applyAlignment="0" applyProtection="0"/>
    <xf numFmtId="0" fontId="30" fillId="33" borderId="86" applyNumberFormat="0" applyAlignment="0" applyProtection="0"/>
    <xf numFmtId="0" fontId="23" fillId="27" borderId="30" applyNumberFormat="0" applyFont="0" applyAlignment="0" applyProtection="0"/>
    <xf numFmtId="165" fontId="40" fillId="0" borderId="0" applyFont="0" applyFill="0" applyBorder="0" applyAlignment="0" applyProtection="0"/>
    <xf numFmtId="0" fontId="30" fillId="33" borderId="82" applyNumberFormat="0" applyAlignment="0" applyProtection="0"/>
    <xf numFmtId="0" fontId="23" fillId="27" borderId="30" applyNumberFormat="0" applyFont="0" applyAlignment="0" applyProtection="0"/>
    <xf numFmtId="165" fontId="40" fillId="0" borderId="0" applyFont="0" applyFill="0" applyBorder="0" applyAlignment="0" applyProtection="0"/>
    <xf numFmtId="0" fontId="30" fillId="33" borderId="82" applyNumberFormat="0" applyAlignment="0" applyProtection="0"/>
    <xf numFmtId="0" fontId="21" fillId="39" borderId="82" applyNumberFormat="0" applyAlignment="0" applyProtection="0"/>
    <xf numFmtId="0" fontId="21" fillId="39" borderId="82" applyNumberFormat="0" applyAlignment="0" applyProtection="0"/>
    <xf numFmtId="0" fontId="30" fillId="33" borderId="82" applyNumberFormat="0" applyAlignment="0" applyProtection="0"/>
    <xf numFmtId="0" fontId="30" fillId="33" borderId="82" applyNumberFormat="0" applyAlignment="0" applyProtection="0"/>
    <xf numFmtId="0" fontId="23" fillId="27" borderId="30" applyNumberFormat="0" applyFont="0" applyAlignment="0" applyProtection="0"/>
    <xf numFmtId="0" fontId="33" fillId="39" borderId="21" applyNumberFormat="0" applyAlignment="0" applyProtection="0"/>
    <xf numFmtId="0" fontId="23" fillId="27" borderId="30" applyNumberFormat="0" applyFont="0" applyAlignment="0" applyProtection="0"/>
    <xf numFmtId="0" fontId="33" fillId="39" borderId="21" applyNumberFormat="0" applyAlignment="0" applyProtection="0"/>
    <xf numFmtId="0" fontId="21" fillId="39" borderId="82" applyNumberFormat="0" applyAlignment="0" applyProtection="0"/>
    <xf numFmtId="0" fontId="35" fillId="0" borderId="85" applyNumberFormat="0" applyFill="0" applyAlignment="0" applyProtection="0"/>
    <xf numFmtId="0" fontId="30" fillId="33" borderId="82" applyNumberFormat="0" applyAlignment="0" applyProtection="0"/>
    <xf numFmtId="0" fontId="21" fillId="39" borderId="82" applyNumberFormat="0" applyAlignment="0" applyProtection="0"/>
    <xf numFmtId="0" fontId="23" fillId="27" borderId="30" applyNumberFormat="0" applyFont="0" applyAlignment="0" applyProtection="0"/>
    <xf numFmtId="0" fontId="33" fillId="39" borderId="21" applyNumberFormat="0" applyAlignment="0" applyProtection="0"/>
    <xf numFmtId="0" fontId="30" fillId="33" borderId="82" applyNumberFormat="0" applyAlignment="0" applyProtection="0"/>
    <xf numFmtId="0" fontId="35" fillId="0" borderId="85" applyNumberFormat="0" applyFill="0" applyAlignment="0" applyProtection="0"/>
    <xf numFmtId="0" fontId="35" fillId="0" borderId="85" applyNumberFormat="0" applyFill="0" applyAlignment="0" applyProtection="0"/>
    <xf numFmtId="0" fontId="33" fillId="39" borderId="21" applyNumberFormat="0" applyAlignment="0" applyProtection="0"/>
    <xf numFmtId="0" fontId="23" fillId="27" borderId="30" applyNumberFormat="0" applyFont="0" applyAlignment="0" applyProtection="0"/>
    <xf numFmtId="0" fontId="35" fillId="0" borderId="85" applyNumberFormat="0" applyFill="0" applyAlignment="0" applyProtection="0"/>
    <xf numFmtId="165" fontId="40" fillId="0" borderId="0" applyFont="0" applyFill="0" applyBorder="0" applyAlignment="0" applyProtection="0"/>
    <xf numFmtId="0" fontId="23" fillId="27" borderId="30" applyNumberFormat="0" applyFont="0" applyAlignment="0" applyProtection="0"/>
    <xf numFmtId="0" fontId="33" fillId="39" borderId="21" applyNumberFormat="0" applyAlignment="0" applyProtection="0"/>
    <xf numFmtId="0" fontId="23" fillId="27" borderId="30" applyNumberFormat="0" applyFont="0" applyAlignment="0" applyProtection="0"/>
    <xf numFmtId="0" fontId="35" fillId="0" borderId="85" applyNumberFormat="0" applyFill="0" applyAlignment="0" applyProtection="0"/>
    <xf numFmtId="0" fontId="33" fillId="39" borderId="21" applyNumberFormat="0" applyAlignment="0" applyProtection="0"/>
    <xf numFmtId="0" fontId="21" fillId="39" borderId="82" applyNumberFormat="0" applyAlignment="0" applyProtection="0"/>
    <xf numFmtId="0" fontId="33" fillId="39" borderId="21" applyNumberFormat="0" applyAlignment="0" applyProtection="0"/>
    <xf numFmtId="0" fontId="21" fillId="39" borderId="82" applyNumberFormat="0" applyAlignment="0" applyProtection="0"/>
    <xf numFmtId="0" fontId="35" fillId="0" borderId="85" applyNumberFormat="0" applyFill="0" applyAlignment="0" applyProtection="0"/>
    <xf numFmtId="0" fontId="21" fillId="39" borderId="82" applyNumberFormat="0" applyAlignment="0" applyProtection="0"/>
    <xf numFmtId="0" fontId="30" fillId="33" borderId="82" applyNumberFormat="0" applyAlignment="0" applyProtection="0"/>
    <xf numFmtId="0" fontId="23" fillId="27" borderId="30" applyNumberFormat="0" applyFont="0" applyAlignment="0" applyProtection="0"/>
    <xf numFmtId="0" fontId="33" fillId="39" borderId="21" applyNumberFormat="0" applyAlignment="0" applyProtection="0"/>
    <xf numFmtId="0" fontId="35" fillId="0" borderId="85" applyNumberFormat="0" applyFill="0" applyAlignment="0" applyProtection="0"/>
    <xf numFmtId="0" fontId="21" fillId="39" borderId="82" applyNumberFormat="0" applyAlignment="0" applyProtection="0"/>
    <xf numFmtId="0" fontId="30" fillId="33" borderId="82" applyNumberFormat="0" applyAlignment="0" applyProtection="0"/>
    <xf numFmtId="0" fontId="23" fillId="27" borderId="30" applyNumberFormat="0" applyFont="0" applyAlignment="0" applyProtection="0"/>
    <xf numFmtId="0" fontId="33" fillId="39" borderId="21" applyNumberFormat="0" applyAlignment="0" applyProtection="0"/>
    <xf numFmtId="0" fontId="35" fillId="0" borderId="85" applyNumberFormat="0" applyFill="0" applyAlignment="0" applyProtection="0"/>
    <xf numFmtId="0" fontId="21" fillId="39" borderId="82" applyNumberFormat="0" applyAlignment="0" applyProtection="0"/>
    <xf numFmtId="0" fontId="30" fillId="33" borderId="82" applyNumberFormat="0" applyAlignment="0" applyProtection="0"/>
    <xf numFmtId="0" fontId="23" fillId="27" borderId="30" applyNumberFormat="0" applyFont="0" applyAlignment="0" applyProtection="0"/>
    <xf numFmtId="0" fontId="33" fillId="39" borderId="21" applyNumberFormat="0" applyAlignment="0" applyProtection="0"/>
    <xf numFmtId="0" fontId="35" fillId="0" borderId="85" applyNumberFormat="0" applyFill="0" applyAlignment="0" applyProtection="0"/>
    <xf numFmtId="165" fontId="40" fillId="0" borderId="0" applyFont="0" applyFill="0" applyBorder="0" applyAlignment="0" applyProtection="0"/>
    <xf numFmtId="0" fontId="21" fillId="39" borderId="86" applyNumberFormat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0" fontId="23" fillId="27" borderId="30" applyNumberFormat="0" applyFont="0" applyAlignment="0" applyProtection="0"/>
    <xf numFmtId="0" fontId="33" fillId="39" borderId="21" applyNumberFormat="0" applyAlignment="0" applyProtection="0"/>
    <xf numFmtId="165" fontId="40" fillId="0" borderId="0" applyFont="0" applyFill="0" applyBorder="0" applyAlignment="0" applyProtection="0"/>
    <xf numFmtId="0" fontId="23" fillId="27" borderId="30" applyNumberFormat="0" applyFont="0" applyAlignment="0" applyProtection="0"/>
    <xf numFmtId="0" fontId="33" fillId="39" borderId="21" applyNumberFormat="0" applyAlignment="0" applyProtection="0"/>
    <xf numFmtId="165" fontId="40" fillId="0" borderId="0" applyFont="0" applyFill="0" applyBorder="0" applyAlignment="0" applyProtection="0"/>
    <xf numFmtId="0" fontId="21" fillId="39" borderId="91" applyNumberFormat="0" applyAlignment="0" applyProtection="0"/>
    <xf numFmtId="0" fontId="30" fillId="33" borderId="91" applyNumberFormat="0" applyAlignment="0" applyProtection="0"/>
    <xf numFmtId="0" fontId="23" fillId="27" borderId="92" applyNumberFormat="0" applyFont="0" applyAlignment="0" applyProtection="0"/>
    <xf numFmtId="0" fontId="33" fillId="39" borderId="93" applyNumberFormat="0" applyAlignment="0" applyProtection="0"/>
    <xf numFmtId="0" fontId="35" fillId="0" borderId="94" applyNumberFormat="0" applyFill="0" applyAlignment="0" applyProtection="0"/>
    <xf numFmtId="165" fontId="40" fillId="0" borderId="0" applyFont="0" applyFill="0" applyBorder="0" applyAlignment="0" applyProtection="0"/>
    <xf numFmtId="0" fontId="21" fillId="39" borderId="91" applyNumberFormat="0" applyAlignment="0" applyProtection="0"/>
    <xf numFmtId="0" fontId="30" fillId="33" borderId="91" applyNumberFormat="0" applyAlignment="0" applyProtection="0"/>
    <xf numFmtId="0" fontId="23" fillId="27" borderId="92" applyNumberFormat="0" applyFont="0" applyAlignment="0" applyProtection="0"/>
    <xf numFmtId="0" fontId="33" fillId="39" borderId="93" applyNumberFormat="0" applyAlignment="0" applyProtection="0"/>
    <xf numFmtId="0" fontId="35" fillId="0" borderId="94" applyNumberFormat="0" applyFill="0" applyAlignment="0" applyProtection="0"/>
    <xf numFmtId="165" fontId="40" fillId="0" borderId="0" applyFont="0" applyFill="0" applyBorder="0" applyAlignment="0" applyProtection="0"/>
    <xf numFmtId="0" fontId="21" fillId="39" borderId="95" applyNumberFormat="0" applyAlignment="0" applyProtection="0"/>
    <xf numFmtId="0" fontId="30" fillId="33" borderId="95" applyNumberFormat="0" applyAlignment="0" applyProtection="0"/>
    <xf numFmtId="0" fontId="23" fillId="27" borderId="96" applyNumberFormat="0" applyFont="0" applyAlignment="0" applyProtection="0"/>
    <xf numFmtId="0" fontId="33" fillId="39" borderId="97" applyNumberFormat="0" applyAlignment="0" applyProtection="0"/>
    <xf numFmtId="0" fontId="35" fillId="0" borderId="98" applyNumberFormat="0" applyFill="0" applyAlignment="0" applyProtection="0"/>
    <xf numFmtId="165" fontId="40" fillId="0" borderId="0" applyFont="0" applyFill="0" applyBorder="0" applyAlignment="0" applyProtection="0"/>
    <xf numFmtId="0" fontId="21" fillId="39" borderId="95" applyNumberFormat="0" applyAlignment="0" applyProtection="0"/>
    <xf numFmtId="0" fontId="30" fillId="33" borderId="95" applyNumberFormat="0" applyAlignment="0" applyProtection="0"/>
    <xf numFmtId="0" fontId="23" fillId="27" borderId="96" applyNumberFormat="0" applyFont="0" applyAlignment="0" applyProtection="0"/>
    <xf numFmtId="0" fontId="33" fillId="39" borderId="97" applyNumberFormat="0" applyAlignment="0" applyProtection="0"/>
    <xf numFmtId="0" fontId="35" fillId="0" borderId="98" applyNumberFormat="0" applyFill="0" applyAlignment="0" applyProtection="0"/>
    <xf numFmtId="0" fontId="70" fillId="0" borderId="0"/>
    <xf numFmtId="176" fontId="70" fillId="0" borderId="0" applyBorder="0" applyProtection="0"/>
    <xf numFmtId="0" fontId="82" fillId="0" borderId="0" applyBorder="0" applyProtection="0"/>
    <xf numFmtId="0" fontId="71" fillId="56" borderId="0" applyBorder="0" applyProtection="0"/>
    <xf numFmtId="0" fontId="71" fillId="57" borderId="0" applyBorder="0" applyProtection="0"/>
    <xf numFmtId="0" fontId="71" fillId="57" borderId="0" applyBorder="0" applyProtection="0"/>
    <xf numFmtId="0" fontId="71" fillId="56" borderId="0" applyBorder="0" applyProtection="0"/>
    <xf numFmtId="0" fontId="71" fillId="58" borderId="0" applyBorder="0" applyProtection="0"/>
    <xf numFmtId="0" fontId="71" fillId="59" borderId="0" applyBorder="0" applyProtection="0"/>
    <xf numFmtId="0" fontId="71" fillId="60" borderId="0" applyBorder="0" applyProtection="0"/>
    <xf numFmtId="0" fontId="71" fillId="61" borderId="0" applyBorder="0" applyProtection="0"/>
    <xf numFmtId="0" fontId="71" fillId="61" borderId="0" applyBorder="0" applyProtection="0"/>
    <xf numFmtId="0" fontId="71" fillId="60" borderId="0" applyBorder="0" applyProtection="0"/>
    <xf numFmtId="0" fontId="71" fillId="58" borderId="0" applyBorder="0" applyProtection="0"/>
    <xf numFmtId="0" fontId="71" fillId="59" borderId="0" applyBorder="0" applyProtection="0"/>
    <xf numFmtId="0" fontId="72" fillId="62" borderId="0" applyBorder="0" applyProtection="0"/>
    <xf numFmtId="0" fontId="72" fillId="63" borderId="0" applyBorder="0" applyProtection="0"/>
    <xf numFmtId="0" fontId="72" fillId="63" borderId="0" applyBorder="0" applyProtection="0"/>
    <xf numFmtId="0" fontId="72" fillId="62" borderId="0" applyBorder="0" applyProtection="0"/>
    <xf numFmtId="0" fontId="72" fillId="64" borderId="0" applyBorder="0" applyProtection="0"/>
    <xf numFmtId="0" fontId="72" fillId="65" borderId="0" applyBorder="0" applyProtection="0"/>
    <xf numFmtId="0" fontId="72" fillId="64" borderId="0" applyBorder="0" applyProtection="0"/>
    <xf numFmtId="0" fontId="72" fillId="66" borderId="0" applyBorder="0" applyProtection="0"/>
    <xf numFmtId="0" fontId="72" fillId="63" borderId="0" applyBorder="0" applyProtection="0"/>
    <xf numFmtId="0" fontId="72" fillId="67" borderId="0" applyBorder="0" applyProtection="0"/>
    <xf numFmtId="0" fontId="72" fillId="68" borderId="0" applyBorder="0" applyProtection="0"/>
    <xf numFmtId="0" fontId="72" fillId="69" borderId="0" applyBorder="0" applyProtection="0"/>
    <xf numFmtId="0" fontId="73" fillId="70" borderId="0" applyBorder="0" applyProtection="0"/>
    <xf numFmtId="0" fontId="74" fillId="71" borderId="99" applyProtection="0"/>
    <xf numFmtId="0" fontId="74" fillId="71" borderId="99" applyProtection="0"/>
    <xf numFmtId="0" fontId="75" fillId="72" borderId="100" applyProtection="0"/>
    <xf numFmtId="0" fontId="75" fillId="72" borderId="100" applyProtection="0"/>
    <xf numFmtId="176" fontId="70" fillId="0" borderId="0" applyBorder="0" applyProtection="0"/>
    <xf numFmtId="176" fontId="70" fillId="0" borderId="0" applyBorder="0" applyProtection="0"/>
    <xf numFmtId="176" fontId="70" fillId="0" borderId="0" applyBorder="0" applyProtection="0"/>
    <xf numFmtId="177" fontId="70" fillId="0" borderId="0" applyBorder="0" applyProtection="0"/>
    <xf numFmtId="0" fontId="76" fillId="0" borderId="0" applyBorder="0" applyProtection="0"/>
    <xf numFmtId="0" fontId="77" fillId="73" borderId="0" applyBorder="0" applyProtection="0"/>
    <xf numFmtId="0" fontId="78" fillId="0" borderId="101" applyProtection="0"/>
    <xf numFmtId="0" fontId="79" fillId="0" borderId="102" applyProtection="0"/>
    <xf numFmtId="0" fontId="80" fillId="0" borderId="103" applyProtection="0"/>
    <xf numFmtId="0" fontId="80" fillId="0" borderId="0" applyBorder="0" applyProtection="0"/>
    <xf numFmtId="0" fontId="81" fillId="0" borderId="0" applyBorder="0" applyProtection="0"/>
    <xf numFmtId="0" fontId="82" fillId="0" borderId="0" applyBorder="0" applyProtection="0"/>
    <xf numFmtId="0" fontId="83" fillId="65" borderId="99" applyProtection="0"/>
    <xf numFmtId="0" fontId="83" fillId="65" borderId="99" applyProtection="0"/>
    <xf numFmtId="0" fontId="84" fillId="0" borderId="104" applyProtection="0"/>
    <xf numFmtId="0" fontId="85" fillId="59" borderId="0" applyBorder="0" applyProtection="0"/>
    <xf numFmtId="0" fontId="86" fillId="0" borderId="0"/>
    <xf numFmtId="0" fontId="86" fillId="0" borderId="0"/>
    <xf numFmtId="0" fontId="86" fillId="0" borderId="0"/>
    <xf numFmtId="0" fontId="70" fillId="0" borderId="0"/>
    <xf numFmtId="0" fontId="87" fillId="0" borderId="0"/>
    <xf numFmtId="0" fontId="86" fillId="0" borderId="0"/>
    <xf numFmtId="0" fontId="71" fillId="0" borderId="0"/>
    <xf numFmtId="0" fontId="88" fillId="0" borderId="0"/>
    <xf numFmtId="0" fontId="87" fillId="0" borderId="0"/>
    <xf numFmtId="0" fontId="70" fillId="0" borderId="0"/>
    <xf numFmtId="0" fontId="70" fillId="0" borderId="0"/>
    <xf numFmtId="0" fontId="70" fillId="0" borderId="0"/>
    <xf numFmtId="0" fontId="70" fillId="59" borderId="105" applyProtection="0"/>
    <xf numFmtId="0" fontId="70" fillId="59" borderId="105" applyProtection="0"/>
    <xf numFmtId="0" fontId="89" fillId="71" borderId="106" applyProtection="0"/>
    <xf numFmtId="0" fontId="89" fillId="71" borderId="106" applyProtection="0"/>
    <xf numFmtId="9" fontId="70" fillId="0" borderId="0" applyBorder="0" applyProtection="0"/>
    <xf numFmtId="0" fontId="90" fillId="0" borderId="0" applyBorder="0" applyProtection="0"/>
    <xf numFmtId="0" fontId="91" fillId="0" borderId="107" applyProtection="0"/>
    <xf numFmtId="0" fontId="91" fillId="0" borderId="107" applyProtection="0"/>
    <xf numFmtId="0" fontId="92" fillId="0" borderId="0" applyBorder="0" applyProtection="0"/>
    <xf numFmtId="0" fontId="4" fillId="0" borderId="0"/>
    <xf numFmtId="0" fontId="5" fillId="0" borderId="0"/>
    <xf numFmtId="165" fontId="40" fillId="0" borderId="0" applyFont="0" applyFill="0" applyBorder="0" applyAlignment="0" applyProtection="0"/>
    <xf numFmtId="0" fontId="17" fillId="0" borderId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4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8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0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2" borderId="0" applyNumberFormat="0" applyBorder="0" applyAlignment="0" applyProtection="0"/>
    <xf numFmtId="0" fontId="19" fillId="34" borderId="0" applyNumberFormat="0" applyBorder="0" applyAlignment="0" applyProtection="0"/>
    <xf numFmtId="0" fontId="19" fillId="31" borderId="0" applyNumberFormat="0" applyBorder="0" applyAlignment="0" applyProtection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20" fillId="38" borderId="0" applyNumberFormat="0" applyBorder="0" applyAlignment="0" applyProtection="0"/>
    <xf numFmtId="0" fontId="21" fillId="39" borderId="108" applyNumberFormat="0" applyAlignment="0" applyProtection="0"/>
    <xf numFmtId="0" fontId="22" fillId="40" borderId="15" applyNumberFormat="0" applyAlignment="0" applyProtection="0"/>
    <xf numFmtId="0" fontId="24" fillId="0" borderId="0" applyNumberFormat="0" applyFill="0" applyBorder="0" applyAlignment="0" applyProtection="0"/>
    <xf numFmtId="0" fontId="25" fillId="41" borderId="0" applyNumberFormat="0" applyBorder="0" applyAlignment="0" applyProtection="0"/>
    <xf numFmtId="0" fontId="26" fillId="0" borderId="16" applyNumberFormat="0" applyFill="0" applyAlignment="0" applyProtection="0"/>
    <xf numFmtId="0" fontId="27" fillId="0" borderId="17" applyNumberFormat="0" applyFill="0" applyAlignment="0" applyProtection="0"/>
    <xf numFmtId="0" fontId="28" fillId="0" borderId="18" applyNumberFormat="0" applyFill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0" fillId="33" borderId="108" applyNumberFormat="0" applyAlignment="0" applyProtection="0"/>
    <xf numFmtId="0" fontId="31" fillId="0" borderId="19" applyNumberFormat="0" applyFill="0" applyAlignment="0" applyProtection="0"/>
    <xf numFmtId="0" fontId="32" fillId="27" borderId="0" applyNumberFormat="0" applyBorder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4" fillId="0" borderId="0" applyNumberFormat="0" applyFill="0" applyBorder="0" applyAlignment="0" applyProtection="0"/>
    <xf numFmtId="0" fontId="35" fillId="0" borderId="111" applyNumberFormat="0" applyFill="0" applyAlignment="0" applyProtection="0"/>
    <xf numFmtId="0" fontId="36" fillId="0" borderId="0" applyNumberFormat="0" applyFill="0" applyBorder="0" applyAlignment="0" applyProtection="0"/>
    <xf numFmtId="44" fontId="17" fillId="0" borderId="0" applyFont="0" applyFill="0" applyBorder="0" applyAlignment="0" applyProtection="0"/>
    <xf numFmtId="0" fontId="4" fillId="0" borderId="0"/>
    <xf numFmtId="0" fontId="40" fillId="0" borderId="0"/>
    <xf numFmtId="0" fontId="17" fillId="0" borderId="0"/>
    <xf numFmtId="165" fontId="40" fillId="0" borderId="0" applyFont="0" applyFill="0" applyBorder="0" applyAlignment="0" applyProtection="0"/>
    <xf numFmtId="0" fontId="52" fillId="0" borderId="0"/>
    <xf numFmtId="0" fontId="21" fillId="39" borderId="108" applyNumberFormat="0" applyAlignment="0" applyProtection="0"/>
    <xf numFmtId="0" fontId="22" fillId="40" borderId="15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0" fontId="40" fillId="0" borderId="0"/>
    <xf numFmtId="0" fontId="40" fillId="0" borderId="0"/>
    <xf numFmtId="0" fontId="16" fillId="0" borderId="0" applyNumberFormat="0" applyFill="0" applyBorder="0" applyAlignment="0" applyProtection="0"/>
    <xf numFmtId="0" fontId="21" fillId="39" borderId="108" applyNumberFormat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0" fontId="40" fillId="0" borderId="0"/>
    <xf numFmtId="165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165" fontId="40" fillId="0" borderId="0" applyFont="0" applyFill="0" applyBorder="0" applyAlignment="0" applyProtection="0"/>
    <xf numFmtId="0" fontId="30" fillId="33" borderId="108" applyNumberFormat="0" applyAlignment="0" applyProtection="0"/>
    <xf numFmtId="0" fontId="21" fillId="39" borderId="108" applyNumberFormat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21" fillId="39" borderId="108" applyNumberFormat="0" applyAlignment="0" applyProtection="0"/>
    <xf numFmtId="0" fontId="35" fillId="0" borderId="111" applyNumberFormat="0" applyFill="0" applyAlignment="0" applyProtection="0"/>
    <xf numFmtId="0" fontId="30" fillId="33" borderId="108" applyNumberFormat="0" applyAlignment="0" applyProtection="0"/>
    <xf numFmtId="0" fontId="21" fillId="39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0" fillId="33" borderId="108" applyNumberFormat="0" applyAlignment="0" applyProtection="0"/>
    <xf numFmtId="0" fontId="35" fillId="0" borderId="111" applyNumberFormat="0" applyFill="0" applyAlignment="0" applyProtection="0"/>
    <xf numFmtId="0" fontId="35" fillId="0" borderId="111" applyNumberFormat="0" applyFill="0" applyAlignment="0" applyProtection="0"/>
    <xf numFmtId="0" fontId="33" fillId="39" borderId="110" applyNumberFormat="0" applyAlignment="0" applyProtection="0"/>
    <xf numFmtId="0" fontId="23" fillId="27" borderId="109" applyNumberFormat="0" applyFont="0" applyAlignment="0" applyProtection="0"/>
    <xf numFmtId="0" fontId="35" fillId="0" borderId="111" applyNumberFormat="0" applyFill="0" applyAlignment="0" applyProtection="0"/>
    <xf numFmtId="165" fontId="40" fillId="0" borderId="0" applyFont="0" applyFill="0" applyBorder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0" fontId="40" fillId="0" borderId="0"/>
    <xf numFmtId="0" fontId="23" fillId="27" borderId="109" applyNumberFormat="0" applyFont="0" applyAlignment="0" applyProtection="0"/>
    <xf numFmtId="0" fontId="35" fillId="0" borderId="111" applyNumberFormat="0" applyFill="0" applyAlignment="0" applyProtection="0"/>
    <xf numFmtId="0" fontId="33" fillId="39" borderId="110" applyNumberFormat="0" applyAlignment="0" applyProtection="0"/>
    <xf numFmtId="0" fontId="21" fillId="39" borderId="108" applyNumberFormat="0" applyAlignment="0" applyProtection="0"/>
    <xf numFmtId="0" fontId="33" fillId="39" borderId="110" applyNumberFormat="0" applyAlignment="0" applyProtection="0"/>
    <xf numFmtId="0" fontId="21" fillId="39" borderId="108" applyNumberFormat="0" applyAlignment="0" applyProtection="0"/>
    <xf numFmtId="0" fontId="35" fillId="0" borderId="111" applyNumberFormat="0" applyFill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0" fillId="33" borderId="108" applyNumberFormat="0" applyAlignment="0" applyProtection="0"/>
    <xf numFmtId="0" fontId="21" fillId="39" borderId="108" applyNumberFormat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21" fillId="39" borderId="108" applyNumberFormat="0" applyAlignment="0" applyProtection="0"/>
    <xf numFmtId="0" fontId="35" fillId="0" borderId="111" applyNumberFormat="0" applyFill="0" applyAlignment="0" applyProtection="0"/>
    <xf numFmtId="0" fontId="30" fillId="33" borderId="108" applyNumberFormat="0" applyAlignment="0" applyProtection="0"/>
    <xf numFmtId="0" fontId="21" fillId="39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0" fillId="33" borderId="108" applyNumberFormat="0" applyAlignment="0" applyProtection="0"/>
    <xf numFmtId="0" fontId="35" fillId="0" borderId="111" applyNumberFormat="0" applyFill="0" applyAlignment="0" applyProtection="0"/>
    <xf numFmtId="0" fontId="35" fillId="0" borderId="111" applyNumberFormat="0" applyFill="0" applyAlignment="0" applyProtection="0"/>
    <xf numFmtId="0" fontId="33" fillId="39" borderId="110" applyNumberFormat="0" applyAlignment="0" applyProtection="0"/>
    <xf numFmtId="0" fontId="23" fillId="27" borderId="109" applyNumberFormat="0" applyFont="0" applyAlignment="0" applyProtection="0"/>
    <xf numFmtId="0" fontId="35" fillId="0" borderId="111" applyNumberFormat="0" applyFill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0" fontId="23" fillId="27" borderId="109" applyNumberFormat="0" applyFont="0" applyAlignment="0" applyProtection="0"/>
    <xf numFmtId="0" fontId="35" fillId="0" borderId="111" applyNumberFormat="0" applyFill="0" applyAlignment="0" applyProtection="0"/>
    <xf numFmtId="0" fontId="33" fillId="39" borderId="110" applyNumberFormat="0" applyAlignment="0" applyProtection="0"/>
    <xf numFmtId="0" fontId="21" fillId="39" borderId="108" applyNumberFormat="0" applyAlignment="0" applyProtection="0"/>
    <xf numFmtId="0" fontId="33" fillId="39" borderId="110" applyNumberFormat="0" applyAlignment="0" applyProtection="0"/>
    <xf numFmtId="0" fontId="21" fillId="39" borderId="108" applyNumberFormat="0" applyAlignment="0" applyProtection="0"/>
    <xf numFmtId="0" fontId="35" fillId="0" borderId="111" applyNumberFormat="0" applyFill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164" fontId="70" fillId="0" borderId="0" applyFont="0" applyFill="0" applyBorder="0" applyAlignment="0" applyProtection="0"/>
    <xf numFmtId="165" fontId="40" fillId="0" borderId="0" applyFont="0" applyFill="0" applyBorder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165" fontId="40" fillId="0" borderId="0" applyFont="0" applyFill="0" applyBorder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21" fillId="39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165" fontId="40" fillId="0" borderId="0" applyFont="0" applyFill="0" applyBorder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165" fontId="40" fillId="0" borderId="0" applyFont="0" applyFill="0" applyBorder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21" fillId="39" borderId="114" applyNumberFormat="0" applyAlignment="0" applyProtection="0"/>
    <xf numFmtId="0" fontId="35" fillId="0" borderId="117" applyNumberFormat="0" applyFill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0" fillId="33" borderId="114" applyNumberFormat="0" applyAlignment="0" applyProtection="0"/>
    <xf numFmtId="0" fontId="35" fillId="0" borderId="117" applyNumberFormat="0" applyFill="0" applyAlignment="0" applyProtection="0"/>
    <xf numFmtId="0" fontId="35" fillId="0" borderId="117" applyNumberFormat="0" applyFill="0" applyAlignment="0" applyProtection="0"/>
    <xf numFmtId="0" fontId="33" fillId="39" borderId="116" applyNumberFormat="0" applyAlignment="0" applyProtection="0"/>
    <xf numFmtId="0" fontId="23" fillId="27" borderId="115" applyNumberFormat="0" applyFont="0" applyAlignment="0" applyProtection="0"/>
    <xf numFmtId="0" fontId="35" fillId="0" borderId="117" applyNumberFormat="0" applyFill="0" applyAlignment="0" applyProtection="0"/>
    <xf numFmtId="165" fontId="40" fillId="0" borderId="0" applyFont="0" applyFill="0" applyBorder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23" fillId="27" borderId="115" applyNumberFormat="0" applyFont="0" applyAlignment="0" applyProtection="0"/>
    <xf numFmtId="0" fontId="35" fillId="0" borderId="117" applyNumberFormat="0" applyFill="0" applyAlignment="0" applyProtection="0"/>
    <xf numFmtId="0" fontId="33" fillId="39" borderId="116" applyNumberFormat="0" applyAlignment="0" applyProtection="0"/>
    <xf numFmtId="0" fontId="21" fillId="39" borderId="114" applyNumberFormat="0" applyAlignment="0" applyProtection="0"/>
    <xf numFmtId="0" fontId="33" fillId="39" borderId="116" applyNumberFormat="0" applyAlignment="0" applyProtection="0"/>
    <xf numFmtId="0" fontId="21" fillId="39" borderId="114" applyNumberFormat="0" applyAlignment="0" applyProtection="0"/>
    <xf numFmtId="0" fontId="35" fillId="0" borderId="117" applyNumberFormat="0" applyFill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21" fillId="39" borderId="114" applyNumberFormat="0" applyAlignment="0" applyProtection="0"/>
    <xf numFmtId="0" fontId="35" fillId="0" borderId="117" applyNumberFormat="0" applyFill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0" fillId="33" borderId="114" applyNumberFormat="0" applyAlignment="0" applyProtection="0"/>
    <xf numFmtId="0" fontId="35" fillId="0" borderId="117" applyNumberFormat="0" applyFill="0" applyAlignment="0" applyProtection="0"/>
    <xf numFmtId="0" fontId="35" fillId="0" borderId="117" applyNumberFormat="0" applyFill="0" applyAlignment="0" applyProtection="0"/>
    <xf numFmtId="0" fontId="33" fillId="39" borderId="116" applyNumberFormat="0" applyAlignment="0" applyProtection="0"/>
    <xf numFmtId="0" fontId="23" fillId="27" borderId="115" applyNumberFormat="0" applyFont="0" applyAlignment="0" applyProtection="0"/>
    <xf numFmtId="0" fontId="35" fillId="0" borderId="117" applyNumberFormat="0" applyFill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23" fillId="27" borderId="115" applyNumberFormat="0" applyFont="0" applyAlignment="0" applyProtection="0"/>
    <xf numFmtId="0" fontId="35" fillId="0" borderId="117" applyNumberFormat="0" applyFill="0" applyAlignment="0" applyProtection="0"/>
    <xf numFmtId="0" fontId="33" fillId="39" borderId="116" applyNumberFormat="0" applyAlignment="0" applyProtection="0"/>
    <xf numFmtId="0" fontId="21" fillId="39" borderId="114" applyNumberFormat="0" applyAlignment="0" applyProtection="0"/>
    <xf numFmtId="0" fontId="33" fillId="39" borderId="116" applyNumberFormat="0" applyAlignment="0" applyProtection="0"/>
    <xf numFmtId="0" fontId="21" fillId="39" borderId="114" applyNumberFormat="0" applyAlignment="0" applyProtection="0"/>
    <xf numFmtId="0" fontId="35" fillId="0" borderId="117" applyNumberFormat="0" applyFill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164" fontId="70" fillId="0" borderId="0" applyFont="0" applyFill="0" applyBorder="0" applyAlignment="0" applyProtection="0"/>
    <xf numFmtId="0" fontId="21" fillId="39" borderId="114" applyNumberFormat="0" applyAlignment="0" applyProtection="0"/>
    <xf numFmtId="0" fontId="33" fillId="39" borderId="116" applyNumberFormat="0" applyAlignment="0" applyProtection="0"/>
    <xf numFmtId="0" fontId="30" fillId="33" borderId="114" applyNumberFormat="0" applyAlignment="0" applyProtection="0"/>
    <xf numFmtId="0" fontId="35" fillId="0" borderId="117" applyNumberFormat="0" applyFill="0" applyAlignment="0" applyProtection="0"/>
    <xf numFmtId="0" fontId="23" fillId="27" borderId="115" applyNumberFormat="0" applyFont="0" applyAlignment="0" applyProtection="0"/>
    <xf numFmtId="0" fontId="21" fillId="39" borderId="114" applyNumberFormat="0" applyAlignment="0" applyProtection="0"/>
    <xf numFmtId="0" fontId="21" fillId="39" borderId="114" applyNumberFormat="0" applyAlignment="0" applyProtection="0"/>
    <xf numFmtId="0" fontId="21" fillId="39" borderId="114" applyNumberFormat="0" applyAlignment="0" applyProtection="0"/>
    <xf numFmtId="0" fontId="35" fillId="0" borderId="117" applyNumberFormat="0" applyFill="0" applyAlignment="0" applyProtection="0"/>
    <xf numFmtId="0" fontId="35" fillId="0" borderId="117" applyNumberFormat="0" applyFill="0" applyAlignment="0" applyProtection="0"/>
    <xf numFmtId="0" fontId="23" fillId="27" borderId="115" applyNumberFormat="0" applyFont="0" applyAlignment="0" applyProtection="0"/>
    <xf numFmtId="0" fontId="21" fillId="39" borderId="114" applyNumberFormat="0" applyAlignment="0" applyProtection="0"/>
    <xf numFmtId="0" fontId="23" fillId="27" borderId="115" applyNumberFormat="0" applyFont="0" applyAlignment="0" applyProtection="0"/>
    <xf numFmtId="0" fontId="35" fillId="0" borderId="117" applyNumberFormat="0" applyFill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23" fillId="27" borderId="115" applyNumberFormat="0" applyFont="0" applyAlignment="0" applyProtection="0"/>
    <xf numFmtId="0" fontId="23" fillId="27" borderId="115" applyNumberFormat="0" applyFon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23" fillId="27" borderId="115" applyNumberFormat="0" applyFont="0" applyAlignment="0" applyProtection="0"/>
    <xf numFmtId="0" fontId="35" fillId="0" borderId="117" applyNumberFormat="0" applyFill="0" applyAlignment="0" applyProtection="0"/>
    <xf numFmtId="0" fontId="23" fillId="27" borderId="115" applyNumberFormat="0" applyFont="0" applyAlignment="0" applyProtection="0"/>
    <xf numFmtId="0" fontId="21" fillId="39" borderId="114" applyNumberForma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23" fillId="27" borderId="115" applyNumberFormat="0" applyFont="0" applyAlignment="0" applyProtection="0"/>
    <xf numFmtId="0" fontId="21" fillId="39" borderId="114" applyNumberFormat="0" applyAlignment="0" applyProtection="0"/>
    <xf numFmtId="0" fontId="23" fillId="27" borderId="115" applyNumberFormat="0" applyFont="0" applyAlignment="0" applyProtection="0"/>
    <xf numFmtId="0" fontId="23" fillId="27" borderId="115" applyNumberFormat="0" applyFon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35" fillId="0" borderId="117" applyNumberFormat="0" applyFill="0" applyAlignment="0" applyProtection="0"/>
    <xf numFmtId="0" fontId="33" fillId="39" borderId="116" applyNumberFormat="0" applyAlignment="0" applyProtection="0"/>
    <xf numFmtId="0" fontId="23" fillId="27" borderId="115" applyNumberFormat="0" applyFont="0" applyAlignment="0" applyProtection="0"/>
    <xf numFmtId="0" fontId="21" fillId="39" borderId="114" applyNumberFormat="0" applyAlignment="0" applyProtection="0"/>
    <xf numFmtId="0" fontId="35" fillId="0" borderId="117" applyNumberFormat="0" applyFill="0" applyAlignment="0" applyProtection="0"/>
    <xf numFmtId="0" fontId="35" fillId="0" borderId="117" applyNumberFormat="0" applyFill="0" applyAlignment="0" applyProtection="0"/>
    <xf numFmtId="0" fontId="23" fillId="27" borderId="115" applyNumberFormat="0" applyFont="0" applyAlignment="0" applyProtection="0"/>
    <xf numFmtId="0" fontId="21" fillId="39" borderId="114" applyNumberFormat="0" applyAlignment="0" applyProtection="0"/>
    <xf numFmtId="0" fontId="33" fillId="39" borderId="116" applyNumberFormat="0" applyAlignment="0" applyProtection="0"/>
    <xf numFmtId="0" fontId="30" fillId="33" borderId="114" applyNumberFormat="0" applyAlignment="0" applyProtection="0"/>
    <xf numFmtId="0" fontId="35" fillId="0" borderId="117" applyNumberFormat="0" applyFill="0" applyAlignment="0" applyProtection="0"/>
    <xf numFmtId="0" fontId="33" fillId="39" borderId="116" applyNumberFormat="0" applyAlignment="0" applyProtection="0"/>
    <xf numFmtId="0" fontId="33" fillId="39" borderId="116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0" fillId="33" borderId="114" applyNumberFormat="0" applyAlignment="0" applyProtection="0"/>
    <xf numFmtId="0" fontId="35" fillId="0" borderId="117" applyNumberFormat="0" applyFill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33" fillId="39" borderId="116" applyNumberFormat="0" applyAlignment="0" applyProtection="0"/>
    <xf numFmtId="0" fontId="21" fillId="39" borderId="114" applyNumberFormat="0" applyAlignment="0" applyProtection="0"/>
    <xf numFmtId="0" fontId="35" fillId="0" borderId="117" applyNumberFormat="0" applyFill="0" applyAlignment="0" applyProtection="0"/>
    <xf numFmtId="0" fontId="33" fillId="39" borderId="116" applyNumberFormat="0" applyAlignment="0" applyProtection="0"/>
    <xf numFmtId="0" fontId="33" fillId="39" borderId="116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30" fillId="33" borderId="114" applyNumberFormat="0" applyAlignment="0" applyProtection="0"/>
    <xf numFmtId="0" fontId="33" fillId="39" borderId="116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3" fillId="39" borderId="116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0" fillId="33" borderId="114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21" fillId="39" borderId="114" applyNumberFormat="0" applyAlignment="0" applyProtection="0"/>
    <xf numFmtId="0" fontId="21" fillId="39" borderId="114" applyNumberFormat="0" applyAlignment="0" applyProtection="0"/>
    <xf numFmtId="0" fontId="35" fillId="0" borderId="117" applyNumberFormat="0" applyFill="0" applyAlignment="0" applyProtection="0"/>
    <xf numFmtId="0" fontId="30" fillId="33" borderId="114" applyNumberFormat="0" applyAlignment="0" applyProtection="0"/>
    <xf numFmtId="0" fontId="33" fillId="39" borderId="116" applyNumberFormat="0" applyAlignment="0" applyProtection="0"/>
    <xf numFmtId="0" fontId="21" fillId="39" borderId="114" applyNumberFormat="0" applyAlignment="0" applyProtection="0"/>
    <xf numFmtId="0" fontId="21" fillId="39" borderId="114" applyNumberFormat="0" applyAlignment="0" applyProtection="0"/>
    <xf numFmtId="0" fontId="21" fillId="39" borderId="114" applyNumberFormat="0" applyAlignment="0" applyProtection="0"/>
    <xf numFmtId="0" fontId="33" fillId="39" borderId="116" applyNumberFormat="0" applyAlignment="0" applyProtection="0"/>
    <xf numFmtId="0" fontId="30" fillId="33" borderId="114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35" fillId="0" borderId="117" applyNumberFormat="0" applyFill="0" applyAlignment="0" applyProtection="0"/>
    <xf numFmtId="0" fontId="33" fillId="39" borderId="116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23" fillId="27" borderId="115" applyNumberFormat="0" applyFon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35" fillId="0" borderId="117" applyNumberFormat="0" applyFill="0" applyAlignment="0" applyProtection="0"/>
    <xf numFmtId="0" fontId="23" fillId="27" borderId="115" applyNumberFormat="0" applyFont="0" applyAlignment="0" applyProtection="0"/>
    <xf numFmtId="0" fontId="35" fillId="0" borderId="117" applyNumberFormat="0" applyFill="0" applyAlignment="0" applyProtection="0"/>
    <xf numFmtId="0" fontId="23" fillId="27" borderId="115" applyNumberFormat="0" applyFont="0" applyAlignment="0" applyProtection="0"/>
    <xf numFmtId="0" fontId="35" fillId="0" borderId="117" applyNumberFormat="0" applyFill="0" applyAlignment="0" applyProtection="0"/>
    <xf numFmtId="0" fontId="35" fillId="0" borderId="117" applyNumberFormat="0" applyFill="0" applyAlignment="0" applyProtection="0"/>
    <xf numFmtId="0" fontId="23" fillId="27" borderId="115" applyNumberFormat="0" applyFont="0" applyAlignment="0" applyProtection="0"/>
    <xf numFmtId="0" fontId="30" fillId="33" borderId="114" applyNumberFormat="0" applyAlignment="0" applyProtection="0"/>
    <xf numFmtId="0" fontId="33" fillId="39" borderId="116" applyNumberFormat="0" applyAlignment="0" applyProtection="0"/>
    <xf numFmtId="0" fontId="21" fillId="39" borderId="114" applyNumberFormat="0" applyAlignment="0" applyProtection="0"/>
    <xf numFmtId="0" fontId="35" fillId="0" borderId="117" applyNumberFormat="0" applyFill="0" applyAlignment="0" applyProtection="0"/>
    <xf numFmtId="0" fontId="35" fillId="0" borderId="117" applyNumberFormat="0" applyFill="0" applyAlignment="0" applyProtection="0"/>
    <xf numFmtId="0" fontId="33" fillId="39" borderId="116" applyNumberFormat="0" applyAlignment="0" applyProtection="0"/>
    <xf numFmtId="0" fontId="23" fillId="27" borderId="115" applyNumberFormat="0" applyFont="0" applyAlignment="0" applyProtection="0"/>
    <xf numFmtId="0" fontId="21" fillId="39" borderId="114" applyNumberFormat="0" applyAlignment="0" applyProtection="0"/>
    <xf numFmtId="0" fontId="35" fillId="0" borderId="117" applyNumberFormat="0" applyFill="0" applyAlignment="0" applyProtection="0"/>
    <xf numFmtId="0" fontId="30" fillId="33" borderId="114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33" fillId="39" borderId="116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33" fillId="39" borderId="116" applyNumberFormat="0" applyAlignment="0" applyProtection="0"/>
    <xf numFmtId="0" fontId="33" fillId="39" borderId="116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30" fillId="33" borderId="114" applyNumberFormat="0" applyAlignment="0" applyProtection="0"/>
    <xf numFmtId="0" fontId="30" fillId="33" borderId="114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21" fillId="39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30" fillId="33" borderId="114" applyNumberFormat="0" applyAlignment="0" applyProtection="0"/>
    <xf numFmtId="0" fontId="30" fillId="33" borderId="114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21" fillId="39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21" fillId="39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21" fillId="39" borderId="114" applyNumberFormat="0" applyAlignment="0" applyProtection="0"/>
    <xf numFmtId="0" fontId="35" fillId="0" borderId="117" applyNumberFormat="0" applyFill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0" fillId="33" borderId="114" applyNumberFormat="0" applyAlignment="0" applyProtection="0"/>
    <xf numFmtId="0" fontId="35" fillId="0" borderId="117" applyNumberFormat="0" applyFill="0" applyAlignment="0" applyProtection="0"/>
    <xf numFmtId="0" fontId="35" fillId="0" borderId="117" applyNumberFormat="0" applyFill="0" applyAlignment="0" applyProtection="0"/>
    <xf numFmtId="0" fontId="33" fillId="39" borderId="116" applyNumberFormat="0" applyAlignment="0" applyProtection="0"/>
    <xf numFmtId="0" fontId="23" fillId="27" borderId="115" applyNumberFormat="0" applyFont="0" applyAlignment="0" applyProtection="0"/>
    <xf numFmtId="0" fontId="35" fillId="0" borderId="117" applyNumberFormat="0" applyFill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23" fillId="27" borderId="115" applyNumberFormat="0" applyFont="0" applyAlignment="0" applyProtection="0"/>
    <xf numFmtId="0" fontId="35" fillId="0" borderId="117" applyNumberFormat="0" applyFill="0" applyAlignment="0" applyProtection="0"/>
    <xf numFmtId="0" fontId="33" fillId="39" borderId="116" applyNumberFormat="0" applyAlignment="0" applyProtection="0"/>
    <xf numFmtId="0" fontId="21" fillId="39" borderId="114" applyNumberFormat="0" applyAlignment="0" applyProtection="0"/>
    <xf numFmtId="0" fontId="33" fillId="39" borderId="116" applyNumberFormat="0" applyAlignment="0" applyProtection="0"/>
    <xf numFmtId="0" fontId="21" fillId="39" borderId="114" applyNumberFormat="0" applyAlignment="0" applyProtection="0"/>
    <xf numFmtId="0" fontId="35" fillId="0" borderId="117" applyNumberFormat="0" applyFill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21" fillId="39" borderId="114" applyNumberFormat="0" applyAlignment="0" applyProtection="0"/>
    <xf numFmtId="0" fontId="35" fillId="0" borderId="117" applyNumberFormat="0" applyFill="0" applyAlignment="0" applyProtection="0"/>
    <xf numFmtId="0" fontId="30" fillId="33" borderId="114" applyNumberFormat="0" applyAlignment="0" applyProtection="0"/>
    <xf numFmtId="0" fontId="21" fillId="39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0" fillId="33" borderId="114" applyNumberFormat="0" applyAlignment="0" applyProtection="0"/>
    <xf numFmtId="0" fontId="35" fillId="0" borderId="117" applyNumberFormat="0" applyFill="0" applyAlignment="0" applyProtection="0"/>
    <xf numFmtId="0" fontId="35" fillId="0" borderId="117" applyNumberFormat="0" applyFill="0" applyAlignment="0" applyProtection="0"/>
    <xf numFmtId="0" fontId="33" fillId="39" borderId="116" applyNumberFormat="0" applyAlignment="0" applyProtection="0"/>
    <xf numFmtId="0" fontId="23" fillId="27" borderId="115" applyNumberFormat="0" applyFont="0" applyAlignment="0" applyProtection="0"/>
    <xf numFmtId="0" fontId="35" fillId="0" borderId="117" applyNumberFormat="0" applyFill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23" fillId="27" borderId="115" applyNumberFormat="0" applyFont="0" applyAlignment="0" applyProtection="0"/>
    <xf numFmtId="0" fontId="35" fillId="0" borderId="117" applyNumberFormat="0" applyFill="0" applyAlignment="0" applyProtection="0"/>
    <xf numFmtId="0" fontId="33" fillId="39" borderId="116" applyNumberFormat="0" applyAlignment="0" applyProtection="0"/>
    <xf numFmtId="0" fontId="21" fillId="39" borderId="114" applyNumberFormat="0" applyAlignment="0" applyProtection="0"/>
    <xf numFmtId="0" fontId="33" fillId="39" borderId="116" applyNumberFormat="0" applyAlignment="0" applyProtection="0"/>
    <xf numFmtId="0" fontId="21" fillId="39" borderId="114" applyNumberFormat="0" applyAlignment="0" applyProtection="0"/>
    <xf numFmtId="0" fontId="35" fillId="0" borderId="117" applyNumberFormat="0" applyFill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21" fillId="39" borderId="114" applyNumberFormat="0" applyAlignment="0" applyProtection="0"/>
    <xf numFmtId="0" fontId="30" fillId="33" borderId="114" applyNumberFormat="0" applyAlignment="0" applyProtection="0"/>
    <xf numFmtId="0" fontId="23" fillId="27" borderId="115" applyNumberFormat="0" applyFont="0" applyAlignment="0" applyProtection="0"/>
    <xf numFmtId="0" fontId="33" fillId="39" borderId="116" applyNumberFormat="0" applyAlignment="0" applyProtection="0"/>
    <xf numFmtId="0" fontId="35" fillId="0" borderId="117" applyNumberFormat="0" applyFill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0" fontId="21" fillId="39" borderId="108" applyNumberFormat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0" fillId="33" borderId="108" applyNumberFormat="0" applyAlignment="0" applyProtection="0"/>
    <xf numFmtId="0" fontId="21" fillId="39" borderId="108" applyNumberFormat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21" fillId="39" borderId="108" applyNumberFormat="0" applyAlignment="0" applyProtection="0"/>
    <xf numFmtId="0" fontId="35" fillId="0" borderId="111" applyNumberFormat="0" applyFill="0" applyAlignment="0" applyProtection="0"/>
    <xf numFmtId="0" fontId="30" fillId="33" borderId="108" applyNumberFormat="0" applyAlignment="0" applyProtection="0"/>
    <xf numFmtId="0" fontId="21" fillId="39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0" fillId="33" borderId="108" applyNumberFormat="0" applyAlignment="0" applyProtection="0"/>
    <xf numFmtId="0" fontId="35" fillId="0" borderId="111" applyNumberFormat="0" applyFill="0" applyAlignment="0" applyProtection="0"/>
    <xf numFmtId="0" fontId="35" fillId="0" borderId="111" applyNumberFormat="0" applyFill="0" applyAlignment="0" applyProtection="0"/>
    <xf numFmtId="0" fontId="33" fillId="39" borderId="110" applyNumberFormat="0" applyAlignment="0" applyProtection="0"/>
    <xf numFmtId="0" fontId="23" fillId="27" borderId="109" applyNumberFormat="0" applyFont="0" applyAlignment="0" applyProtection="0"/>
    <xf numFmtId="0" fontId="35" fillId="0" borderId="111" applyNumberFormat="0" applyFill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0" fontId="23" fillId="27" borderId="109" applyNumberFormat="0" applyFont="0" applyAlignment="0" applyProtection="0"/>
    <xf numFmtId="0" fontId="35" fillId="0" borderId="111" applyNumberFormat="0" applyFill="0" applyAlignment="0" applyProtection="0"/>
    <xf numFmtId="0" fontId="33" fillId="39" borderId="110" applyNumberFormat="0" applyAlignment="0" applyProtection="0"/>
    <xf numFmtId="0" fontId="21" fillId="39" borderId="108" applyNumberFormat="0" applyAlignment="0" applyProtection="0"/>
    <xf numFmtId="0" fontId="33" fillId="39" borderId="110" applyNumberFormat="0" applyAlignment="0" applyProtection="0"/>
    <xf numFmtId="0" fontId="21" fillId="39" borderId="108" applyNumberFormat="0" applyAlignment="0" applyProtection="0"/>
    <xf numFmtId="0" fontId="35" fillId="0" borderId="111" applyNumberFormat="0" applyFill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0" fillId="33" borderId="108" applyNumberFormat="0" applyAlignment="0" applyProtection="0"/>
    <xf numFmtId="0" fontId="21" fillId="39" borderId="108" applyNumberFormat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21" fillId="39" borderId="108" applyNumberFormat="0" applyAlignment="0" applyProtection="0"/>
    <xf numFmtId="0" fontId="35" fillId="0" borderId="111" applyNumberFormat="0" applyFill="0" applyAlignment="0" applyProtection="0"/>
    <xf numFmtId="0" fontId="30" fillId="33" borderId="108" applyNumberFormat="0" applyAlignment="0" applyProtection="0"/>
    <xf numFmtId="0" fontId="21" fillId="39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0" fillId="33" borderId="108" applyNumberFormat="0" applyAlignment="0" applyProtection="0"/>
    <xf numFmtId="0" fontId="35" fillId="0" borderId="111" applyNumberFormat="0" applyFill="0" applyAlignment="0" applyProtection="0"/>
    <xf numFmtId="0" fontId="35" fillId="0" borderId="111" applyNumberFormat="0" applyFill="0" applyAlignment="0" applyProtection="0"/>
    <xf numFmtId="0" fontId="33" fillId="39" borderId="110" applyNumberFormat="0" applyAlignment="0" applyProtection="0"/>
    <xf numFmtId="0" fontId="23" fillId="27" borderId="109" applyNumberFormat="0" applyFont="0" applyAlignment="0" applyProtection="0"/>
    <xf numFmtId="0" fontId="35" fillId="0" borderId="111" applyNumberFormat="0" applyFill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0" fontId="23" fillId="27" borderId="109" applyNumberFormat="0" applyFont="0" applyAlignment="0" applyProtection="0"/>
    <xf numFmtId="0" fontId="35" fillId="0" borderId="111" applyNumberFormat="0" applyFill="0" applyAlignment="0" applyProtection="0"/>
    <xf numFmtId="0" fontId="33" fillId="39" borderId="110" applyNumberFormat="0" applyAlignment="0" applyProtection="0"/>
    <xf numFmtId="0" fontId="21" fillId="39" borderId="108" applyNumberFormat="0" applyAlignment="0" applyProtection="0"/>
    <xf numFmtId="0" fontId="33" fillId="39" borderId="110" applyNumberFormat="0" applyAlignment="0" applyProtection="0"/>
    <xf numFmtId="0" fontId="21" fillId="39" borderId="108" applyNumberFormat="0" applyAlignment="0" applyProtection="0"/>
    <xf numFmtId="0" fontId="35" fillId="0" borderId="111" applyNumberFormat="0" applyFill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0" fontId="21" fillId="39" borderId="108" applyNumberFormat="0" applyAlignment="0" applyProtection="0"/>
    <xf numFmtId="0" fontId="30" fillId="33" borderId="108" applyNumberFormat="0" applyAlignment="0" applyProtection="0"/>
    <xf numFmtId="0" fontId="23" fillId="27" borderId="109" applyNumberFormat="0" applyFont="0" applyAlignment="0" applyProtection="0"/>
    <xf numFmtId="0" fontId="33" fillId="39" borderId="110" applyNumberFormat="0" applyAlignment="0" applyProtection="0"/>
    <xf numFmtId="0" fontId="35" fillId="0" borderId="111" applyNumberFormat="0" applyFill="0" applyAlignment="0" applyProtection="0"/>
    <xf numFmtId="0" fontId="35" fillId="0" borderId="133" applyNumberFormat="0" applyFill="0" applyAlignment="0" applyProtection="0"/>
    <xf numFmtId="0" fontId="30" fillId="33" borderId="130" applyNumberFormat="0" applyAlignment="0" applyProtection="0"/>
    <xf numFmtId="0" fontId="21" fillId="39" borderId="130" applyNumberFormat="0" applyAlignment="0" applyProtection="0"/>
    <xf numFmtId="0" fontId="35" fillId="0" borderId="133" applyNumberFormat="0" applyFill="0" applyAlignment="0" applyProtection="0"/>
    <xf numFmtId="0" fontId="21" fillId="39" borderId="130" applyNumberFormat="0" applyAlignment="0" applyProtection="0"/>
    <xf numFmtId="0" fontId="23" fillId="27" borderId="123" applyNumberFormat="0" applyFont="0" applyAlignment="0" applyProtection="0"/>
    <xf numFmtId="0" fontId="33" fillId="39" borderId="132" applyNumberFormat="0" applyAlignment="0" applyProtection="0"/>
    <xf numFmtId="0" fontId="30" fillId="33" borderId="130" applyNumberFormat="0" applyAlignment="0" applyProtection="0"/>
    <xf numFmtId="0" fontId="30" fillId="33" borderId="130" applyNumberFormat="0" applyAlignment="0" applyProtection="0"/>
    <xf numFmtId="0" fontId="21" fillId="39" borderId="122" applyNumberFormat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30" fillId="33" borderId="130" applyNumberFormat="0" applyAlignment="0" applyProtection="0"/>
    <xf numFmtId="0" fontId="33" fillId="39" borderId="21" applyNumberFormat="0" applyAlignment="0" applyProtection="0"/>
    <xf numFmtId="0" fontId="30" fillId="33" borderId="130" applyNumberFormat="0" applyAlignment="0" applyProtection="0"/>
    <xf numFmtId="0" fontId="33" fillId="39" borderId="132" applyNumberFormat="0" applyAlignment="0" applyProtection="0"/>
    <xf numFmtId="0" fontId="21" fillId="39" borderId="130" applyNumberFormat="0" applyAlignment="0" applyProtection="0"/>
    <xf numFmtId="0" fontId="21" fillId="39" borderId="130" applyNumberFormat="0" applyAlignment="0" applyProtection="0"/>
    <xf numFmtId="0" fontId="33" fillId="39" borderId="21" applyNumberForma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5" fillId="0" borderId="133" applyNumberFormat="0" applyFill="0" applyAlignment="0" applyProtection="0"/>
    <xf numFmtId="0" fontId="30" fillId="33" borderId="130" applyNumberFormat="0" applyAlignment="0" applyProtection="0"/>
    <xf numFmtId="0" fontId="33" fillId="39" borderId="21" applyNumberFormat="0" applyAlignment="0" applyProtection="0"/>
    <xf numFmtId="0" fontId="23" fillId="27" borderId="131" applyNumberFormat="0" applyFont="0" applyAlignment="0" applyProtection="0"/>
    <xf numFmtId="0" fontId="21" fillId="39" borderId="130" applyNumberFormat="0" applyAlignment="0" applyProtection="0"/>
    <xf numFmtId="0" fontId="23" fillId="27" borderId="131" applyNumberFormat="0" applyFont="0" applyAlignment="0" applyProtection="0"/>
    <xf numFmtId="0" fontId="33" fillId="39" borderId="21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21" applyNumberFormat="0" applyAlignment="0" applyProtection="0"/>
    <xf numFmtId="165" fontId="40" fillId="0" borderId="0" applyFont="0" applyFill="0" applyBorder="0" applyAlignment="0" applyProtection="0"/>
    <xf numFmtId="0" fontId="21" fillId="39" borderId="130" applyNumberFormat="0" applyAlignment="0" applyProtection="0"/>
    <xf numFmtId="0" fontId="33" fillId="39" borderId="132" applyNumberFormat="0" applyAlignment="0" applyProtection="0"/>
    <xf numFmtId="0" fontId="35" fillId="0" borderId="125" applyNumberFormat="0" applyFill="0" applyAlignment="0" applyProtection="0"/>
    <xf numFmtId="0" fontId="33" fillId="39" borderId="124" applyNumberFormat="0" applyAlignment="0" applyProtection="0"/>
    <xf numFmtId="0" fontId="21" fillId="39" borderId="130" applyNumberFormat="0" applyAlignment="0" applyProtection="0"/>
    <xf numFmtId="0" fontId="30" fillId="33" borderId="122" applyNumberFormat="0" applyAlignment="0" applyProtection="0"/>
    <xf numFmtId="0" fontId="33" fillId="39" borderId="132" applyNumberFormat="0" applyAlignment="0" applyProtection="0"/>
    <xf numFmtId="0" fontId="21" fillId="39" borderId="130" applyNumberFormat="0" applyAlignment="0" applyProtection="0"/>
    <xf numFmtId="0" fontId="21" fillId="39" borderId="130" applyNumberFormat="0" applyAlignment="0" applyProtection="0"/>
    <xf numFmtId="0" fontId="21" fillId="39" borderId="130" applyNumberFormat="0" applyAlignment="0" applyProtection="0"/>
    <xf numFmtId="0" fontId="35" fillId="0" borderId="133" applyNumberFormat="0" applyFill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30" fillId="33" borderId="130" applyNumberFormat="0" applyAlignment="0" applyProtection="0"/>
    <xf numFmtId="0" fontId="21" fillId="39" borderId="118" applyNumberFormat="0" applyAlignment="0" applyProtection="0"/>
    <xf numFmtId="0" fontId="30" fillId="33" borderId="130" applyNumberFormat="0" applyAlignment="0" applyProtection="0"/>
    <xf numFmtId="0" fontId="33" fillId="39" borderId="21" applyNumberFormat="0" applyAlignment="0" applyProtection="0"/>
    <xf numFmtId="0" fontId="30" fillId="33" borderId="130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0" fillId="33" borderId="130" applyNumberFormat="0" applyAlignment="0" applyProtection="0"/>
    <xf numFmtId="0" fontId="35" fillId="0" borderId="121" applyNumberFormat="0" applyFill="0" applyAlignment="0" applyProtection="0"/>
    <xf numFmtId="0" fontId="30" fillId="33" borderId="130" applyNumberFormat="0" applyAlignment="0" applyProtection="0"/>
    <xf numFmtId="165" fontId="40" fillId="0" borderId="0" applyFont="0" applyFill="0" applyBorder="0" applyAlignment="0" applyProtection="0"/>
    <xf numFmtId="0" fontId="33" fillId="39" borderId="132" applyNumberFormat="0" applyAlignment="0" applyProtection="0"/>
    <xf numFmtId="0" fontId="21" fillId="39" borderId="118" applyNumberFormat="0" applyAlignment="0" applyProtection="0"/>
    <xf numFmtId="0" fontId="35" fillId="0" borderId="133" applyNumberFormat="0" applyFill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1" fillId="39" borderId="130" applyNumberFormat="0" applyAlignment="0" applyProtection="0"/>
    <xf numFmtId="0" fontId="21" fillId="39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165" fontId="40" fillId="0" borderId="0" applyFont="0" applyFill="0" applyBorder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165" fontId="40" fillId="0" borderId="0" applyFont="0" applyFill="0" applyBorder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21" fillId="39" borderId="118" applyNumberFormat="0" applyAlignment="0" applyProtection="0"/>
    <xf numFmtId="0" fontId="35" fillId="0" borderId="121" applyNumberFormat="0" applyFill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0" fillId="33" borderId="118" applyNumberFormat="0" applyAlignment="0" applyProtection="0"/>
    <xf numFmtId="0" fontId="35" fillId="0" borderId="121" applyNumberFormat="0" applyFill="0" applyAlignment="0" applyProtection="0"/>
    <xf numFmtId="0" fontId="35" fillId="0" borderId="121" applyNumberFormat="0" applyFill="0" applyAlignment="0" applyProtection="0"/>
    <xf numFmtId="0" fontId="33" fillId="39" borderId="120" applyNumberFormat="0" applyAlignment="0" applyProtection="0"/>
    <xf numFmtId="0" fontId="23" fillId="27" borderId="119" applyNumberFormat="0" applyFont="0" applyAlignment="0" applyProtection="0"/>
    <xf numFmtId="0" fontId="35" fillId="0" borderId="121" applyNumberFormat="0" applyFill="0" applyAlignment="0" applyProtection="0"/>
    <xf numFmtId="165" fontId="40" fillId="0" borderId="0" applyFont="0" applyFill="0" applyBorder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3" fillId="27" borderId="119" applyNumberFormat="0" applyFont="0" applyAlignment="0" applyProtection="0"/>
    <xf numFmtId="0" fontId="35" fillId="0" borderId="121" applyNumberFormat="0" applyFill="0" applyAlignment="0" applyProtection="0"/>
    <xf numFmtId="0" fontId="33" fillId="39" borderId="120" applyNumberFormat="0" applyAlignment="0" applyProtection="0"/>
    <xf numFmtId="0" fontId="21" fillId="39" borderId="118" applyNumberFormat="0" applyAlignment="0" applyProtection="0"/>
    <xf numFmtId="0" fontId="33" fillId="39" borderId="120" applyNumberFormat="0" applyAlignment="0" applyProtection="0"/>
    <xf numFmtId="0" fontId="21" fillId="39" borderId="118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165" fontId="40" fillId="0" borderId="0" applyFont="0" applyFill="0" applyBorder="0" applyAlignment="0" applyProtection="0"/>
    <xf numFmtId="0" fontId="23" fillId="27" borderId="131" applyNumberFormat="0" applyFont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21" fillId="39" borderId="118" applyNumberFormat="0" applyAlignment="0" applyProtection="0"/>
    <xf numFmtId="0" fontId="35" fillId="0" borderId="121" applyNumberFormat="0" applyFill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0" fillId="33" borderId="118" applyNumberFormat="0" applyAlignment="0" applyProtection="0"/>
    <xf numFmtId="0" fontId="35" fillId="0" borderId="121" applyNumberFormat="0" applyFill="0" applyAlignment="0" applyProtection="0"/>
    <xf numFmtId="0" fontId="35" fillId="0" borderId="121" applyNumberFormat="0" applyFill="0" applyAlignment="0" applyProtection="0"/>
    <xf numFmtId="0" fontId="33" fillId="39" borderId="120" applyNumberFormat="0" applyAlignment="0" applyProtection="0"/>
    <xf numFmtId="0" fontId="23" fillId="27" borderId="119" applyNumberFormat="0" applyFon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3" fillId="27" borderId="119" applyNumberFormat="0" applyFont="0" applyAlignment="0" applyProtection="0"/>
    <xf numFmtId="0" fontId="35" fillId="0" borderId="121" applyNumberFormat="0" applyFill="0" applyAlignment="0" applyProtection="0"/>
    <xf numFmtId="0" fontId="33" fillId="39" borderId="120" applyNumberFormat="0" applyAlignment="0" applyProtection="0"/>
    <xf numFmtId="0" fontId="21" fillId="39" borderId="118" applyNumberFormat="0" applyAlignment="0" applyProtection="0"/>
    <xf numFmtId="0" fontId="33" fillId="39" borderId="120" applyNumberFormat="0" applyAlignment="0" applyProtection="0"/>
    <xf numFmtId="0" fontId="21" fillId="39" borderId="118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164" fontId="70" fillId="0" borderId="0" applyFont="0" applyFill="0" applyBorder="0" applyAlignment="0" applyProtection="0"/>
    <xf numFmtId="0" fontId="21" fillId="39" borderId="118" applyNumberFormat="0" applyAlignment="0" applyProtection="0"/>
    <xf numFmtId="0" fontId="33" fillId="39" borderId="120" applyNumberFormat="0" applyAlignment="0" applyProtection="0"/>
    <xf numFmtId="0" fontId="30" fillId="33" borderId="118" applyNumberFormat="0" applyAlignment="0" applyProtection="0"/>
    <xf numFmtId="0" fontId="35" fillId="0" borderId="121" applyNumberFormat="0" applyFill="0" applyAlignment="0" applyProtection="0"/>
    <xf numFmtId="0" fontId="23" fillId="27" borderId="119" applyNumberFormat="0" applyFont="0" applyAlignment="0" applyProtection="0"/>
    <xf numFmtId="0" fontId="21" fillId="39" borderId="118" applyNumberFormat="0" applyAlignment="0" applyProtection="0"/>
    <xf numFmtId="0" fontId="21" fillId="39" borderId="118" applyNumberFormat="0" applyAlignment="0" applyProtection="0"/>
    <xf numFmtId="0" fontId="21" fillId="39" borderId="118" applyNumberFormat="0" applyAlignment="0" applyProtection="0"/>
    <xf numFmtId="0" fontId="35" fillId="0" borderId="121" applyNumberFormat="0" applyFill="0" applyAlignment="0" applyProtection="0"/>
    <xf numFmtId="0" fontId="35" fillId="0" borderId="121" applyNumberFormat="0" applyFill="0" applyAlignment="0" applyProtection="0"/>
    <xf numFmtId="0" fontId="23" fillId="27" borderId="119" applyNumberFormat="0" applyFont="0" applyAlignment="0" applyProtection="0"/>
    <xf numFmtId="0" fontId="21" fillId="39" borderId="118" applyNumberFormat="0" applyAlignment="0" applyProtection="0"/>
    <xf numFmtId="0" fontId="23" fillId="27" borderId="119" applyNumberFormat="0" applyFont="0" applyAlignment="0" applyProtection="0"/>
    <xf numFmtId="0" fontId="35" fillId="0" borderId="121" applyNumberFormat="0" applyFill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23" fillId="27" borderId="119" applyNumberFormat="0" applyFont="0" applyAlignment="0" applyProtection="0"/>
    <xf numFmtId="0" fontId="23" fillId="27" borderId="119" applyNumberFormat="0" applyFon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23" fillId="27" borderId="119" applyNumberFormat="0" applyFont="0" applyAlignment="0" applyProtection="0"/>
    <xf numFmtId="0" fontId="35" fillId="0" borderId="121" applyNumberFormat="0" applyFill="0" applyAlignment="0" applyProtection="0"/>
    <xf numFmtId="0" fontId="23" fillId="27" borderId="119" applyNumberFormat="0" applyFont="0" applyAlignment="0" applyProtection="0"/>
    <xf numFmtId="0" fontId="21" fillId="39" borderId="118" applyNumberForma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3" fillId="27" borderId="119" applyNumberFormat="0" applyFont="0" applyAlignment="0" applyProtection="0"/>
    <xf numFmtId="0" fontId="21" fillId="39" borderId="118" applyNumberFormat="0" applyAlignment="0" applyProtection="0"/>
    <xf numFmtId="0" fontId="23" fillId="27" borderId="119" applyNumberFormat="0" applyFont="0" applyAlignment="0" applyProtection="0"/>
    <xf numFmtId="0" fontId="23" fillId="27" borderId="119" applyNumberFormat="0" applyFon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35" fillId="0" borderId="121" applyNumberFormat="0" applyFill="0" applyAlignment="0" applyProtection="0"/>
    <xf numFmtId="0" fontId="33" fillId="39" borderId="120" applyNumberFormat="0" applyAlignment="0" applyProtection="0"/>
    <xf numFmtId="0" fontId="23" fillId="27" borderId="119" applyNumberFormat="0" applyFont="0" applyAlignment="0" applyProtection="0"/>
    <xf numFmtId="0" fontId="21" fillId="39" borderId="118" applyNumberFormat="0" applyAlignment="0" applyProtection="0"/>
    <xf numFmtId="0" fontId="35" fillId="0" borderId="121" applyNumberFormat="0" applyFill="0" applyAlignment="0" applyProtection="0"/>
    <xf numFmtId="0" fontId="35" fillId="0" borderId="121" applyNumberFormat="0" applyFill="0" applyAlignment="0" applyProtection="0"/>
    <xf numFmtId="0" fontId="23" fillId="27" borderId="119" applyNumberFormat="0" applyFont="0" applyAlignment="0" applyProtection="0"/>
    <xf numFmtId="0" fontId="21" fillId="39" borderId="118" applyNumberFormat="0" applyAlignment="0" applyProtection="0"/>
    <xf numFmtId="0" fontId="33" fillId="39" borderId="120" applyNumberFormat="0" applyAlignment="0" applyProtection="0"/>
    <xf numFmtId="0" fontId="30" fillId="33" borderId="118" applyNumberFormat="0" applyAlignment="0" applyProtection="0"/>
    <xf numFmtId="0" fontId="35" fillId="0" borderId="121" applyNumberFormat="0" applyFill="0" applyAlignment="0" applyProtection="0"/>
    <xf numFmtId="0" fontId="33" fillId="39" borderId="120" applyNumberFormat="0" applyAlignment="0" applyProtection="0"/>
    <xf numFmtId="0" fontId="33" fillId="39" borderId="120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0" fillId="33" borderId="118" applyNumberFormat="0" applyAlignment="0" applyProtection="0"/>
    <xf numFmtId="0" fontId="35" fillId="0" borderId="121" applyNumberFormat="0" applyFill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33" fillId="39" borderId="120" applyNumberFormat="0" applyAlignment="0" applyProtection="0"/>
    <xf numFmtId="0" fontId="21" fillId="39" borderId="118" applyNumberFormat="0" applyAlignment="0" applyProtection="0"/>
    <xf numFmtId="0" fontId="35" fillId="0" borderId="121" applyNumberFormat="0" applyFill="0" applyAlignment="0" applyProtection="0"/>
    <xf numFmtId="0" fontId="33" fillId="39" borderId="120" applyNumberFormat="0" applyAlignment="0" applyProtection="0"/>
    <xf numFmtId="0" fontId="33" fillId="39" borderId="120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30" fillId="33" borderId="118" applyNumberFormat="0" applyAlignment="0" applyProtection="0"/>
    <xf numFmtId="0" fontId="33" fillId="39" borderId="120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3" fillId="39" borderId="120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0" fillId="33" borderId="118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21" fillId="39" borderId="118" applyNumberFormat="0" applyAlignment="0" applyProtection="0"/>
    <xf numFmtId="0" fontId="21" fillId="39" borderId="118" applyNumberFormat="0" applyAlignment="0" applyProtection="0"/>
    <xf numFmtId="0" fontId="35" fillId="0" borderId="121" applyNumberFormat="0" applyFill="0" applyAlignment="0" applyProtection="0"/>
    <xf numFmtId="0" fontId="30" fillId="33" borderId="118" applyNumberFormat="0" applyAlignment="0" applyProtection="0"/>
    <xf numFmtId="0" fontId="33" fillId="39" borderId="120" applyNumberFormat="0" applyAlignment="0" applyProtection="0"/>
    <xf numFmtId="0" fontId="21" fillId="39" borderId="118" applyNumberFormat="0" applyAlignment="0" applyProtection="0"/>
    <xf numFmtId="0" fontId="21" fillId="39" borderId="118" applyNumberFormat="0" applyAlignment="0" applyProtection="0"/>
    <xf numFmtId="0" fontId="21" fillId="39" borderId="118" applyNumberFormat="0" applyAlignment="0" applyProtection="0"/>
    <xf numFmtId="0" fontId="33" fillId="39" borderId="120" applyNumberFormat="0" applyAlignment="0" applyProtection="0"/>
    <xf numFmtId="0" fontId="30" fillId="33" borderId="118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35" fillId="0" borderId="121" applyNumberFormat="0" applyFill="0" applyAlignment="0" applyProtection="0"/>
    <xf numFmtId="0" fontId="33" fillId="39" borderId="120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23" fillId="27" borderId="119" applyNumberFormat="0" applyFon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35" fillId="0" borderId="121" applyNumberFormat="0" applyFill="0" applyAlignment="0" applyProtection="0"/>
    <xf numFmtId="0" fontId="23" fillId="27" borderId="119" applyNumberFormat="0" applyFont="0" applyAlignment="0" applyProtection="0"/>
    <xf numFmtId="0" fontId="35" fillId="0" borderId="121" applyNumberFormat="0" applyFill="0" applyAlignment="0" applyProtection="0"/>
    <xf numFmtId="0" fontId="23" fillId="27" borderId="119" applyNumberFormat="0" applyFont="0" applyAlignment="0" applyProtection="0"/>
    <xf numFmtId="0" fontId="35" fillId="0" borderId="121" applyNumberFormat="0" applyFill="0" applyAlignment="0" applyProtection="0"/>
    <xf numFmtId="0" fontId="35" fillId="0" borderId="121" applyNumberFormat="0" applyFill="0" applyAlignment="0" applyProtection="0"/>
    <xf numFmtId="0" fontId="23" fillId="27" borderId="119" applyNumberFormat="0" applyFont="0" applyAlignment="0" applyProtection="0"/>
    <xf numFmtId="0" fontId="30" fillId="33" borderId="118" applyNumberFormat="0" applyAlignment="0" applyProtection="0"/>
    <xf numFmtId="0" fontId="33" fillId="39" borderId="120" applyNumberFormat="0" applyAlignment="0" applyProtection="0"/>
    <xf numFmtId="0" fontId="21" fillId="39" borderId="118" applyNumberFormat="0" applyAlignment="0" applyProtection="0"/>
    <xf numFmtId="0" fontId="35" fillId="0" borderId="121" applyNumberFormat="0" applyFill="0" applyAlignment="0" applyProtection="0"/>
    <xf numFmtId="0" fontId="35" fillId="0" borderId="121" applyNumberFormat="0" applyFill="0" applyAlignment="0" applyProtection="0"/>
    <xf numFmtId="0" fontId="33" fillId="39" borderId="120" applyNumberFormat="0" applyAlignment="0" applyProtection="0"/>
    <xf numFmtId="0" fontId="23" fillId="27" borderId="119" applyNumberFormat="0" applyFont="0" applyAlignment="0" applyProtection="0"/>
    <xf numFmtId="0" fontId="21" fillId="39" borderId="118" applyNumberFormat="0" applyAlignment="0" applyProtection="0"/>
    <xf numFmtId="0" fontId="35" fillId="0" borderId="121" applyNumberFormat="0" applyFill="0" applyAlignment="0" applyProtection="0"/>
    <xf numFmtId="0" fontId="30" fillId="33" borderId="118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33" fillId="39" borderId="120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33" fillId="39" borderId="120" applyNumberFormat="0" applyAlignment="0" applyProtection="0"/>
    <xf numFmtId="0" fontId="33" fillId="39" borderId="120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30" fillId="33" borderId="118" applyNumberFormat="0" applyAlignment="0" applyProtection="0"/>
    <xf numFmtId="0" fontId="30" fillId="33" borderId="118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21" fillId="39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30" fillId="33" borderId="118" applyNumberFormat="0" applyAlignment="0" applyProtection="0"/>
    <xf numFmtId="0" fontId="30" fillId="33" borderId="118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21" fillId="39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21" fillId="39" borderId="118" applyNumberFormat="0" applyAlignment="0" applyProtection="0"/>
    <xf numFmtId="0" fontId="35" fillId="0" borderId="121" applyNumberFormat="0" applyFill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0" fillId="33" borderId="118" applyNumberFormat="0" applyAlignment="0" applyProtection="0"/>
    <xf numFmtId="0" fontId="35" fillId="0" borderId="121" applyNumberFormat="0" applyFill="0" applyAlignment="0" applyProtection="0"/>
    <xf numFmtId="0" fontId="35" fillId="0" borderId="121" applyNumberFormat="0" applyFill="0" applyAlignment="0" applyProtection="0"/>
    <xf numFmtId="0" fontId="33" fillId="39" borderId="120" applyNumberFormat="0" applyAlignment="0" applyProtection="0"/>
    <xf numFmtId="0" fontId="23" fillId="27" borderId="119" applyNumberFormat="0" applyFon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3" fillId="27" borderId="119" applyNumberFormat="0" applyFont="0" applyAlignment="0" applyProtection="0"/>
    <xf numFmtId="0" fontId="35" fillId="0" borderId="121" applyNumberFormat="0" applyFill="0" applyAlignment="0" applyProtection="0"/>
    <xf numFmtId="0" fontId="33" fillId="39" borderId="120" applyNumberFormat="0" applyAlignment="0" applyProtection="0"/>
    <xf numFmtId="0" fontId="21" fillId="39" borderId="118" applyNumberFormat="0" applyAlignment="0" applyProtection="0"/>
    <xf numFmtId="0" fontId="33" fillId="39" borderId="120" applyNumberFormat="0" applyAlignment="0" applyProtection="0"/>
    <xf numFmtId="0" fontId="21" fillId="39" borderId="118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21" fillId="39" borderId="118" applyNumberFormat="0" applyAlignment="0" applyProtection="0"/>
    <xf numFmtId="0" fontId="35" fillId="0" borderId="121" applyNumberFormat="0" applyFill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0" fillId="33" borderId="118" applyNumberFormat="0" applyAlignment="0" applyProtection="0"/>
    <xf numFmtId="0" fontId="35" fillId="0" borderId="121" applyNumberFormat="0" applyFill="0" applyAlignment="0" applyProtection="0"/>
    <xf numFmtId="0" fontId="35" fillId="0" borderId="121" applyNumberFormat="0" applyFill="0" applyAlignment="0" applyProtection="0"/>
    <xf numFmtId="0" fontId="33" fillId="39" borderId="120" applyNumberFormat="0" applyAlignment="0" applyProtection="0"/>
    <xf numFmtId="0" fontId="23" fillId="27" borderId="119" applyNumberFormat="0" applyFon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3" fillId="27" borderId="119" applyNumberFormat="0" applyFont="0" applyAlignment="0" applyProtection="0"/>
    <xf numFmtId="0" fontId="35" fillId="0" borderId="121" applyNumberFormat="0" applyFill="0" applyAlignment="0" applyProtection="0"/>
    <xf numFmtId="0" fontId="33" fillId="39" borderId="120" applyNumberFormat="0" applyAlignment="0" applyProtection="0"/>
    <xf numFmtId="0" fontId="21" fillId="39" borderId="118" applyNumberFormat="0" applyAlignment="0" applyProtection="0"/>
    <xf numFmtId="0" fontId="33" fillId="39" borderId="120" applyNumberFormat="0" applyAlignment="0" applyProtection="0"/>
    <xf numFmtId="0" fontId="21" fillId="39" borderId="118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21" fillId="39" borderId="118" applyNumberFormat="0" applyAlignment="0" applyProtection="0"/>
    <xf numFmtId="0" fontId="35" fillId="0" borderId="121" applyNumberFormat="0" applyFill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0" fillId="33" borderId="118" applyNumberFormat="0" applyAlignment="0" applyProtection="0"/>
    <xf numFmtId="0" fontId="35" fillId="0" borderId="121" applyNumberFormat="0" applyFill="0" applyAlignment="0" applyProtection="0"/>
    <xf numFmtId="0" fontId="35" fillId="0" borderId="121" applyNumberFormat="0" applyFill="0" applyAlignment="0" applyProtection="0"/>
    <xf numFmtId="0" fontId="33" fillId="39" borderId="120" applyNumberFormat="0" applyAlignment="0" applyProtection="0"/>
    <xf numFmtId="0" fontId="23" fillId="27" borderId="119" applyNumberFormat="0" applyFon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3" fillId="27" borderId="119" applyNumberFormat="0" applyFont="0" applyAlignment="0" applyProtection="0"/>
    <xf numFmtId="0" fontId="35" fillId="0" borderId="121" applyNumberFormat="0" applyFill="0" applyAlignment="0" applyProtection="0"/>
    <xf numFmtId="0" fontId="33" fillId="39" borderId="120" applyNumberFormat="0" applyAlignment="0" applyProtection="0"/>
    <xf numFmtId="0" fontId="21" fillId="39" borderId="118" applyNumberFormat="0" applyAlignment="0" applyProtection="0"/>
    <xf numFmtId="0" fontId="33" fillId="39" borderId="120" applyNumberFormat="0" applyAlignment="0" applyProtection="0"/>
    <xf numFmtId="0" fontId="21" fillId="39" borderId="118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21" fillId="39" borderId="118" applyNumberFormat="0" applyAlignment="0" applyProtection="0"/>
    <xf numFmtId="0" fontId="35" fillId="0" borderId="121" applyNumberFormat="0" applyFill="0" applyAlignment="0" applyProtection="0"/>
    <xf numFmtId="0" fontId="30" fillId="33" borderId="118" applyNumberFormat="0" applyAlignment="0" applyProtection="0"/>
    <xf numFmtId="0" fontId="21" fillId="39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0" fillId="33" borderId="118" applyNumberFormat="0" applyAlignment="0" applyProtection="0"/>
    <xf numFmtId="0" fontId="35" fillId="0" borderId="121" applyNumberFormat="0" applyFill="0" applyAlignment="0" applyProtection="0"/>
    <xf numFmtId="0" fontId="35" fillId="0" borderId="121" applyNumberFormat="0" applyFill="0" applyAlignment="0" applyProtection="0"/>
    <xf numFmtId="0" fontId="33" fillId="39" borderId="120" applyNumberFormat="0" applyAlignment="0" applyProtection="0"/>
    <xf numFmtId="0" fontId="23" fillId="27" borderId="119" applyNumberFormat="0" applyFon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3" fillId="27" borderId="119" applyNumberFormat="0" applyFont="0" applyAlignment="0" applyProtection="0"/>
    <xf numFmtId="0" fontId="35" fillId="0" borderId="121" applyNumberFormat="0" applyFill="0" applyAlignment="0" applyProtection="0"/>
    <xf numFmtId="0" fontId="33" fillId="39" borderId="120" applyNumberFormat="0" applyAlignment="0" applyProtection="0"/>
    <xf numFmtId="0" fontId="21" fillId="39" borderId="118" applyNumberFormat="0" applyAlignment="0" applyProtection="0"/>
    <xf numFmtId="0" fontId="33" fillId="39" borderId="120" applyNumberFormat="0" applyAlignment="0" applyProtection="0"/>
    <xf numFmtId="0" fontId="21" fillId="39" borderId="118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1" fillId="39" borderId="118" applyNumberFormat="0" applyAlignment="0" applyProtection="0"/>
    <xf numFmtId="0" fontId="30" fillId="33" borderId="118" applyNumberFormat="0" applyAlignment="0" applyProtection="0"/>
    <xf numFmtId="0" fontId="23" fillId="27" borderId="119" applyNumberFormat="0" applyFont="0" applyAlignment="0" applyProtection="0"/>
    <xf numFmtId="0" fontId="33" fillId="39" borderId="120" applyNumberFormat="0" applyAlignment="0" applyProtection="0"/>
    <xf numFmtId="0" fontId="35" fillId="0" borderId="121" applyNumberFormat="0" applyFill="0" applyAlignment="0" applyProtection="0"/>
    <xf numFmtId="0" fontId="21" fillId="39" borderId="122" applyNumberFormat="0" applyAlignment="0" applyProtection="0"/>
    <xf numFmtId="0" fontId="33" fillId="39" borderId="21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21" fillId="39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33" fillId="39" borderId="21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21" fillId="39" borderId="122" applyNumberFormat="0" applyAlignment="0" applyProtection="0"/>
    <xf numFmtId="0" fontId="35" fillId="0" borderId="125" applyNumberFormat="0" applyFill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0" fillId="33" borderId="122" applyNumberFormat="0" applyAlignment="0" applyProtection="0"/>
    <xf numFmtId="0" fontId="35" fillId="0" borderId="125" applyNumberFormat="0" applyFill="0" applyAlignment="0" applyProtection="0"/>
    <xf numFmtId="0" fontId="35" fillId="0" borderId="125" applyNumberFormat="0" applyFill="0" applyAlignment="0" applyProtection="0"/>
    <xf numFmtId="0" fontId="33" fillId="39" borderId="124" applyNumberFormat="0" applyAlignment="0" applyProtection="0"/>
    <xf numFmtId="0" fontId="23" fillId="27" borderId="123" applyNumberFormat="0" applyFont="0" applyAlignment="0" applyProtection="0"/>
    <xf numFmtId="0" fontId="35" fillId="0" borderId="125" applyNumberFormat="0" applyFill="0" applyAlignment="0" applyProtection="0"/>
    <xf numFmtId="0" fontId="30" fillId="33" borderId="130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23" fillId="27" borderId="123" applyNumberFormat="0" applyFont="0" applyAlignment="0" applyProtection="0"/>
    <xf numFmtId="0" fontId="35" fillId="0" borderId="125" applyNumberFormat="0" applyFill="0" applyAlignment="0" applyProtection="0"/>
    <xf numFmtId="0" fontId="33" fillId="39" borderId="124" applyNumberFormat="0" applyAlignment="0" applyProtection="0"/>
    <xf numFmtId="0" fontId="21" fillId="39" borderId="122" applyNumberFormat="0" applyAlignment="0" applyProtection="0"/>
    <xf numFmtId="0" fontId="33" fillId="39" borderId="124" applyNumberFormat="0" applyAlignment="0" applyProtection="0"/>
    <xf numFmtId="0" fontId="21" fillId="39" borderId="122" applyNumberFormat="0" applyAlignment="0" applyProtection="0"/>
    <xf numFmtId="0" fontId="35" fillId="0" borderId="125" applyNumberFormat="0" applyFill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30" fillId="33" borderId="130" applyNumberFormat="0" applyAlignment="0" applyProtection="0"/>
    <xf numFmtId="0" fontId="35" fillId="0" borderId="133" applyNumberFormat="0" applyFill="0" applyAlignment="0" applyProtection="0"/>
    <xf numFmtId="0" fontId="35" fillId="0" borderId="133" applyNumberFormat="0" applyFill="0" applyAlignment="0" applyProtection="0"/>
    <xf numFmtId="0" fontId="30" fillId="33" borderId="130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21" fillId="39" borderId="122" applyNumberFormat="0" applyAlignment="0" applyProtection="0"/>
    <xf numFmtId="0" fontId="35" fillId="0" borderId="125" applyNumberFormat="0" applyFill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0" fillId="33" borderId="122" applyNumberFormat="0" applyAlignment="0" applyProtection="0"/>
    <xf numFmtId="0" fontId="35" fillId="0" borderId="125" applyNumberFormat="0" applyFill="0" applyAlignment="0" applyProtection="0"/>
    <xf numFmtId="0" fontId="35" fillId="0" borderId="125" applyNumberFormat="0" applyFill="0" applyAlignment="0" applyProtection="0"/>
    <xf numFmtId="0" fontId="33" fillId="39" borderId="124" applyNumberFormat="0" applyAlignment="0" applyProtection="0"/>
    <xf numFmtId="0" fontId="23" fillId="27" borderId="123" applyNumberFormat="0" applyFont="0" applyAlignment="0" applyProtection="0"/>
    <xf numFmtId="0" fontId="35" fillId="0" borderId="125" applyNumberFormat="0" applyFill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23" fillId="27" borderId="123" applyNumberFormat="0" applyFont="0" applyAlignment="0" applyProtection="0"/>
    <xf numFmtId="0" fontId="35" fillId="0" borderId="125" applyNumberFormat="0" applyFill="0" applyAlignment="0" applyProtection="0"/>
    <xf numFmtId="0" fontId="33" fillId="39" borderId="124" applyNumberFormat="0" applyAlignment="0" applyProtection="0"/>
    <xf numFmtId="0" fontId="21" fillId="39" borderId="122" applyNumberFormat="0" applyAlignment="0" applyProtection="0"/>
    <xf numFmtId="0" fontId="33" fillId="39" borderId="124" applyNumberFormat="0" applyAlignment="0" applyProtection="0"/>
    <xf numFmtId="0" fontId="21" fillId="39" borderId="122" applyNumberFormat="0" applyAlignment="0" applyProtection="0"/>
    <xf numFmtId="0" fontId="35" fillId="0" borderId="125" applyNumberFormat="0" applyFill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21" fillId="39" borderId="122" applyNumberFormat="0" applyAlignment="0" applyProtection="0"/>
    <xf numFmtId="0" fontId="33" fillId="39" borderId="124" applyNumberFormat="0" applyAlignment="0" applyProtection="0"/>
    <xf numFmtId="0" fontId="30" fillId="33" borderId="122" applyNumberFormat="0" applyAlignment="0" applyProtection="0"/>
    <xf numFmtId="0" fontId="35" fillId="0" borderId="125" applyNumberFormat="0" applyFill="0" applyAlignment="0" applyProtection="0"/>
    <xf numFmtId="0" fontId="23" fillId="27" borderId="123" applyNumberFormat="0" applyFont="0" applyAlignment="0" applyProtection="0"/>
    <xf numFmtId="0" fontId="21" fillId="39" borderId="122" applyNumberFormat="0" applyAlignment="0" applyProtection="0"/>
    <xf numFmtId="0" fontId="21" fillId="39" borderId="122" applyNumberFormat="0" applyAlignment="0" applyProtection="0"/>
    <xf numFmtId="0" fontId="21" fillId="39" borderId="122" applyNumberFormat="0" applyAlignment="0" applyProtection="0"/>
    <xf numFmtId="0" fontId="35" fillId="0" borderId="125" applyNumberFormat="0" applyFill="0" applyAlignment="0" applyProtection="0"/>
    <xf numFmtId="0" fontId="35" fillId="0" borderId="125" applyNumberFormat="0" applyFill="0" applyAlignment="0" applyProtection="0"/>
    <xf numFmtId="0" fontId="23" fillId="27" borderId="123" applyNumberFormat="0" applyFont="0" applyAlignment="0" applyProtection="0"/>
    <xf numFmtId="0" fontId="21" fillId="39" borderId="122" applyNumberFormat="0" applyAlignment="0" applyProtection="0"/>
    <xf numFmtId="0" fontId="23" fillId="27" borderId="123" applyNumberFormat="0" applyFont="0" applyAlignment="0" applyProtection="0"/>
    <xf numFmtId="0" fontId="35" fillId="0" borderId="125" applyNumberFormat="0" applyFill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23" fillId="27" borderId="123" applyNumberFormat="0" applyFont="0" applyAlignment="0" applyProtection="0"/>
    <xf numFmtId="0" fontId="23" fillId="27" borderId="123" applyNumberFormat="0" applyFon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23" fillId="27" borderId="123" applyNumberFormat="0" applyFont="0" applyAlignment="0" applyProtection="0"/>
    <xf numFmtId="0" fontId="35" fillId="0" borderId="125" applyNumberFormat="0" applyFill="0" applyAlignment="0" applyProtection="0"/>
    <xf numFmtId="0" fontId="23" fillId="27" borderId="123" applyNumberFormat="0" applyFont="0" applyAlignment="0" applyProtection="0"/>
    <xf numFmtId="0" fontId="21" fillId="39" borderId="122" applyNumberForma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23" fillId="27" borderId="123" applyNumberFormat="0" applyFont="0" applyAlignment="0" applyProtection="0"/>
    <xf numFmtId="0" fontId="21" fillId="39" borderId="122" applyNumberFormat="0" applyAlignment="0" applyProtection="0"/>
    <xf numFmtId="0" fontId="23" fillId="27" borderId="123" applyNumberFormat="0" applyFont="0" applyAlignment="0" applyProtection="0"/>
    <xf numFmtId="0" fontId="23" fillId="27" borderId="123" applyNumberFormat="0" applyFon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35" fillId="0" borderId="125" applyNumberFormat="0" applyFill="0" applyAlignment="0" applyProtection="0"/>
    <xf numFmtId="0" fontId="33" fillId="39" borderId="124" applyNumberFormat="0" applyAlignment="0" applyProtection="0"/>
    <xf numFmtId="0" fontId="23" fillId="27" borderId="123" applyNumberFormat="0" applyFont="0" applyAlignment="0" applyProtection="0"/>
    <xf numFmtId="0" fontId="21" fillId="39" borderId="122" applyNumberFormat="0" applyAlignment="0" applyProtection="0"/>
    <xf numFmtId="0" fontId="35" fillId="0" borderId="125" applyNumberFormat="0" applyFill="0" applyAlignment="0" applyProtection="0"/>
    <xf numFmtId="0" fontId="35" fillId="0" borderId="125" applyNumberFormat="0" applyFill="0" applyAlignment="0" applyProtection="0"/>
    <xf numFmtId="0" fontId="23" fillId="27" borderId="123" applyNumberFormat="0" applyFont="0" applyAlignment="0" applyProtection="0"/>
    <xf numFmtId="0" fontId="21" fillId="39" borderId="122" applyNumberFormat="0" applyAlignment="0" applyProtection="0"/>
    <xf numFmtId="0" fontId="33" fillId="39" borderId="124" applyNumberFormat="0" applyAlignment="0" applyProtection="0"/>
    <xf numFmtId="0" fontId="30" fillId="33" borderId="122" applyNumberFormat="0" applyAlignment="0" applyProtection="0"/>
    <xf numFmtId="0" fontId="35" fillId="0" borderId="125" applyNumberFormat="0" applyFill="0" applyAlignment="0" applyProtection="0"/>
    <xf numFmtId="0" fontId="33" fillId="39" borderId="124" applyNumberFormat="0" applyAlignment="0" applyProtection="0"/>
    <xf numFmtId="0" fontId="33" fillId="39" borderId="124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0" fillId="33" borderId="122" applyNumberFormat="0" applyAlignment="0" applyProtection="0"/>
    <xf numFmtId="0" fontId="35" fillId="0" borderId="125" applyNumberFormat="0" applyFill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33" fillId="39" borderId="124" applyNumberFormat="0" applyAlignment="0" applyProtection="0"/>
    <xf numFmtId="0" fontId="21" fillId="39" borderId="122" applyNumberFormat="0" applyAlignment="0" applyProtection="0"/>
    <xf numFmtId="0" fontId="35" fillId="0" borderId="125" applyNumberFormat="0" applyFill="0" applyAlignment="0" applyProtection="0"/>
    <xf numFmtId="0" fontId="33" fillId="39" borderId="124" applyNumberFormat="0" applyAlignment="0" applyProtection="0"/>
    <xf numFmtId="0" fontId="33" fillId="39" borderId="124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30" fillId="33" borderId="122" applyNumberFormat="0" applyAlignment="0" applyProtection="0"/>
    <xf numFmtId="0" fontId="33" fillId="39" borderId="124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3" fillId="39" borderId="124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0" fillId="33" borderId="122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21" fillId="39" borderId="122" applyNumberFormat="0" applyAlignment="0" applyProtection="0"/>
    <xf numFmtId="0" fontId="21" fillId="39" borderId="122" applyNumberFormat="0" applyAlignment="0" applyProtection="0"/>
    <xf numFmtId="0" fontId="35" fillId="0" borderId="125" applyNumberFormat="0" applyFill="0" applyAlignment="0" applyProtection="0"/>
    <xf numFmtId="0" fontId="30" fillId="33" borderId="122" applyNumberFormat="0" applyAlignment="0" applyProtection="0"/>
    <xf numFmtId="0" fontId="33" fillId="39" borderId="124" applyNumberFormat="0" applyAlignment="0" applyProtection="0"/>
    <xf numFmtId="0" fontId="21" fillId="39" borderId="122" applyNumberFormat="0" applyAlignment="0" applyProtection="0"/>
    <xf numFmtId="0" fontId="21" fillId="39" borderId="122" applyNumberFormat="0" applyAlignment="0" applyProtection="0"/>
    <xf numFmtId="0" fontId="21" fillId="39" borderId="122" applyNumberFormat="0" applyAlignment="0" applyProtection="0"/>
    <xf numFmtId="0" fontId="33" fillId="39" borderId="124" applyNumberFormat="0" applyAlignment="0" applyProtection="0"/>
    <xf numFmtId="0" fontId="30" fillId="33" borderId="122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35" fillId="0" borderId="125" applyNumberFormat="0" applyFill="0" applyAlignment="0" applyProtection="0"/>
    <xf numFmtId="0" fontId="33" fillId="39" borderId="124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23" fillId="27" borderId="123" applyNumberFormat="0" applyFon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35" fillId="0" borderId="125" applyNumberFormat="0" applyFill="0" applyAlignment="0" applyProtection="0"/>
    <xf numFmtId="0" fontId="23" fillId="27" borderId="123" applyNumberFormat="0" applyFont="0" applyAlignment="0" applyProtection="0"/>
    <xf numFmtId="0" fontId="35" fillId="0" borderId="125" applyNumberFormat="0" applyFill="0" applyAlignment="0" applyProtection="0"/>
    <xf numFmtId="0" fontId="23" fillId="27" borderId="123" applyNumberFormat="0" applyFont="0" applyAlignment="0" applyProtection="0"/>
    <xf numFmtId="0" fontId="35" fillId="0" borderId="125" applyNumberFormat="0" applyFill="0" applyAlignment="0" applyProtection="0"/>
    <xf numFmtId="0" fontId="35" fillId="0" borderId="125" applyNumberFormat="0" applyFill="0" applyAlignment="0" applyProtection="0"/>
    <xf numFmtId="0" fontId="23" fillId="27" borderId="123" applyNumberFormat="0" applyFont="0" applyAlignment="0" applyProtection="0"/>
    <xf numFmtId="0" fontId="30" fillId="33" borderId="122" applyNumberFormat="0" applyAlignment="0" applyProtection="0"/>
    <xf numFmtId="0" fontId="33" fillId="39" borderId="124" applyNumberFormat="0" applyAlignment="0" applyProtection="0"/>
    <xf numFmtId="0" fontId="21" fillId="39" borderId="122" applyNumberFormat="0" applyAlignment="0" applyProtection="0"/>
    <xf numFmtId="0" fontId="35" fillId="0" borderId="125" applyNumberFormat="0" applyFill="0" applyAlignment="0" applyProtection="0"/>
    <xf numFmtId="0" fontId="35" fillId="0" borderId="125" applyNumberFormat="0" applyFill="0" applyAlignment="0" applyProtection="0"/>
    <xf numFmtId="0" fontId="33" fillId="39" borderId="124" applyNumberFormat="0" applyAlignment="0" applyProtection="0"/>
    <xf numFmtId="0" fontId="23" fillId="27" borderId="123" applyNumberFormat="0" applyFont="0" applyAlignment="0" applyProtection="0"/>
    <xf numFmtId="0" fontId="21" fillId="39" borderId="122" applyNumberFormat="0" applyAlignment="0" applyProtection="0"/>
    <xf numFmtId="0" fontId="35" fillId="0" borderId="125" applyNumberFormat="0" applyFill="0" applyAlignment="0" applyProtection="0"/>
    <xf numFmtId="0" fontId="30" fillId="33" borderId="122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33" fillId="39" borderId="124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33" fillId="39" borderId="124" applyNumberFormat="0" applyAlignment="0" applyProtection="0"/>
    <xf numFmtId="0" fontId="33" fillId="39" borderId="124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30" fillId="33" borderId="122" applyNumberFormat="0" applyAlignment="0" applyProtection="0"/>
    <xf numFmtId="0" fontId="30" fillId="33" borderId="122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21" fillId="39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30" fillId="33" borderId="122" applyNumberFormat="0" applyAlignment="0" applyProtection="0"/>
    <xf numFmtId="0" fontId="30" fillId="33" borderId="122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21" fillId="39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21" fillId="39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21" fillId="39" borderId="122" applyNumberFormat="0" applyAlignment="0" applyProtection="0"/>
    <xf numFmtId="0" fontId="35" fillId="0" borderId="125" applyNumberFormat="0" applyFill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0" fillId="33" borderId="122" applyNumberFormat="0" applyAlignment="0" applyProtection="0"/>
    <xf numFmtId="0" fontId="35" fillId="0" borderId="125" applyNumberFormat="0" applyFill="0" applyAlignment="0" applyProtection="0"/>
    <xf numFmtId="0" fontId="35" fillId="0" borderId="125" applyNumberFormat="0" applyFill="0" applyAlignment="0" applyProtection="0"/>
    <xf numFmtId="0" fontId="33" fillId="39" borderId="124" applyNumberFormat="0" applyAlignment="0" applyProtection="0"/>
    <xf numFmtId="0" fontId="23" fillId="27" borderId="123" applyNumberFormat="0" applyFont="0" applyAlignment="0" applyProtection="0"/>
    <xf numFmtId="0" fontId="35" fillId="0" borderId="125" applyNumberFormat="0" applyFill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23" fillId="27" borderId="123" applyNumberFormat="0" applyFont="0" applyAlignment="0" applyProtection="0"/>
    <xf numFmtId="0" fontId="35" fillId="0" borderId="125" applyNumberFormat="0" applyFill="0" applyAlignment="0" applyProtection="0"/>
    <xf numFmtId="0" fontId="33" fillId="39" borderId="124" applyNumberFormat="0" applyAlignment="0" applyProtection="0"/>
    <xf numFmtId="0" fontId="21" fillId="39" borderId="122" applyNumberFormat="0" applyAlignment="0" applyProtection="0"/>
    <xf numFmtId="0" fontId="33" fillId="39" borderId="124" applyNumberFormat="0" applyAlignment="0" applyProtection="0"/>
    <xf numFmtId="0" fontId="21" fillId="39" borderId="122" applyNumberFormat="0" applyAlignment="0" applyProtection="0"/>
    <xf numFmtId="0" fontId="35" fillId="0" borderId="125" applyNumberFormat="0" applyFill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21" fillId="39" borderId="122" applyNumberFormat="0" applyAlignment="0" applyProtection="0"/>
    <xf numFmtId="0" fontId="35" fillId="0" borderId="125" applyNumberFormat="0" applyFill="0" applyAlignment="0" applyProtection="0"/>
    <xf numFmtId="0" fontId="30" fillId="33" borderId="122" applyNumberFormat="0" applyAlignment="0" applyProtection="0"/>
    <xf numFmtId="0" fontId="21" fillId="39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0" fillId="33" borderId="122" applyNumberFormat="0" applyAlignment="0" applyProtection="0"/>
    <xf numFmtId="0" fontId="35" fillId="0" borderId="125" applyNumberFormat="0" applyFill="0" applyAlignment="0" applyProtection="0"/>
    <xf numFmtId="0" fontId="35" fillId="0" borderId="125" applyNumberFormat="0" applyFill="0" applyAlignment="0" applyProtection="0"/>
    <xf numFmtId="0" fontId="33" fillId="39" borderId="124" applyNumberFormat="0" applyAlignment="0" applyProtection="0"/>
    <xf numFmtId="0" fontId="23" fillId="27" borderId="123" applyNumberFormat="0" applyFont="0" applyAlignment="0" applyProtection="0"/>
    <xf numFmtId="0" fontId="35" fillId="0" borderId="125" applyNumberFormat="0" applyFill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23" fillId="27" borderId="123" applyNumberFormat="0" applyFont="0" applyAlignment="0" applyProtection="0"/>
    <xf numFmtId="0" fontId="35" fillId="0" borderId="125" applyNumberFormat="0" applyFill="0" applyAlignment="0" applyProtection="0"/>
    <xf numFmtId="0" fontId="33" fillId="39" borderId="124" applyNumberFormat="0" applyAlignment="0" applyProtection="0"/>
    <xf numFmtId="0" fontId="21" fillId="39" borderId="122" applyNumberFormat="0" applyAlignment="0" applyProtection="0"/>
    <xf numFmtId="0" fontId="33" fillId="39" borderId="124" applyNumberFormat="0" applyAlignment="0" applyProtection="0"/>
    <xf numFmtId="0" fontId="21" fillId="39" borderId="122" applyNumberFormat="0" applyAlignment="0" applyProtection="0"/>
    <xf numFmtId="0" fontId="35" fillId="0" borderId="125" applyNumberFormat="0" applyFill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21" fillId="39" borderId="122" applyNumberFormat="0" applyAlignment="0" applyProtection="0"/>
    <xf numFmtId="0" fontId="30" fillId="33" borderId="122" applyNumberFormat="0" applyAlignment="0" applyProtection="0"/>
    <xf numFmtId="0" fontId="23" fillId="27" borderId="123" applyNumberFormat="0" applyFont="0" applyAlignment="0" applyProtection="0"/>
    <xf numFmtId="0" fontId="33" fillId="39" borderId="124" applyNumberFormat="0" applyAlignment="0" applyProtection="0"/>
    <xf numFmtId="0" fontId="35" fillId="0" borderId="125" applyNumberFormat="0" applyFill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21" fillId="39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21" fillId="39" borderId="126" applyNumberFormat="0" applyAlignment="0" applyProtection="0"/>
    <xf numFmtId="0" fontId="35" fillId="0" borderId="129" applyNumberFormat="0" applyFill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0" fillId="33" borderId="126" applyNumberFormat="0" applyAlignment="0" applyProtection="0"/>
    <xf numFmtId="0" fontId="35" fillId="0" borderId="129" applyNumberFormat="0" applyFill="0" applyAlignment="0" applyProtection="0"/>
    <xf numFmtId="0" fontId="35" fillId="0" borderId="129" applyNumberFormat="0" applyFill="0" applyAlignment="0" applyProtection="0"/>
    <xf numFmtId="0" fontId="33" fillId="39" borderId="128" applyNumberFormat="0" applyAlignment="0" applyProtection="0"/>
    <xf numFmtId="0" fontId="23" fillId="27" borderId="127" applyNumberFormat="0" applyFont="0" applyAlignment="0" applyProtection="0"/>
    <xf numFmtId="0" fontId="35" fillId="0" borderId="129" applyNumberFormat="0" applyFill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23" fillId="27" borderId="127" applyNumberFormat="0" applyFont="0" applyAlignment="0" applyProtection="0"/>
    <xf numFmtId="0" fontId="35" fillId="0" borderId="129" applyNumberFormat="0" applyFill="0" applyAlignment="0" applyProtection="0"/>
    <xf numFmtId="0" fontId="33" fillId="39" borderId="128" applyNumberFormat="0" applyAlignment="0" applyProtection="0"/>
    <xf numFmtId="0" fontId="21" fillId="39" borderId="126" applyNumberFormat="0" applyAlignment="0" applyProtection="0"/>
    <xf numFmtId="0" fontId="33" fillId="39" borderId="128" applyNumberFormat="0" applyAlignment="0" applyProtection="0"/>
    <xf numFmtId="0" fontId="21" fillId="39" borderId="126" applyNumberFormat="0" applyAlignment="0" applyProtection="0"/>
    <xf numFmtId="0" fontId="35" fillId="0" borderId="129" applyNumberFormat="0" applyFill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21" fillId="39" borderId="126" applyNumberFormat="0" applyAlignment="0" applyProtection="0"/>
    <xf numFmtId="0" fontId="35" fillId="0" borderId="129" applyNumberFormat="0" applyFill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0" fillId="33" borderId="126" applyNumberFormat="0" applyAlignment="0" applyProtection="0"/>
    <xf numFmtId="0" fontId="35" fillId="0" borderId="129" applyNumberFormat="0" applyFill="0" applyAlignment="0" applyProtection="0"/>
    <xf numFmtId="0" fontId="35" fillId="0" borderId="129" applyNumberFormat="0" applyFill="0" applyAlignment="0" applyProtection="0"/>
    <xf numFmtId="0" fontId="33" fillId="39" borderId="128" applyNumberFormat="0" applyAlignment="0" applyProtection="0"/>
    <xf numFmtId="0" fontId="23" fillId="27" borderId="127" applyNumberFormat="0" applyFont="0" applyAlignment="0" applyProtection="0"/>
    <xf numFmtId="0" fontId="35" fillId="0" borderId="129" applyNumberFormat="0" applyFill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23" fillId="27" borderId="127" applyNumberFormat="0" applyFont="0" applyAlignment="0" applyProtection="0"/>
    <xf numFmtId="0" fontId="35" fillId="0" borderId="129" applyNumberFormat="0" applyFill="0" applyAlignment="0" applyProtection="0"/>
    <xf numFmtId="0" fontId="33" fillId="39" borderId="128" applyNumberFormat="0" applyAlignment="0" applyProtection="0"/>
    <xf numFmtId="0" fontId="21" fillId="39" borderId="126" applyNumberFormat="0" applyAlignment="0" applyProtection="0"/>
    <xf numFmtId="0" fontId="33" fillId="39" borderId="128" applyNumberFormat="0" applyAlignment="0" applyProtection="0"/>
    <xf numFmtId="0" fontId="21" fillId="39" borderId="126" applyNumberFormat="0" applyAlignment="0" applyProtection="0"/>
    <xf numFmtId="0" fontId="35" fillId="0" borderId="129" applyNumberFormat="0" applyFill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33" fillId="39" borderId="132" applyNumberFormat="0" applyAlignment="0" applyProtection="0"/>
    <xf numFmtId="0" fontId="35" fillId="0" borderId="133" applyNumberFormat="0" applyFill="0" applyAlignment="0" applyProtection="0"/>
    <xf numFmtId="0" fontId="33" fillId="39" borderId="21" applyNumberFormat="0" applyAlignment="0" applyProtection="0"/>
    <xf numFmtId="0" fontId="33" fillId="39" borderId="132" applyNumberFormat="0" applyAlignment="0" applyProtection="0"/>
    <xf numFmtId="0" fontId="30" fillId="33" borderId="130" applyNumberFormat="0" applyAlignment="0" applyProtection="0"/>
    <xf numFmtId="0" fontId="30" fillId="33" borderId="130" applyNumberFormat="0" applyAlignment="0" applyProtection="0"/>
    <xf numFmtId="0" fontId="35" fillId="0" borderId="133" applyNumberFormat="0" applyFill="0" applyAlignment="0" applyProtection="0"/>
    <xf numFmtId="0" fontId="35" fillId="0" borderId="133" applyNumberFormat="0" applyFill="0" applyAlignment="0" applyProtection="0"/>
    <xf numFmtId="0" fontId="33" fillId="39" borderId="21" applyNumberFormat="0" applyAlignment="0" applyProtection="0"/>
    <xf numFmtId="0" fontId="33" fillId="39" borderId="132" applyNumberFormat="0" applyAlignment="0" applyProtection="0"/>
    <xf numFmtId="0" fontId="33" fillId="39" borderId="132" applyNumberFormat="0" applyAlignment="0" applyProtection="0"/>
    <xf numFmtId="0" fontId="33" fillId="39" borderId="132" applyNumberFormat="0" applyAlignment="0" applyProtection="0"/>
    <xf numFmtId="0" fontId="33" fillId="39" borderId="132" applyNumberFormat="0" applyAlignment="0" applyProtection="0"/>
    <xf numFmtId="0" fontId="30" fillId="33" borderId="130" applyNumberFormat="0" applyAlignment="0" applyProtection="0"/>
    <xf numFmtId="0" fontId="33" fillId="39" borderId="21" applyNumberFormat="0" applyAlignment="0" applyProtection="0"/>
    <xf numFmtId="0" fontId="23" fillId="27" borderId="131" applyNumberFormat="0" applyFont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0" fillId="33" borderId="130" applyNumberFormat="0" applyAlignment="0" applyProtection="0"/>
    <xf numFmtId="0" fontId="33" fillId="39" borderId="21" applyNumberFormat="0" applyAlignment="0" applyProtection="0"/>
    <xf numFmtId="0" fontId="33" fillId="39" borderId="132" applyNumberFormat="0" applyAlignment="0" applyProtection="0"/>
    <xf numFmtId="0" fontId="23" fillId="27" borderId="131" applyNumberFormat="0" applyFont="0" applyAlignment="0" applyProtection="0"/>
    <xf numFmtId="0" fontId="35" fillId="0" borderId="133" applyNumberFormat="0" applyFill="0" applyAlignment="0" applyProtection="0"/>
    <xf numFmtId="0" fontId="33" fillId="39" borderId="21" applyNumberFormat="0" applyAlignment="0" applyProtection="0"/>
    <xf numFmtId="0" fontId="30" fillId="33" borderId="130" applyNumberFormat="0" applyAlignment="0" applyProtection="0"/>
    <xf numFmtId="0" fontId="30" fillId="33" borderId="130" applyNumberFormat="0" applyAlignment="0" applyProtection="0"/>
    <xf numFmtId="0" fontId="35" fillId="0" borderId="133" applyNumberFormat="0" applyFill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30" fillId="33" borderId="130" applyNumberFormat="0" applyAlignment="0" applyProtection="0"/>
    <xf numFmtId="0" fontId="33" fillId="39" borderId="132" applyNumberFormat="0" applyAlignment="0" applyProtection="0"/>
    <xf numFmtId="0" fontId="33" fillId="39" borderId="132" applyNumberFormat="0" applyAlignment="0" applyProtection="0"/>
    <xf numFmtId="0" fontId="33" fillId="39" borderId="132" applyNumberFormat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33" fillId="39" borderId="132" applyNumberFormat="0" applyAlignment="0" applyProtection="0"/>
    <xf numFmtId="0" fontId="23" fillId="27" borderId="131" applyNumberFormat="0" applyFont="0" applyAlignment="0" applyProtection="0"/>
    <xf numFmtId="0" fontId="30" fillId="33" borderId="130" applyNumberFormat="0" applyAlignment="0" applyProtection="0"/>
    <xf numFmtId="0" fontId="21" fillId="39" borderId="130" applyNumberFormat="0" applyAlignment="0" applyProtection="0"/>
    <xf numFmtId="0" fontId="35" fillId="0" borderId="133" applyNumberFormat="0" applyFill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21" fillId="39" borderId="130" applyNumberFormat="0" applyAlignment="0" applyProtection="0"/>
    <xf numFmtId="0" fontId="35" fillId="0" borderId="133" applyNumberFormat="0" applyFill="0" applyAlignment="0" applyProtection="0"/>
    <xf numFmtId="0" fontId="23" fillId="27" borderId="131" applyNumberFormat="0" applyFont="0" applyAlignment="0" applyProtection="0"/>
    <xf numFmtId="0" fontId="21" fillId="39" borderId="130" applyNumberFormat="0" applyAlignment="0" applyProtection="0"/>
    <xf numFmtId="0" fontId="33" fillId="39" borderId="132" applyNumberFormat="0" applyAlignment="0" applyProtection="0"/>
    <xf numFmtId="0" fontId="33" fillId="39" borderId="132" applyNumberFormat="0" applyAlignment="0" applyProtection="0"/>
    <xf numFmtId="0" fontId="33" fillId="39" borderId="21" applyNumberFormat="0" applyAlignment="0" applyProtection="0"/>
    <xf numFmtId="0" fontId="21" fillId="39" borderId="130" applyNumberFormat="0" applyAlignment="0" applyProtection="0"/>
    <xf numFmtId="0" fontId="21" fillId="39" borderId="130" applyNumberFormat="0" applyAlignment="0" applyProtection="0"/>
    <xf numFmtId="0" fontId="33" fillId="39" borderId="132" applyNumberFormat="0" applyAlignment="0" applyProtection="0"/>
    <xf numFmtId="0" fontId="23" fillId="27" borderId="131" applyNumberFormat="0" applyFont="0" applyAlignment="0" applyProtection="0"/>
    <xf numFmtId="0" fontId="35" fillId="0" borderId="133" applyNumberFormat="0" applyFill="0" applyAlignment="0" applyProtection="0"/>
    <xf numFmtId="0" fontId="23" fillId="27" borderId="131" applyNumberFormat="0" applyFont="0" applyAlignment="0" applyProtection="0"/>
    <xf numFmtId="0" fontId="33" fillId="39" borderId="21" applyNumberFormat="0" applyAlignment="0" applyProtection="0"/>
    <xf numFmtId="0" fontId="21" fillId="39" borderId="130" applyNumberFormat="0" applyAlignment="0" applyProtection="0"/>
    <xf numFmtId="0" fontId="35" fillId="0" borderId="133" applyNumberFormat="0" applyFill="0" applyAlignment="0" applyProtection="0"/>
    <xf numFmtId="0" fontId="30" fillId="33" borderId="130" applyNumberFormat="0" applyAlignment="0" applyProtection="0"/>
    <xf numFmtId="0" fontId="21" fillId="39" borderId="126" applyNumberFormat="0" applyAlignment="0" applyProtection="0"/>
    <xf numFmtId="0" fontId="33" fillId="39" borderId="128" applyNumberFormat="0" applyAlignment="0" applyProtection="0"/>
    <xf numFmtId="0" fontId="30" fillId="33" borderId="126" applyNumberFormat="0" applyAlignment="0" applyProtection="0"/>
    <xf numFmtId="0" fontId="35" fillId="0" borderId="129" applyNumberFormat="0" applyFill="0" applyAlignment="0" applyProtection="0"/>
    <xf numFmtId="0" fontId="23" fillId="27" borderId="127" applyNumberFormat="0" applyFont="0" applyAlignment="0" applyProtection="0"/>
    <xf numFmtId="0" fontId="21" fillId="39" borderId="126" applyNumberFormat="0" applyAlignment="0" applyProtection="0"/>
    <xf numFmtId="0" fontId="21" fillId="39" borderId="126" applyNumberFormat="0" applyAlignment="0" applyProtection="0"/>
    <xf numFmtId="0" fontId="21" fillId="39" borderId="126" applyNumberFormat="0" applyAlignment="0" applyProtection="0"/>
    <xf numFmtId="0" fontId="35" fillId="0" borderId="129" applyNumberFormat="0" applyFill="0" applyAlignment="0" applyProtection="0"/>
    <xf numFmtId="0" fontId="35" fillId="0" borderId="129" applyNumberFormat="0" applyFill="0" applyAlignment="0" applyProtection="0"/>
    <xf numFmtId="0" fontId="23" fillId="27" borderId="127" applyNumberFormat="0" applyFont="0" applyAlignment="0" applyProtection="0"/>
    <xf numFmtId="0" fontId="21" fillId="39" borderId="126" applyNumberFormat="0" applyAlignment="0" applyProtection="0"/>
    <xf numFmtId="0" fontId="23" fillId="27" borderId="127" applyNumberFormat="0" applyFont="0" applyAlignment="0" applyProtection="0"/>
    <xf numFmtId="0" fontId="35" fillId="0" borderId="129" applyNumberFormat="0" applyFill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23" fillId="27" borderId="127" applyNumberFormat="0" applyFont="0" applyAlignment="0" applyProtection="0"/>
    <xf numFmtId="0" fontId="23" fillId="27" borderId="127" applyNumberFormat="0" applyFon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23" fillId="27" borderId="127" applyNumberFormat="0" applyFont="0" applyAlignment="0" applyProtection="0"/>
    <xf numFmtId="0" fontId="35" fillId="0" borderId="129" applyNumberFormat="0" applyFill="0" applyAlignment="0" applyProtection="0"/>
    <xf numFmtId="0" fontId="23" fillId="27" borderId="127" applyNumberFormat="0" applyFont="0" applyAlignment="0" applyProtection="0"/>
    <xf numFmtId="0" fontId="21" fillId="39" borderId="126" applyNumberForma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23" fillId="27" borderId="127" applyNumberFormat="0" applyFont="0" applyAlignment="0" applyProtection="0"/>
    <xf numFmtId="0" fontId="21" fillId="39" borderId="126" applyNumberFormat="0" applyAlignment="0" applyProtection="0"/>
    <xf numFmtId="0" fontId="23" fillId="27" borderId="127" applyNumberFormat="0" applyFont="0" applyAlignment="0" applyProtection="0"/>
    <xf numFmtId="0" fontId="23" fillId="27" borderId="127" applyNumberFormat="0" applyFon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35" fillId="0" borderId="129" applyNumberFormat="0" applyFill="0" applyAlignment="0" applyProtection="0"/>
    <xf numFmtId="0" fontId="33" fillId="39" borderId="128" applyNumberFormat="0" applyAlignment="0" applyProtection="0"/>
    <xf numFmtId="0" fontId="23" fillId="27" borderId="127" applyNumberFormat="0" applyFont="0" applyAlignment="0" applyProtection="0"/>
    <xf numFmtId="0" fontId="21" fillId="39" borderId="126" applyNumberFormat="0" applyAlignment="0" applyProtection="0"/>
    <xf numFmtId="0" fontId="35" fillId="0" borderId="129" applyNumberFormat="0" applyFill="0" applyAlignment="0" applyProtection="0"/>
    <xf numFmtId="0" fontId="35" fillId="0" borderId="129" applyNumberFormat="0" applyFill="0" applyAlignment="0" applyProtection="0"/>
    <xf numFmtId="0" fontId="23" fillId="27" borderId="127" applyNumberFormat="0" applyFont="0" applyAlignment="0" applyProtection="0"/>
    <xf numFmtId="0" fontId="21" fillId="39" borderId="126" applyNumberFormat="0" applyAlignment="0" applyProtection="0"/>
    <xf numFmtId="0" fontId="33" fillId="39" borderId="128" applyNumberFormat="0" applyAlignment="0" applyProtection="0"/>
    <xf numFmtId="0" fontId="30" fillId="33" borderId="126" applyNumberFormat="0" applyAlignment="0" applyProtection="0"/>
    <xf numFmtId="0" fontId="35" fillId="0" borderId="129" applyNumberFormat="0" applyFill="0" applyAlignment="0" applyProtection="0"/>
    <xf numFmtId="0" fontId="33" fillId="39" borderId="128" applyNumberFormat="0" applyAlignment="0" applyProtection="0"/>
    <xf numFmtId="0" fontId="33" fillId="39" borderId="128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0" fillId="33" borderId="126" applyNumberFormat="0" applyAlignment="0" applyProtection="0"/>
    <xf numFmtId="0" fontId="35" fillId="0" borderId="129" applyNumberFormat="0" applyFill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33" fillId="39" borderId="128" applyNumberFormat="0" applyAlignment="0" applyProtection="0"/>
    <xf numFmtId="0" fontId="21" fillId="39" borderId="126" applyNumberFormat="0" applyAlignment="0" applyProtection="0"/>
    <xf numFmtId="0" fontId="35" fillId="0" borderId="129" applyNumberFormat="0" applyFill="0" applyAlignment="0" applyProtection="0"/>
    <xf numFmtId="0" fontId="33" fillId="39" borderId="128" applyNumberFormat="0" applyAlignment="0" applyProtection="0"/>
    <xf numFmtId="0" fontId="33" fillId="39" borderId="128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30" fillId="33" borderId="126" applyNumberFormat="0" applyAlignment="0" applyProtection="0"/>
    <xf numFmtId="0" fontId="33" fillId="39" borderId="128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3" fillId="39" borderId="128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0" fillId="33" borderId="126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21" fillId="39" borderId="126" applyNumberFormat="0" applyAlignment="0" applyProtection="0"/>
    <xf numFmtId="0" fontId="21" fillId="39" borderId="126" applyNumberFormat="0" applyAlignment="0" applyProtection="0"/>
    <xf numFmtId="0" fontId="35" fillId="0" borderId="129" applyNumberFormat="0" applyFill="0" applyAlignment="0" applyProtection="0"/>
    <xf numFmtId="0" fontId="30" fillId="33" borderId="126" applyNumberFormat="0" applyAlignment="0" applyProtection="0"/>
    <xf numFmtId="0" fontId="33" fillId="39" borderId="128" applyNumberFormat="0" applyAlignment="0" applyProtection="0"/>
    <xf numFmtId="0" fontId="21" fillId="39" borderId="126" applyNumberFormat="0" applyAlignment="0" applyProtection="0"/>
    <xf numFmtId="0" fontId="21" fillId="39" borderId="126" applyNumberFormat="0" applyAlignment="0" applyProtection="0"/>
    <xf numFmtId="0" fontId="21" fillId="39" borderId="126" applyNumberFormat="0" applyAlignment="0" applyProtection="0"/>
    <xf numFmtId="0" fontId="33" fillId="39" borderId="128" applyNumberFormat="0" applyAlignment="0" applyProtection="0"/>
    <xf numFmtId="0" fontId="30" fillId="33" borderId="126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35" fillId="0" borderId="129" applyNumberFormat="0" applyFill="0" applyAlignment="0" applyProtection="0"/>
    <xf numFmtId="0" fontId="33" fillId="39" borderId="128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23" fillId="27" borderId="127" applyNumberFormat="0" applyFon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35" fillId="0" borderId="129" applyNumberFormat="0" applyFill="0" applyAlignment="0" applyProtection="0"/>
    <xf numFmtId="0" fontId="23" fillId="27" borderId="127" applyNumberFormat="0" applyFont="0" applyAlignment="0" applyProtection="0"/>
    <xf numFmtId="0" fontId="35" fillId="0" borderId="129" applyNumberFormat="0" applyFill="0" applyAlignment="0" applyProtection="0"/>
    <xf numFmtId="0" fontId="23" fillId="27" borderId="127" applyNumberFormat="0" applyFont="0" applyAlignment="0" applyProtection="0"/>
    <xf numFmtId="0" fontId="35" fillId="0" borderId="129" applyNumberFormat="0" applyFill="0" applyAlignment="0" applyProtection="0"/>
    <xf numFmtId="0" fontId="35" fillId="0" borderId="129" applyNumberFormat="0" applyFill="0" applyAlignment="0" applyProtection="0"/>
    <xf numFmtId="0" fontId="23" fillId="27" borderId="127" applyNumberFormat="0" applyFont="0" applyAlignment="0" applyProtection="0"/>
    <xf numFmtId="0" fontId="30" fillId="33" borderId="126" applyNumberFormat="0" applyAlignment="0" applyProtection="0"/>
    <xf numFmtId="0" fontId="33" fillId="39" borderId="128" applyNumberFormat="0" applyAlignment="0" applyProtection="0"/>
    <xf numFmtId="0" fontId="21" fillId="39" borderId="126" applyNumberFormat="0" applyAlignment="0" applyProtection="0"/>
    <xf numFmtId="0" fontId="35" fillId="0" borderId="129" applyNumberFormat="0" applyFill="0" applyAlignment="0" applyProtection="0"/>
    <xf numFmtId="0" fontId="35" fillId="0" borderId="129" applyNumberFormat="0" applyFill="0" applyAlignment="0" applyProtection="0"/>
    <xf numFmtId="0" fontId="33" fillId="39" borderId="128" applyNumberFormat="0" applyAlignment="0" applyProtection="0"/>
    <xf numFmtId="0" fontId="23" fillId="27" borderId="127" applyNumberFormat="0" applyFont="0" applyAlignment="0" applyProtection="0"/>
    <xf numFmtId="0" fontId="21" fillId="39" borderId="126" applyNumberFormat="0" applyAlignment="0" applyProtection="0"/>
    <xf numFmtId="0" fontId="35" fillId="0" borderId="129" applyNumberFormat="0" applyFill="0" applyAlignment="0" applyProtection="0"/>
    <xf numFmtId="0" fontId="30" fillId="33" borderId="126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33" fillId="39" borderId="128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33" fillId="39" borderId="128" applyNumberFormat="0" applyAlignment="0" applyProtection="0"/>
    <xf numFmtId="0" fontId="33" fillId="39" borderId="128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30" fillId="33" borderId="126" applyNumberFormat="0" applyAlignment="0" applyProtection="0"/>
    <xf numFmtId="0" fontId="30" fillId="33" borderId="126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21" fillId="39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30" fillId="33" borderId="126" applyNumberFormat="0" applyAlignment="0" applyProtection="0"/>
    <xf numFmtId="0" fontId="30" fillId="33" borderId="126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21" fillId="39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21" fillId="39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21" fillId="39" borderId="126" applyNumberFormat="0" applyAlignment="0" applyProtection="0"/>
    <xf numFmtId="0" fontId="35" fillId="0" borderId="129" applyNumberFormat="0" applyFill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0" fillId="33" borderId="126" applyNumberFormat="0" applyAlignment="0" applyProtection="0"/>
    <xf numFmtId="0" fontId="35" fillId="0" borderId="129" applyNumberFormat="0" applyFill="0" applyAlignment="0" applyProtection="0"/>
    <xf numFmtId="0" fontId="35" fillId="0" borderId="129" applyNumberFormat="0" applyFill="0" applyAlignment="0" applyProtection="0"/>
    <xf numFmtId="0" fontId="33" fillId="39" borderId="128" applyNumberFormat="0" applyAlignment="0" applyProtection="0"/>
    <xf numFmtId="0" fontId="23" fillId="27" borderId="127" applyNumberFormat="0" applyFont="0" applyAlignment="0" applyProtection="0"/>
    <xf numFmtId="0" fontId="35" fillId="0" borderId="129" applyNumberFormat="0" applyFill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23" fillId="27" borderId="127" applyNumberFormat="0" applyFont="0" applyAlignment="0" applyProtection="0"/>
    <xf numFmtId="0" fontId="35" fillId="0" borderId="129" applyNumberFormat="0" applyFill="0" applyAlignment="0" applyProtection="0"/>
    <xf numFmtId="0" fontId="33" fillId="39" borderId="128" applyNumberFormat="0" applyAlignment="0" applyProtection="0"/>
    <xf numFmtId="0" fontId="21" fillId="39" borderId="126" applyNumberFormat="0" applyAlignment="0" applyProtection="0"/>
    <xf numFmtId="0" fontId="33" fillId="39" borderId="128" applyNumberFormat="0" applyAlignment="0" applyProtection="0"/>
    <xf numFmtId="0" fontId="21" fillId="39" borderId="126" applyNumberFormat="0" applyAlignment="0" applyProtection="0"/>
    <xf numFmtId="0" fontId="35" fillId="0" borderId="129" applyNumberFormat="0" applyFill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21" fillId="39" borderId="126" applyNumberFormat="0" applyAlignment="0" applyProtection="0"/>
    <xf numFmtId="0" fontId="35" fillId="0" borderId="129" applyNumberFormat="0" applyFill="0" applyAlignment="0" applyProtection="0"/>
    <xf numFmtId="0" fontId="30" fillId="33" borderId="126" applyNumberFormat="0" applyAlignment="0" applyProtection="0"/>
    <xf numFmtId="0" fontId="21" fillId="39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0" fillId="33" borderId="126" applyNumberFormat="0" applyAlignment="0" applyProtection="0"/>
    <xf numFmtId="0" fontId="35" fillId="0" borderId="129" applyNumberFormat="0" applyFill="0" applyAlignment="0" applyProtection="0"/>
    <xf numFmtId="0" fontId="35" fillId="0" borderId="129" applyNumberFormat="0" applyFill="0" applyAlignment="0" applyProtection="0"/>
    <xf numFmtId="0" fontId="33" fillId="39" borderId="128" applyNumberFormat="0" applyAlignment="0" applyProtection="0"/>
    <xf numFmtId="0" fontId="23" fillId="27" borderId="127" applyNumberFormat="0" applyFont="0" applyAlignment="0" applyProtection="0"/>
    <xf numFmtId="0" fontId="35" fillId="0" borderId="129" applyNumberFormat="0" applyFill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23" fillId="27" borderId="127" applyNumberFormat="0" applyFont="0" applyAlignment="0" applyProtection="0"/>
    <xf numFmtId="0" fontId="35" fillId="0" borderId="129" applyNumberFormat="0" applyFill="0" applyAlignment="0" applyProtection="0"/>
    <xf numFmtId="0" fontId="33" fillId="39" borderId="128" applyNumberFormat="0" applyAlignment="0" applyProtection="0"/>
    <xf numFmtId="0" fontId="21" fillId="39" borderId="126" applyNumberFormat="0" applyAlignment="0" applyProtection="0"/>
    <xf numFmtId="0" fontId="33" fillId="39" borderId="128" applyNumberFormat="0" applyAlignment="0" applyProtection="0"/>
    <xf numFmtId="0" fontId="21" fillId="39" borderId="126" applyNumberFormat="0" applyAlignment="0" applyProtection="0"/>
    <xf numFmtId="0" fontId="35" fillId="0" borderId="129" applyNumberFormat="0" applyFill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21" fillId="39" borderId="126" applyNumberFormat="0" applyAlignment="0" applyProtection="0"/>
    <xf numFmtId="0" fontId="30" fillId="33" borderId="126" applyNumberFormat="0" applyAlignment="0" applyProtection="0"/>
    <xf numFmtId="0" fontId="23" fillId="27" borderId="127" applyNumberFormat="0" applyFont="0" applyAlignment="0" applyProtection="0"/>
    <xf numFmtId="0" fontId="33" fillId="39" borderId="128" applyNumberFormat="0" applyAlignment="0" applyProtection="0"/>
    <xf numFmtId="0" fontId="35" fillId="0" borderId="129" applyNumberFormat="0" applyFill="0" applyAlignment="0" applyProtection="0"/>
    <xf numFmtId="0" fontId="35" fillId="0" borderId="133" applyNumberFormat="0" applyFill="0" applyAlignment="0" applyProtection="0"/>
    <xf numFmtId="0" fontId="23" fillId="27" borderId="131" applyNumberFormat="0" applyFont="0" applyAlignment="0" applyProtection="0"/>
    <xf numFmtId="0" fontId="35" fillId="0" borderId="133" applyNumberFormat="0" applyFill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30" fillId="33" borderId="130" applyNumberFormat="0" applyAlignment="0" applyProtection="0"/>
    <xf numFmtId="0" fontId="30" fillId="33" borderId="130" applyNumberFormat="0" applyAlignment="0" applyProtection="0"/>
    <xf numFmtId="0" fontId="30" fillId="33" borderId="130" applyNumberFormat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33" fillId="39" borderId="132" applyNumberFormat="0" applyAlignment="0" applyProtection="0"/>
    <xf numFmtId="0" fontId="33" fillId="39" borderId="132" applyNumberFormat="0" applyAlignment="0" applyProtection="0"/>
    <xf numFmtId="0" fontId="21" fillId="39" borderId="130" applyNumberFormat="0" applyAlignment="0" applyProtection="0"/>
    <xf numFmtId="0" fontId="33" fillId="39" borderId="132" applyNumberFormat="0" applyAlignment="0" applyProtection="0"/>
    <xf numFmtId="0" fontId="35" fillId="0" borderId="133" applyNumberFormat="0" applyFill="0" applyAlignment="0" applyProtection="0"/>
    <xf numFmtId="0" fontId="33" fillId="39" borderId="132" applyNumberFormat="0" applyAlignment="0" applyProtection="0"/>
    <xf numFmtId="0" fontId="21" fillId="39" borderId="130" applyNumberFormat="0" applyAlignment="0" applyProtection="0"/>
    <xf numFmtId="0" fontId="23" fillId="27" borderId="131" applyNumberFormat="0" applyFont="0" applyAlignment="0" applyProtection="0"/>
    <xf numFmtId="0" fontId="21" fillId="39" borderId="130" applyNumberFormat="0" applyAlignment="0" applyProtection="0"/>
    <xf numFmtId="0" fontId="21" fillId="39" borderId="130" applyNumberFormat="0" applyAlignment="0" applyProtection="0"/>
    <xf numFmtId="0" fontId="21" fillId="39" borderId="130" applyNumberFormat="0" applyAlignment="0" applyProtection="0"/>
    <xf numFmtId="0" fontId="35" fillId="0" borderId="133" applyNumberFormat="0" applyFill="0" applyAlignment="0" applyProtection="0"/>
    <xf numFmtId="0" fontId="35" fillId="0" borderId="133" applyNumberFormat="0" applyFill="0" applyAlignment="0" applyProtection="0"/>
    <xf numFmtId="0" fontId="23" fillId="27" borderId="131" applyNumberFormat="0" applyFont="0" applyAlignment="0" applyProtection="0"/>
    <xf numFmtId="0" fontId="21" fillId="39" borderId="130" applyNumberFormat="0" applyAlignment="0" applyProtection="0"/>
    <xf numFmtId="0" fontId="21" fillId="39" borderId="130" applyNumberFormat="0" applyAlignment="0" applyProtection="0"/>
    <xf numFmtId="0" fontId="23" fillId="27" borderId="131" applyNumberFormat="0" applyFont="0" applyAlignment="0" applyProtection="0"/>
    <xf numFmtId="0" fontId="30" fillId="33" borderId="130" applyNumberFormat="0" applyAlignment="0" applyProtection="0"/>
    <xf numFmtId="0" fontId="35" fillId="0" borderId="133" applyNumberFormat="0" applyFill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33" fillId="39" borderId="21" applyNumberFormat="0" applyAlignment="0" applyProtection="0"/>
    <xf numFmtId="0" fontId="30" fillId="33" borderId="130" applyNumberFormat="0" applyAlignment="0" applyProtection="0"/>
    <xf numFmtId="0" fontId="21" fillId="39" borderId="130" applyNumberFormat="0" applyAlignment="0" applyProtection="0"/>
    <xf numFmtId="0" fontId="33" fillId="39" borderId="132" applyNumberFormat="0" applyAlignment="0" applyProtection="0"/>
    <xf numFmtId="0" fontId="35" fillId="0" borderId="133" applyNumberFormat="0" applyFill="0" applyAlignment="0" applyProtection="0"/>
    <xf numFmtId="0" fontId="30" fillId="33" borderId="130" applyNumberFormat="0" applyAlignment="0" applyProtection="0"/>
    <xf numFmtId="0" fontId="30" fillId="33" borderId="130" applyNumberFormat="0" applyAlignment="0" applyProtection="0"/>
    <xf numFmtId="0" fontId="35" fillId="0" borderId="133" applyNumberFormat="0" applyFill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33" fillId="39" borderId="21" applyNumberFormat="0" applyAlignment="0" applyProtection="0"/>
    <xf numFmtId="0" fontId="21" fillId="39" borderId="130" applyNumberFormat="0" applyAlignment="0" applyProtection="0"/>
    <xf numFmtId="0" fontId="21" fillId="39" borderId="130" applyNumberFormat="0" applyAlignment="0" applyProtection="0"/>
    <xf numFmtId="0" fontId="21" fillId="39" borderId="130" applyNumberFormat="0" applyAlignment="0" applyProtection="0"/>
    <xf numFmtId="0" fontId="33" fillId="39" borderId="132" applyNumberFormat="0" applyAlignment="0" applyProtection="0"/>
    <xf numFmtId="0" fontId="30" fillId="33" borderId="130" applyNumberFormat="0" applyAlignment="0" applyProtection="0"/>
    <xf numFmtId="0" fontId="33" fillId="39" borderId="132" applyNumberFormat="0" applyAlignment="0" applyProtection="0"/>
    <xf numFmtId="0" fontId="35" fillId="0" borderId="133" applyNumberFormat="0" applyFill="0" applyAlignment="0" applyProtection="0"/>
    <xf numFmtId="0" fontId="21" fillId="39" borderId="130" applyNumberFormat="0" applyAlignment="0" applyProtection="0"/>
    <xf numFmtId="0" fontId="33" fillId="39" borderId="132" applyNumberFormat="0" applyAlignment="0" applyProtection="0"/>
    <xf numFmtId="0" fontId="30" fillId="33" borderId="130" applyNumberForma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5" fillId="0" borderId="133" applyNumberFormat="0" applyFill="0" applyAlignment="0" applyProtection="0"/>
    <xf numFmtId="0" fontId="33" fillId="39" borderId="21" applyNumberFormat="0" applyAlignment="0" applyProtection="0"/>
    <xf numFmtId="0" fontId="35" fillId="0" borderId="133" applyNumberFormat="0" applyFill="0" applyAlignment="0" applyProtection="0"/>
    <xf numFmtId="0" fontId="30" fillId="33" borderId="130" applyNumberFormat="0" applyAlignment="0" applyProtection="0"/>
    <xf numFmtId="0" fontId="21" fillId="39" borderId="130" applyNumberFormat="0" applyAlignment="0" applyProtection="0"/>
    <xf numFmtId="0" fontId="33" fillId="39" borderId="132" applyNumberFormat="0" applyAlignment="0" applyProtection="0"/>
    <xf numFmtId="0" fontId="33" fillId="39" borderId="132" applyNumberFormat="0" applyAlignment="0" applyProtection="0"/>
    <xf numFmtId="0" fontId="21" fillId="39" borderId="130" applyNumberFormat="0" applyAlignment="0" applyProtection="0"/>
    <xf numFmtId="0" fontId="33" fillId="39" borderId="21" applyNumberFormat="0" applyAlignment="0" applyProtection="0"/>
    <xf numFmtId="0" fontId="30" fillId="33" borderId="130" applyNumberFormat="0" applyAlignment="0" applyProtection="0"/>
    <xf numFmtId="0" fontId="21" fillId="39" borderId="130" applyNumberFormat="0" applyAlignment="0" applyProtection="0"/>
    <xf numFmtId="0" fontId="33" fillId="39" borderId="21" applyNumberFormat="0" applyAlignment="0" applyProtection="0"/>
    <xf numFmtId="0" fontId="33" fillId="39" borderId="21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35" fillId="0" borderId="133" applyNumberFormat="0" applyFill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21" applyNumberFormat="0" applyAlignment="0" applyProtection="0"/>
    <xf numFmtId="0" fontId="23" fillId="27" borderId="131" applyNumberFormat="0" applyFont="0" applyAlignment="0" applyProtection="0"/>
    <xf numFmtId="0" fontId="30" fillId="33" borderId="130" applyNumberFormat="0" applyAlignment="0" applyProtection="0"/>
    <xf numFmtId="0" fontId="33" fillId="39" borderId="21" applyNumberFormat="0" applyAlignment="0" applyProtection="0"/>
    <xf numFmtId="0" fontId="33" fillId="39" borderId="21" applyNumberFormat="0" applyAlignment="0" applyProtection="0"/>
    <xf numFmtId="0" fontId="23" fillId="27" borderId="131" applyNumberFormat="0" applyFont="0" applyAlignment="0" applyProtection="0"/>
    <xf numFmtId="0" fontId="33" fillId="39" borderId="21" applyNumberFormat="0" applyAlignment="0" applyProtection="0"/>
    <xf numFmtId="0" fontId="33" fillId="39" borderId="132" applyNumberFormat="0" applyAlignment="0" applyProtection="0"/>
    <xf numFmtId="0" fontId="23" fillId="27" borderId="131" applyNumberFormat="0" applyFont="0" applyAlignment="0" applyProtection="0"/>
    <xf numFmtId="0" fontId="21" fillId="39" borderId="130" applyNumberFormat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35" fillId="0" borderId="133" applyNumberFormat="0" applyFill="0" applyAlignment="0" applyProtection="0"/>
    <xf numFmtId="0" fontId="30" fillId="33" borderId="130" applyNumberFormat="0" applyAlignment="0" applyProtection="0"/>
    <xf numFmtId="0" fontId="21" fillId="39" borderId="130" applyNumberFormat="0" applyAlignment="0" applyProtection="0"/>
    <xf numFmtId="0" fontId="23" fillId="27" borderId="131" applyNumberFormat="0" applyFont="0" applyAlignment="0" applyProtection="0"/>
    <xf numFmtId="0" fontId="35" fillId="0" borderId="133" applyNumberFormat="0" applyFill="0" applyAlignment="0" applyProtection="0"/>
    <xf numFmtId="0" fontId="30" fillId="33" borderId="130" applyNumberFormat="0" applyAlignment="0" applyProtection="0"/>
    <xf numFmtId="0" fontId="21" fillId="39" borderId="130" applyNumberFormat="0" applyAlignment="0" applyProtection="0"/>
    <xf numFmtId="0" fontId="21" fillId="39" borderId="130" applyNumberFormat="0" applyAlignment="0" applyProtection="0"/>
    <xf numFmtId="0" fontId="35" fillId="0" borderId="133" applyNumberFormat="0" applyFill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21" fillId="39" borderId="130" applyNumberFormat="0" applyAlignment="0" applyProtection="0"/>
    <xf numFmtId="0" fontId="23" fillId="27" borderId="131" applyNumberFormat="0" applyFont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21" fillId="39" borderId="130" applyNumberFormat="0" applyAlignment="0" applyProtection="0"/>
    <xf numFmtId="0" fontId="21" fillId="39" borderId="130" applyNumberFormat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21" fillId="39" borderId="130" applyNumberFormat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21" fillId="39" borderId="130" applyNumberFormat="0" applyAlignment="0" applyProtection="0"/>
    <xf numFmtId="0" fontId="33" fillId="39" borderId="132" applyNumberFormat="0" applyAlignment="0" applyProtection="0"/>
    <xf numFmtId="0" fontId="21" fillId="39" borderId="130" applyNumberFormat="0" applyAlignment="0" applyProtection="0"/>
    <xf numFmtId="0" fontId="23" fillId="27" borderId="131" applyNumberFormat="0" applyFont="0" applyAlignment="0" applyProtection="0"/>
    <xf numFmtId="0" fontId="30" fillId="33" borderId="130" applyNumberFormat="0" applyAlignment="0" applyProtection="0"/>
    <xf numFmtId="0" fontId="21" fillId="39" borderId="130" applyNumberFormat="0" applyAlignment="0" applyProtection="0"/>
    <xf numFmtId="0" fontId="23" fillId="27" borderId="131" applyNumberFormat="0" applyFont="0" applyAlignment="0" applyProtection="0"/>
    <xf numFmtId="0" fontId="21" fillId="39" borderId="130" applyNumberFormat="0" applyAlignment="0" applyProtection="0"/>
    <xf numFmtId="0" fontId="33" fillId="39" borderId="21" applyNumberFormat="0" applyAlignment="0" applyProtection="0"/>
    <xf numFmtId="0" fontId="35" fillId="0" borderId="133" applyNumberFormat="0" applyFill="0" applyAlignment="0" applyProtection="0"/>
    <xf numFmtId="0" fontId="33" fillId="39" borderId="132" applyNumberFormat="0" applyAlignment="0" applyProtection="0"/>
    <xf numFmtId="0" fontId="33" fillId="39" borderId="21" applyNumberFormat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33" fillId="39" borderId="21" applyNumberFormat="0" applyAlignment="0" applyProtection="0"/>
    <xf numFmtId="0" fontId="35" fillId="0" borderId="133" applyNumberFormat="0" applyFill="0" applyAlignment="0" applyProtection="0"/>
    <xf numFmtId="0" fontId="35" fillId="0" borderId="133" applyNumberFormat="0" applyFill="0" applyAlignment="0" applyProtection="0"/>
    <xf numFmtId="0" fontId="21" fillId="39" borderId="130" applyNumberFormat="0" applyAlignment="0" applyProtection="0"/>
    <xf numFmtId="0" fontId="33" fillId="39" borderId="21" applyNumberFormat="0" applyAlignment="0" applyProtection="0"/>
    <xf numFmtId="0" fontId="33" fillId="39" borderId="21" applyNumberFormat="0" applyAlignment="0" applyProtection="0"/>
    <xf numFmtId="0" fontId="21" fillId="39" borderId="130" applyNumberFormat="0" applyAlignment="0" applyProtection="0"/>
    <xf numFmtId="0" fontId="33" fillId="39" borderId="132" applyNumberFormat="0" applyAlignment="0" applyProtection="0"/>
    <xf numFmtId="0" fontId="33" fillId="39" borderId="132" applyNumberFormat="0" applyAlignment="0" applyProtection="0"/>
    <xf numFmtId="0" fontId="33" fillId="39" borderId="21" applyNumberFormat="0" applyAlignment="0" applyProtection="0"/>
    <xf numFmtId="0" fontId="33" fillId="39" borderId="21" applyNumberForma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21" applyNumberFormat="0" applyAlignment="0" applyProtection="0"/>
    <xf numFmtId="0" fontId="33" fillId="39" borderId="21" applyNumberFormat="0" applyAlignment="0" applyProtection="0"/>
    <xf numFmtId="0" fontId="30" fillId="33" borderId="130" applyNumberFormat="0" applyAlignment="0" applyProtection="0"/>
    <xf numFmtId="0" fontId="33" fillId="39" borderId="21" applyNumberFormat="0" applyAlignment="0" applyProtection="0"/>
    <xf numFmtId="0" fontId="35" fillId="0" borderId="133" applyNumberFormat="0" applyFill="0" applyAlignment="0" applyProtection="0"/>
    <xf numFmtId="0" fontId="21" fillId="39" borderId="130" applyNumberFormat="0" applyAlignment="0" applyProtection="0"/>
    <xf numFmtId="0" fontId="23" fillId="27" borderId="131" applyNumberFormat="0" applyFont="0" applyAlignment="0" applyProtection="0"/>
    <xf numFmtId="0" fontId="33" fillId="39" borderId="21" applyNumberFormat="0" applyAlignment="0" applyProtection="0"/>
    <xf numFmtId="0" fontId="21" fillId="39" borderId="130" applyNumberFormat="0" applyAlignment="0" applyProtection="0"/>
    <xf numFmtId="0" fontId="23" fillId="27" borderId="131" applyNumberFormat="0" applyFont="0" applyAlignment="0" applyProtection="0"/>
    <xf numFmtId="0" fontId="33" fillId="39" borderId="21" applyNumberFormat="0" applyAlignment="0" applyProtection="0"/>
    <xf numFmtId="0" fontId="30" fillId="33" borderId="130" applyNumberFormat="0" applyAlignment="0" applyProtection="0"/>
    <xf numFmtId="0" fontId="30" fillId="33" borderId="130" applyNumberFormat="0" applyAlignment="0" applyProtection="0"/>
    <xf numFmtId="0" fontId="33" fillId="39" borderId="21" applyNumberFormat="0" applyAlignment="0" applyProtection="0"/>
    <xf numFmtId="0" fontId="33" fillId="39" borderId="21" applyNumberFormat="0" applyAlignment="0" applyProtection="0"/>
    <xf numFmtId="0" fontId="23" fillId="27" borderId="131" applyNumberFormat="0" applyFont="0" applyAlignment="0" applyProtection="0"/>
    <xf numFmtId="0" fontId="35" fillId="0" borderId="133" applyNumberFormat="0" applyFill="0" applyAlignment="0" applyProtection="0"/>
    <xf numFmtId="0" fontId="33" fillId="39" borderId="132" applyNumberFormat="0" applyAlignment="0" applyProtection="0"/>
    <xf numFmtId="0" fontId="33" fillId="39" borderId="21" applyNumberFormat="0" applyAlignment="0" applyProtection="0"/>
    <xf numFmtId="0" fontId="33" fillId="39" borderId="21" applyNumberFormat="0" applyAlignment="0" applyProtection="0"/>
    <xf numFmtId="0" fontId="21" fillId="39" borderId="130" applyNumberFormat="0" applyAlignment="0" applyProtection="0"/>
    <xf numFmtId="0" fontId="35" fillId="0" borderId="133" applyNumberFormat="0" applyFill="0" applyAlignment="0" applyProtection="0"/>
    <xf numFmtId="0" fontId="33" fillId="39" borderId="21" applyNumberFormat="0" applyAlignment="0" applyProtection="0"/>
    <xf numFmtId="0" fontId="33" fillId="39" borderId="21" applyNumberFormat="0" applyAlignment="0" applyProtection="0"/>
    <xf numFmtId="0" fontId="30" fillId="33" borderId="130" applyNumberFormat="0" applyAlignment="0" applyProtection="0"/>
    <xf numFmtId="0" fontId="21" fillId="39" borderId="130" applyNumberFormat="0" applyAlignment="0" applyProtection="0"/>
    <xf numFmtId="0" fontId="33" fillId="39" borderId="21" applyNumberFormat="0" applyAlignment="0" applyProtection="0"/>
    <xf numFmtId="0" fontId="33" fillId="39" borderId="21" applyNumberFormat="0" applyAlignment="0" applyProtection="0"/>
    <xf numFmtId="0" fontId="35" fillId="0" borderId="133" applyNumberFormat="0" applyFill="0" applyAlignment="0" applyProtection="0"/>
    <xf numFmtId="0" fontId="33" fillId="39" borderId="21" applyNumberFormat="0" applyAlignment="0" applyProtection="0"/>
    <xf numFmtId="0" fontId="23" fillId="27" borderId="131" applyNumberFormat="0" applyFon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21" applyNumberFormat="0" applyAlignment="0" applyProtection="0"/>
    <xf numFmtId="0" fontId="30" fillId="33" borderId="130" applyNumberFormat="0" applyAlignment="0" applyProtection="0"/>
    <xf numFmtId="0" fontId="21" fillId="39" borderId="130" applyNumberFormat="0" applyAlignment="0" applyProtection="0"/>
    <xf numFmtId="0" fontId="33" fillId="39" borderId="21" applyNumberFormat="0" applyAlignment="0" applyProtection="0"/>
    <xf numFmtId="0" fontId="30" fillId="33" borderId="130" applyNumberFormat="0" applyAlignment="0" applyProtection="0"/>
    <xf numFmtId="0" fontId="21" fillId="39" borderId="130" applyNumberFormat="0" applyAlignment="0" applyProtection="0"/>
    <xf numFmtId="0" fontId="33" fillId="39" borderId="21" applyNumberFormat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35" fillId="0" borderId="133" applyNumberFormat="0" applyFill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35" fillId="0" borderId="133" applyNumberFormat="0" applyFill="0" applyAlignment="0" applyProtection="0"/>
    <xf numFmtId="0" fontId="21" fillId="39" borderId="130" applyNumberFormat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33" fillId="39" borderId="132" applyNumberFormat="0" applyAlignment="0" applyProtection="0"/>
    <xf numFmtId="0" fontId="35" fillId="0" borderId="133" applyNumberFormat="0" applyFill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0" fillId="33" borderId="130" applyNumberFormat="0" applyAlignment="0" applyProtection="0"/>
    <xf numFmtId="0" fontId="21" fillId="39" borderId="130" applyNumberFormat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21" fillId="39" borderId="130" applyNumberFormat="0" applyAlignment="0" applyProtection="0"/>
    <xf numFmtId="0" fontId="35" fillId="0" borderId="133" applyNumberFormat="0" applyFill="0" applyAlignment="0" applyProtection="0"/>
    <xf numFmtId="0" fontId="30" fillId="33" borderId="130" applyNumberFormat="0" applyAlignment="0" applyProtection="0"/>
    <xf numFmtId="0" fontId="21" fillId="39" borderId="130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30" fillId="33" borderId="130" applyNumberFormat="0" applyAlignment="0" applyProtection="0"/>
    <xf numFmtId="0" fontId="35" fillId="0" borderId="133" applyNumberFormat="0" applyFill="0" applyAlignment="0" applyProtection="0"/>
    <xf numFmtId="0" fontId="35" fillId="0" borderId="133" applyNumberFormat="0" applyFill="0" applyAlignment="0" applyProtection="0"/>
    <xf numFmtId="0" fontId="33" fillId="39" borderId="132" applyNumberFormat="0" applyAlignment="0" applyProtection="0"/>
    <xf numFmtId="0" fontId="23" fillId="27" borderId="131" applyNumberFormat="0" applyFont="0" applyAlignment="0" applyProtection="0"/>
    <xf numFmtId="0" fontId="35" fillId="0" borderId="133" applyNumberFormat="0" applyFill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35" fillId="0" borderId="133" applyNumberFormat="0" applyFill="0" applyAlignment="0" applyProtection="0"/>
    <xf numFmtId="0" fontId="23" fillId="27" borderId="131" applyNumberFormat="0" applyFont="0" applyAlignment="0" applyProtection="0"/>
    <xf numFmtId="0" fontId="35" fillId="0" borderId="133" applyNumberFormat="0" applyFill="0" applyAlignment="0" applyProtection="0"/>
    <xf numFmtId="0" fontId="33" fillId="39" borderId="132" applyNumberFormat="0" applyAlignment="0" applyProtection="0"/>
    <xf numFmtId="0" fontId="21" fillId="39" borderId="130" applyNumberFormat="0" applyAlignment="0" applyProtection="0"/>
    <xf numFmtId="0" fontId="33" fillId="39" borderId="132" applyNumberFormat="0" applyAlignment="0" applyProtection="0"/>
    <xf numFmtId="0" fontId="21" fillId="39" borderId="130" applyNumberFormat="0" applyAlignment="0" applyProtection="0"/>
    <xf numFmtId="0" fontId="35" fillId="0" borderId="133" applyNumberFormat="0" applyFill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35" fillId="0" borderId="133" applyNumberFormat="0" applyFill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35" fillId="0" borderId="133" applyNumberFormat="0" applyFill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35" fillId="0" borderId="133" applyNumberFormat="0" applyFill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35" fillId="0" borderId="133" applyNumberFormat="0" applyFill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0" fillId="33" borderId="130" applyNumberFormat="0" applyAlignment="0" applyProtection="0"/>
    <xf numFmtId="0" fontId="21" fillId="39" borderId="130" applyNumberFormat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21" fillId="39" borderId="130" applyNumberFormat="0" applyAlignment="0" applyProtection="0"/>
    <xf numFmtId="0" fontId="35" fillId="0" borderId="133" applyNumberFormat="0" applyFill="0" applyAlignment="0" applyProtection="0"/>
    <xf numFmtId="0" fontId="30" fillId="33" borderId="130" applyNumberFormat="0" applyAlignment="0" applyProtection="0"/>
    <xf numFmtId="0" fontId="21" fillId="39" borderId="130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30" fillId="33" borderId="130" applyNumberFormat="0" applyAlignment="0" applyProtection="0"/>
    <xf numFmtId="0" fontId="35" fillId="0" borderId="133" applyNumberFormat="0" applyFill="0" applyAlignment="0" applyProtection="0"/>
    <xf numFmtId="0" fontId="35" fillId="0" borderId="133" applyNumberFormat="0" applyFill="0" applyAlignment="0" applyProtection="0"/>
    <xf numFmtId="0" fontId="33" fillId="39" borderId="132" applyNumberFormat="0" applyAlignment="0" applyProtection="0"/>
    <xf numFmtId="0" fontId="23" fillId="27" borderId="131" applyNumberFormat="0" applyFont="0" applyAlignment="0" applyProtection="0"/>
    <xf numFmtId="0" fontId="35" fillId="0" borderId="133" applyNumberFormat="0" applyFill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35" fillId="0" borderId="133" applyNumberFormat="0" applyFill="0" applyAlignment="0" applyProtection="0"/>
    <xf numFmtId="0" fontId="23" fillId="27" borderId="131" applyNumberFormat="0" applyFont="0" applyAlignment="0" applyProtection="0"/>
    <xf numFmtId="0" fontId="35" fillId="0" borderId="133" applyNumberFormat="0" applyFill="0" applyAlignment="0" applyProtection="0"/>
    <xf numFmtId="0" fontId="33" fillId="39" borderId="132" applyNumberFormat="0" applyAlignment="0" applyProtection="0"/>
    <xf numFmtId="0" fontId="21" fillId="39" borderId="130" applyNumberFormat="0" applyAlignment="0" applyProtection="0"/>
    <xf numFmtId="0" fontId="33" fillId="39" borderId="132" applyNumberFormat="0" applyAlignment="0" applyProtection="0"/>
    <xf numFmtId="0" fontId="21" fillId="39" borderId="130" applyNumberFormat="0" applyAlignment="0" applyProtection="0"/>
    <xf numFmtId="0" fontId="35" fillId="0" borderId="133" applyNumberFormat="0" applyFill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35" fillId="0" borderId="133" applyNumberFormat="0" applyFill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35" fillId="0" borderId="133" applyNumberFormat="0" applyFill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35" fillId="0" borderId="133" applyNumberFormat="0" applyFill="0" applyAlignment="0" applyProtection="0"/>
    <xf numFmtId="0" fontId="23" fillId="27" borderId="131" applyNumberFormat="0" applyFont="0" applyAlignment="0" applyProtection="0"/>
    <xf numFmtId="0" fontId="30" fillId="33" borderId="130" applyNumberFormat="0" applyAlignment="0" applyProtection="0"/>
    <xf numFmtId="0" fontId="21" fillId="39" borderId="130" applyNumberFormat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21" fillId="39" borderId="130" applyNumberFormat="0" applyAlignment="0" applyProtection="0"/>
    <xf numFmtId="0" fontId="35" fillId="0" borderId="133" applyNumberFormat="0" applyFill="0" applyAlignment="0" applyProtection="0"/>
    <xf numFmtId="0" fontId="30" fillId="33" borderId="130" applyNumberFormat="0" applyAlignment="0" applyProtection="0"/>
    <xf numFmtId="0" fontId="21" fillId="39" borderId="130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30" fillId="33" borderId="130" applyNumberFormat="0" applyAlignment="0" applyProtection="0"/>
    <xf numFmtId="0" fontId="35" fillId="0" borderId="133" applyNumberFormat="0" applyFill="0" applyAlignment="0" applyProtection="0"/>
    <xf numFmtId="0" fontId="35" fillId="0" borderId="133" applyNumberFormat="0" applyFill="0" applyAlignment="0" applyProtection="0"/>
    <xf numFmtId="0" fontId="33" fillId="39" borderId="132" applyNumberFormat="0" applyAlignment="0" applyProtection="0"/>
    <xf numFmtId="0" fontId="23" fillId="27" borderId="131" applyNumberFormat="0" applyFont="0" applyAlignment="0" applyProtection="0"/>
    <xf numFmtId="0" fontId="35" fillId="0" borderId="133" applyNumberFormat="0" applyFill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35" fillId="0" borderId="133" applyNumberFormat="0" applyFill="0" applyAlignment="0" applyProtection="0"/>
    <xf numFmtId="0" fontId="23" fillId="27" borderId="131" applyNumberFormat="0" applyFont="0" applyAlignment="0" applyProtection="0"/>
    <xf numFmtId="0" fontId="35" fillId="0" borderId="133" applyNumberFormat="0" applyFill="0" applyAlignment="0" applyProtection="0"/>
    <xf numFmtId="0" fontId="33" fillId="39" borderId="132" applyNumberFormat="0" applyAlignment="0" applyProtection="0"/>
    <xf numFmtId="0" fontId="21" fillId="39" borderId="130" applyNumberFormat="0" applyAlignment="0" applyProtection="0"/>
    <xf numFmtId="0" fontId="33" fillId="39" borderId="132" applyNumberFormat="0" applyAlignment="0" applyProtection="0"/>
    <xf numFmtId="0" fontId="21" fillId="39" borderId="130" applyNumberFormat="0" applyAlignment="0" applyProtection="0"/>
    <xf numFmtId="0" fontId="35" fillId="0" borderId="133" applyNumberFormat="0" applyFill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35" fillId="0" borderId="133" applyNumberFormat="0" applyFill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35" fillId="0" borderId="133" applyNumberFormat="0" applyFill="0" applyAlignment="0" applyProtection="0"/>
    <xf numFmtId="0" fontId="21" fillId="39" borderId="130" applyNumberFormat="0" applyAlignment="0" applyProtection="0"/>
    <xf numFmtId="0" fontId="30" fillId="33" borderId="130" applyNumberFormat="0" applyAlignment="0" applyProtection="0"/>
    <xf numFmtId="0" fontId="23" fillId="27" borderId="131" applyNumberFormat="0" applyFont="0" applyAlignment="0" applyProtection="0"/>
    <xf numFmtId="0" fontId="33" fillId="39" borderId="132" applyNumberFormat="0" applyAlignment="0" applyProtection="0"/>
    <xf numFmtId="0" fontId="35" fillId="0" borderId="133" applyNumberFormat="0" applyFill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21" fillId="39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21" fillId="39" borderId="134" applyNumberFormat="0" applyAlignment="0" applyProtection="0"/>
    <xf numFmtId="0" fontId="35" fillId="0" borderId="137" applyNumberFormat="0" applyFill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0" fillId="33" borderId="134" applyNumberFormat="0" applyAlignment="0" applyProtection="0"/>
    <xf numFmtId="0" fontId="35" fillId="0" borderId="137" applyNumberFormat="0" applyFill="0" applyAlignment="0" applyProtection="0"/>
    <xf numFmtId="0" fontId="35" fillId="0" borderId="137" applyNumberFormat="0" applyFill="0" applyAlignment="0" applyProtection="0"/>
    <xf numFmtId="0" fontId="33" fillId="39" borderId="136" applyNumberFormat="0" applyAlignment="0" applyProtection="0"/>
    <xf numFmtId="0" fontId="23" fillId="27" borderId="135" applyNumberFormat="0" applyFont="0" applyAlignment="0" applyProtection="0"/>
    <xf numFmtId="0" fontId="35" fillId="0" borderId="137" applyNumberFormat="0" applyFill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23" fillId="27" borderId="135" applyNumberFormat="0" applyFont="0" applyAlignment="0" applyProtection="0"/>
    <xf numFmtId="0" fontId="35" fillId="0" borderId="137" applyNumberFormat="0" applyFill="0" applyAlignment="0" applyProtection="0"/>
    <xf numFmtId="0" fontId="33" fillId="39" borderId="136" applyNumberFormat="0" applyAlignment="0" applyProtection="0"/>
    <xf numFmtId="0" fontId="21" fillId="39" borderId="134" applyNumberFormat="0" applyAlignment="0" applyProtection="0"/>
    <xf numFmtId="0" fontId="33" fillId="39" borderId="136" applyNumberFormat="0" applyAlignment="0" applyProtection="0"/>
    <xf numFmtId="0" fontId="21" fillId="39" borderId="134" applyNumberFormat="0" applyAlignment="0" applyProtection="0"/>
    <xf numFmtId="0" fontId="35" fillId="0" borderId="137" applyNumberFormat="0" applyFill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21" fillId="39" borderId="134" applyNumberFormat="0" applyAlignment="0" applyProtection="0"/>
    <xf numFmtId="0" fontId="35" fillId="0" borderId="137" applyNumberFormat="0" applyFill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0" fillId="33" borderId="134" applyNumberFormat="0" applyAlignment="0" applyProtection="0"/>
    <xf numFmtId="0" fontId="35" fillId="0" borderId="137" applyNumberFormat="0" applyFill="0" applyAlignment="0" applyProtection="0"/>
    <xf numFmtId="0" fontId="35" fillId="0" borderId="137" applyNumberFormat="0" applyFill="0" applyAlignment="0" applyProtection="0"/>
    <xf numFmtId="0" fontId="33" fillId="39" borderId="136" applyNumberFormat="0" applyAlignment="0" applyProtection="0"/>
    <xf numFmtId="0" fontId="23" fillId="27" borderId="135" applyNumberFormat="0" applyFont="0" applyAlignment="0" applyProtection="0"/>
    <xf numFmtId="0" fontId="35" fillId="0" borderId="137" applyNumberFormat="0" applyFill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23" fillId="27" borderId="135" applyNumberFormat="0" applyFont="0" applyAlignment="0" applyProtection="0"/>
    <xf numFmtId="0" fontId="35" fillId="0" borderId="137" applyNumberFormat="0" applyFill="0" applyAlignment="0" applyProtection="0"/>
    <xf numFmtId="0" fontId="33" fillId="39" borderId="136" applyNumberFormat="0" applyAlignment="0" applyProtection="0"/>
    <xf numFmtId="0" fontId="21" fillId="39" borderId="134" applyNumberFormat="0" applyAlignment="0" applyProtection="0"/>
    <xf numFmtId="0" fontId="33" fillId="39" borderId="136" applyNumberFormat="0" applyAlignment="0" applyProtection="0"/>
    <xf numFmtId="0" fontId="21" fillId="39" borderId="134" applyNumberFormat="0" applyAlignment="0" applyProtection="0"/>
    <xf numFmtId="0" fontId="35" fillId="0" borderId="137" applyNumberFormat="0" applyFill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21" fillId="39" borderId="134" applyNumberFormat="0" applyAlignment="0" applyProtection="0"/>
    <xf numFmtId="0" fontId="33" fillId="39" borderId="136" applyNumberFormat="0" applyAlignment="0" applyProtection="0"/>
    <xf numFmtId="0" fontId="30" fillId="33" borderId="134" applyNumberFormat="0" applyAlignment="0" applyProtection="0"/>
    <xf numFmtId="0" fontId="35" fillId="0" borderId="137" applyNumberFormat="0" applyFill="0" applyAlignment="0" applyProtection="0"/>
    <xf numFmtId="0" fontId="23" fillId="27" borderId="135" applyNumberFormat="0" applyFont="0" applyAlignment="0" applyProtection="0"/>
    <xf numFmtId="0" fontId="21" fillId="39" borderId="134" applyNumberFormat="0" applyAlignment="0" applyProtection="0"/>
    <xf numFmtId="0" fontId="21" fillId="39" borderId="134" applyNumberFormat="0" applyAlignment="0" applyProtection="0"/>
    <xf numFmtId="0" fontId="21" fillId="39" borderId="134" applyNumberFormat="0" applyAlignment="0" applyProtection="0"/>
    <xf numFmtId="0" fontId="35" fillId="0" borderId="137" applyNumberFormat="0" applyFill="0" applyAlignment="0" applyProtection="0"/>
    <xf numFmtId="0" fontId="35" fillId="0" borderId="137" applyNumberFormat="0" applyFill="0" applyAlignment="0" applyProtection="0"/>
    <xf numFmtId="0" fontId="23" fillId="27" borderId="135" applyNumberFormat="0" applyFont="0" applyAlignment="0" applyProtection="0"/>
    <xf numFmtId="0" fontId="21" fillId="39" borderId="134" applyNumberFormat="0" applyAlignment="0" applyProtection="0"/>
    <xf numFmtId="0" fontId="23" fillId="27" borderId="135" applyNumberFormat="0" applyFont="0" applyAlignment="0" applyProtection="0"/>
    <xf numFmtId="0" fontId="35" fillId="0" borderId="137" applyNumberFormat="0" applyFill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23" fillId="27" borderId="135" applyNumberFormat="0" applyFont="0" applyAlignment="0" applyProtection="0"/>
    <xf numFmtId="0" fontId="23" fillId="27" borderId="135" applyNumberFormat="0" applyFon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23" fillId="27" borderId="135" applyNumberFormat="0" applyFont="0" applyAlignment="0" applyProtection="0"/>
    <xf numFmtId="0" fontId="35" fillId="0" borderId="137" applyNumberFormat="0" applyFill="0" applyAlignment="0" applyProtection="0"/>
    <xf numFmtId="0" fontId="23" fillId="27" borderId="135" applyNumberFormat="0" applyFont="0" applyAlignment="0" applyProtection="0"/>
    <xf numFmtId="0" fontId="21" fillId="39" borderId="134" applyNumberForma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23" fillId="27" borderId="135" applyNumberFormat="0" applyFont="0" applyAlignment="0" applyProtection="0"/>
    <xf numFmtId="0" fontId="21" fillId="39" borderId="134" applyNumberFormat="0" applyAlignment="0" applyProtection="0"/>
    <xf numFmtId="0" fontId="23" fillId="27" borderId="135" applyNumberFormat="0" applyFont="0" applyAlignment="0" applyProtection="0"/>
    <xf numFmtId="0" fontId="23" fillId="27" borderId="135" applyNumberFormat="0" applyFon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35" fillId="0" borderId="137" applyNumberFormat="0" applyFill="0" applyAlignment="0" applyProtection="0"/>
    <xf numFmtId="0" fontId="33" fillId="39" borderId="136" applyNumberFormat="0" applyAlignment="0" applyProtection="0"/>
    <xf numFmtId="0" fontId="23" fillId="27" borderId="135" applyNumberFormat="0" applyFont="0" applyAlignment="0" applyProtection="0"/>
    <xf numFmtId="0" fontId="21" fillId="39" borderId="134" applyNumberFormat="0" applyAlignment="0" applyProtection="0"/>
    <xf numFmtId="0" fontId="35" fillId="0" borderId="137" applyNumberFormat="0" applyFill="0" applyAlignment="0" applyProtection="0"/>
    <xf numFmtId="0" fontId="35" fillId="0" borderId="137" applyNumberFormat="0" applyFill="0" applyAlignment="0" applyProtection="0"/>
    <xf numFmtId="0" fontId="23" fillId="27" borderId="135" applyNumberFormat="0" applyFont="0" applyAlignment="0" applyProtection="0"/>
    <xf numFmtId="0" fontId="21" fillId="39" borderId="134" applyNumberFormat="0" applyAlignment="0" applyProtection="0"/>
    <xf numFmtId="0" fontId="33" fillId="39" borderId="136" applyNumberFormat="0" applyAlignment="0" applyProtection="0"/>
    <xf numFmtId="0" fontId="30" fillId="33" borderId="134" applyNumberFormat="0" applyAlignment="0" applyProtection="0"/>
    <xf numFmtId="0" fontId="35" fillId="0" borderId="137" applyNumberFormat="0" applyFill="0" applyAlignment="0" applyProtection="0"/>
    <xf numFmtId="0" fontId="33" fillId="39" borderId="136" applyNumberFormat="0" applyAlignment="0" applyProtection="0"/>
    <xf numFmtId="0" fontId="33" fillId="39" borderId="136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0" fillId="33" borderId="134" applyNumberFormat="0" applyAlignment="0" applyProtection="0"/>
    <xf numFmtId="0" fontId="35" fillId="0" borderId="137" applyNumberFormat="0" applyFill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33" fillId="39" borderId="136" applyNumberFormat="0" applyAlignment="0" applyProtection="0"/>
    <xf numFmtId="0" fontId="21" fillId="39" borderId="134" applyNumberFormat="0" applyAlignment="0" applyProtection="0"/>
    <xf numFmtId="0" fontId="35" fillId="0" borderId="137" applyNumberFormat="0" applyFill="0" applyAlignment="0" applyProtection="0"/>
    <xf numFmtId="0" fontId="33" fillId="39" borderId="136" applyNumberFormat="0" applyAlignment="0" applyProtection="0"/>
    <xf numFmtId="0" fontId="33" fillId="39" borderId="136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30" fillId="33" borderId="134" applyNumberFormat="0" applyAlignment="0" applyProtection="0"/>
    <xf numFmtId="0" fontId="33" fillId="39" borderId="136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3" fillId="39" borderId="136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0" fillId="33" borderId="134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21" fillId="39" borderId="134" applyNumberFormat="0" applyAlignment="0" applyProtection="0"/>
    <xf numFmtId="0" fontId="21" fillId="39" borderId="134" applyNumberFormat="0" applyAlignment="0" applyProtection="0"/>
    <xf numFmtId="0" fontId="35" fillId="0" borderId="137" applyNumberFormat="0" applyFill="0" applyAlignment="0" applyProtection="0"/>
    <xf numFmtId="0" fontId="30" fillId="33" borderId="134" applyNumberFormat="0" applyAlignment="0" applyProtection="0"/>
    <xf numFmtId="0" fontId="33" fillId="39" borderId="136" applyNumberFormat="0" applyAlignment="0" applyProtection="0"/>
    <xf numFmtId="0" fontId="21" fillId="39" borderId="134" applyNumberFormat="0" applyAlignment="0" applyProtection="0"/>
    <xf numFmtId="0" fontId="21" fillId="39" borderId="134" applyNumberFormat="0" applyAlignment="0" applyProtection="0"/>
    <xf numFmtId="0" fontId="21" fillId="39" borderId="134" applyNumberFormat="0" applyAlignment="0" applyProtection="0"/>
    <xf numFmtId="0" fontId="33" fillId="39" borderId="136" applyNumberFormat="0" applyAlignment="0" applyProtection="0"/>
    <xf numFmtId="0" fontId="30" fillId="33" borderId="134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35" fillId="0" borderId="137" applyNumberFormat="0" applyFill="0" applyAlignment="0" applyProtection="0"/>
    <xf numFmtId="0" fontId="33" fillId="39" borderId="136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23" fillId="27" borderId="135" applyNumberFormat="0" applyFon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35" fillId="0" borderId="137" applyNumberFormat="0" applyFill="0" applyAlignment="0" applyProtection="0"/>
    <xf numFmtId="0" fontId="23" fillId="27" borderId="135" applyNumberFormat="0" applyFont="0" applyAlignment="0" applyProtection="0"/>
    <xf numFmtId="0" fontId="35" fillId="0" borderId="137" applyNumberFormat="0" applyFill="0" applyAlignment="0" applyProtection="0"/>
    <xf numFmtId="0" fontId="23" fillId="27" borderId="135" applyNumberFormat="0" applyFont="0" applyAlignment="0" applyProtection="0"/>
    <xf numFmtId="0" fontId="35" fillId="0" borderId="137" applyNumberFormat="0" applyFill="0" applyAlignment="0" applyProtection="0"/>
    <xf numFmtId="0" fontId="35" fillId="0" borderId="137" applyNumberFormat="0" applyFill="0" applyAlignment="0" applyProtection="0"/>
    <xf numFmtId="0" fontId="23" fillId="27" borderId="135" applyNumberFormat="0" applyFont="0" applyAlignment="0" applyProtection="0"/>
    <xf numFmtId="0" fontId="30" fillId="33" borderId="134" applyNumberFormat="0" applyAlignment="0" applyProtection="0"/>
    <xf numFmtId="0" fontId="33" fillId="39" borderId="136" applyNumberFormat="0" applyAlignment="0" applyProtection="0"/>
    <xf numFmtId="0" fontId="21" fillId="39" borderId="134" applyNumberFormat="0" applyAlignment="0" applyProtection="0"/>
    <xf numFmtId="0" fontId="35" fillId="0" borderId="137" applyNumberFormat="0" applyFill="0" applyAlignment="0" applyProtection="0"/>
    <xf numFmtId="0" fontId="35" fillId="0" borderId="137" applyNumberFormat="0" applyFill="0" applyAlignment="0" applyProtection="0"/>
    <xf numFmtId="0" fontId="33" fillId="39" borderId="136" applyNumberFormat="0" applyAlignment="0" applyProtection="0"/>
    <xf numFmtId="0" fontId="23" fillId="27" borderId="135" applyNumberFormat="0" applyFont="0" applyAlignment="0" applyProtection="0"/>
    <xf numFmtId="0" fontId="21" fillId="39" borderId="134" applyNumberFormat="0" applyAlignment="0" applyProtection="0"/>
    <xf numFmtId="0" fontId="35" fillId="0" borderId="137" applyNumberFormat="0" applyFill="0" applyAlignment="0" applyProtection="0"/>
    <xf numFmtId="0" fontId="30" fillId="33" borderId="134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33" fillId="39" borderId="136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33" fillId="39" borderId="136" applyNumberFormat="0" applyAlignment="0" applyProtection="0"/>
    <xf numFmtId="0" fontId="33" fillId="39" borderId="136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30" fillId="33" borderId="134" applyNumberFormat="0" applyAlignment="0" applyProtection="0"/>
    <xf numFmtId="0" fontId="30" fillId="33" borderId="134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21" fillId="39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30" fillId="33" borderId="134" applyNumberFormat="0" applyAlignment="0" applyProtection="0"/>
    <xf numFmtId="0" fontId="30" fillId="33" borderId="134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21" fillId="39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21" fillId="39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21" fillId="39" borderId="134" applyNumberFormat="0" applyAlignment="0" applyProtection="0"/>
    <xf numFmtId="0" fontId="35" fillId="0" borderId="137" applyNumberFormat="0" applyFill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0" fillId="33" borderId="134" applyNumberFormat="0" applyAlignment="0" applyProtection="0"/>
    <xf numFmtId="0" fontId="35" fillId="0" borderId="137" applyNumberFormat="0" applyFill="0" applyAlignment="0" applyProtection="0"/>
    <xf numFmtId="0" fontId="35" fillId="0" borderId="137" applyNumberFormat="0" applyFill="0" applyAlignment="0" applyProtection="0"/>
    <xf numFmtId="0" fontId="33" fillId="39" borderId="136" applyNumberFormat="0" applyAlignment="0" applyProtection="0"/>
    <xf numFmtId="0" fontId="23" fillId="27" borderId="135" applyNumberFormat="0" applyFont="0" applyAlignment="0" applyProtection="0"/>
    <xf numFmtId="0" fontId="35" fillId="0" borderId="137" applyNumberFormat="0" applyFill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23" fillId="27" borderId="135" applyNumberFormat="0" applyFont="0" applyAlignment="0" applyProtection="0"/>
    <xf numFmtId="0" fontId="35" fillId="0" borderId="137" applyNumberFormat="0" applyFill="0" applyAlignment="0" applyProtection="0"/>
    <xf numFmtId="0" fontId="33" fillId="39" borderId="136" applyNumberFormat="0" applyAlignment="0" applyProtection="0"/>
    <xf numFmtId="0" fontId="21" fillId="39" borderId="134" applyNumberFormat="0" applyAlignment="0" applyProtection="0"/>
    <xf numFmtId="0" fontId="33" fillId="39" borderId="136" applyNumberFormat="0" applyAlignment="0" applyProtection="0"/>
    <xf numFmtId="0" fontId="21" fillId="39" borderId="134" applyNumberFormat="0" applyAlignment="0" applyProtection="0"/>
    <xf numFmtId="0" fontId="35" fillId="0" borderId="137" applyNumberFormat="0" applyFill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21" fillId="39" borderId="134" applyNumberFormat="0" applyAlignment="0" applyProtection="0"/>
    <xf numFmtId="0" fontId="35" fillId="0" borderId="137" applyNumberFormat="0" applyFill="0" applyAlignment="0" applyProtection="0"/>
    <xf numFmtId="0" fontId="30" fillId="33" borderId="134" applyNumberFormat="0" applyAlignment="0" applyProtection="0"/>
    <xf numFmtId="0" fontId="21" fillId="39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0" fillId="33" borderId="134" applyNumberFormat="0" applyAlignment="0" applyProtection="0"/>
    <xf numFmtId="0" fontId="35" fillId="0" borderId="137" applyNumberFormat="0" applyFill="0" applyAlignment="0" applyProtection="0"/>
    <xf numFmtId="0" fontId="35" fillId="0" borderId="137" applyNumberFormat="0" applyFill="0" applyAlignment="0" applyProtection="0"/>
    <xf numFmtId="0" fontId="33" fillId="39" borderId="136" applyNumberFormat="0" applyAlignment="0" applyProtection="0"/>
    <xf numFmtId="0" fontId="23" fillId="27" borderId="135" applyNumberFormat="0" applyFont="0" applyAlignment="0" applyProtection="0"/>
    <xf numFmtId="0" fontId="35" fillId="0" borderId="137" applyNumberFormat="0" applyFill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23" fillId="27" borderId="135" applyNumberFormat="0" applyFont="0" applyAlignment="0" applyProtection="0"/>
    <xf numFmtId="0" fontId="35" fillId="0" borderId="137" applyNumberFormat="0" applyFill="0" applyAlignment="0" applyProtection="0"/>
    <xf numFmtId="0" fontId="33" fillId="39" borderId="136" applyNumberFormat="0" applyAlignment="0" applyProtection="0"/>
    <xf numFmtId="0" fontId="21" fillId="39" borderId="134" applyNumberFormat="0" applyAlignment="0" applyProtection="0"/>
    <xf numFmtId="0" fontId="33" fillId="39" borderId="136" applyNumberFormat="0" applyAlignment="0" applyProtection="0"/>
    <xf numFmtId="0" fontId="21" fillId="39" borderId="134" applyNumberFormat="0" applyAlignment="0" applyProtection="0"/>
    <xf numFmtId="0" fontId="35" fillId="0" borderId="137" applyNumberFormat="0" applyFill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21" fillId="39" borderId="134" applyNumberFormat="0" applyAlignment="0" applyProtection="0"/>
    <xf numFmtId="0" fontId="30" fillId="33" borderId="134" applyNumberFormat="0" applyAlignment="0" applyProtection="0"/>
    <xf numFmtId="0" fontId="23" fillId="27" borderId="135" applyNumberFormat="0" applyFont="0" applyAlignment="0" applyProtection="0"/>
    <xf numFmtId="0" fontId="33" fillId="39" borderId="136" applyNumberFormat="0" applyAlignment="0" applyProtection="0"/>
    <xf numFmtId="0" fontId="35" fillId="0" borderId="137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178" fontId="70" fillId="0" borderId="0" applyBorder="0" applyProtection="0"/>
    <xf numFmtId="0" fontId="93" fillId="0" borderId="0"/>
    <xf numFmtId="0" fontId="21" fillId="39" borderId="143" applyNumberFormat="0" applyAlignment="0" applyProtection="0"/>
    <xf numFmtId="0" fontId="30" fillId="33" borderId="143" applyNumberFormat="0" applyAlignment="0" applyProtection="0"/>
    <xf numFmtId="0" fontId="23" fillId="27" borderId="144" applyNumberFormat="0" applyFont="0" applyAlignment="0" applyProtection="0"/>
    <xf numFmtId="0" fontId="33" fillId="39" borderId="145" applyNumberFormat="0" applyAlignment="0" applyProtection="0"/>
    <xf numFmtId="0" fontId="35" fillId="0" borderId="146" applyNumberFormat="0" applyFill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0" fillId="33" borderId="147" applyNumberFormat="0" applyAlignment="0" applyProtection="0"/>
    <xf numFmtId="0" fontId="35" fillId="0" borderId="150" applyNumberFormat="0" applyFill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3" fillId="27" borderId="148" applyNumberFormat="0" applyFont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30" fillId="33" borderId="147" applyNumberFormat="0" applyAlignment="0" applyProtection="0"/>
    <xf numFmtId="0" fontId="23" fillId="27" borderId="144" applyNumberFormat="0" applyFont="0" applyAlignment="0" applyProtection="0"/>
    <xf numFmtId="0" fontId="30" fillId="33" borderId="147" applyNumberFormat="0" applyAlignment="0" applyProtection="0"/>
    <xf numFmtId="0" fontId="23" fillId="27" borderId="144" applyNumberFormat="0" applyFon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30" fillId="33" borderId="147" applyNumberFormat="0" applyAlignment="0" applyProtection="0"/>
    <xf numFmtId="0" fontId="23" fillId="27" borderId="144" applyNumberFormat="0" applyFont="0" applyAlignment="0" applyProtection="0"/>
    <xf numFmtId="0" fontId="33" fillId="39" borderId="145" applyNumberFormat="0" applyAlignment="0" applyProtection="0"/>
    <xf numFmtId="0" fontId="23" fillId="27" borderId="144" applyNumberFormat="0" applyFont="0" applyAlignment="0" applyProtection="0"/>
    <xf numFmtId="0" fontId="33" fillId="39" borderId="145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3" fillId="27" borderId="144" applyNumberFormat="0" applyFont="0" applyAlignment="0" applyProtection="0"/>
    <xf numFmtId="0" fontId="33" fillId="39" borderId="145" applyNumberFormat="0" applyAlignment="0" applyProtection="0"/>
    <xf numFmtId="0" fontId="30" fillId="33" borderId="147" applyNumberFormat="0" applyAlignment="0" applyProtection="0"/>
    <xf numFmtId="0" fontId="35" fillId="0" borderId="150" applyNumberFormat="0" applyFill="0" applyAlignment="0" applyProtection="0"/>
    <xf numFmtId="0" fontId="35" fillId="0" borderId="150" applyNumberFormat="0" applyFill="0" applyAlignment="0" applyProtection="0"/>
    <xf numFmtId="0" fontId="33" fillId="39" borderId="145" applyNumberFormat="0" applyAlignment="0" applyProtection="0"/>
    <xf numFmtId="0" fontId="23" fillId="27" borderId="144" applyNumberFormat="0" applyFont="0" applyAlignment="0" applyProtection="0"/>
    <xf numFmtId="0" fontId="35" fillId="0" borderId="150" applyNumberFormat="0" applyFill="0" applyAlignment="0" applyProtection="0"/>
    <xf numFmtId="0" fontId="23" fillId="27" borderId="144" applyNumberFormat="0" applyFont="0" applyAlignment="0" applyProtection="0"/>
    <xf numFmtId="0" fontId="33" fillId="39" borderId="145" applyNumberFormat="0" applyAlignment="0" applyProtection="0"/>
    <xf numFmtId="0" fontId="23" fillId="27" borderId="144" applyNumberFormat="0" applyFont="0" applyAlignment="0" applyProtection="0"/>
    <xf numFmtId="0" fontId="35" fillId="0" borderId="150" applyNumberFormat="0" applyFill="0" applyAlignment="0" applyProtection="0"/>
    <xf numFmtId="0" fontId="33" fillId="39" borderId="145" applyNumberFormat="0" applyAlignment="0" applyProtection="0"/>
    <xf numFmtId="0" fontId="21" fillId="39" borderId="147" applyNumberFormat="0" applyAlignment="0" applyProtection="0"/>
    <xf numFmtId="0" fontId="33" fillId="39" borderId="145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4" applyNumberFormat="0" applyFont="0" applyAlignment="0" applyProtection="0"/>
    <xf numFmtId="0" fontId="33" fillId="39" borderId="145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4" applyNumberFormat="0" applyFont="0" applyAlignment="0" applyProtection="0"/>
    <xf numFmtId="0" fontId="33" fillId="39" borderId="145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4" applyNumberFormat="0" applyFont="0" applyAlignment="0" applyProtection="0"/>
    <xf numFmtId="0" fontId="33" fillId="39" borderId="145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23" fillId="27" borderId="144" applyNumberFormat="0" applyFont="0" applyAlignment="0" applyProtection="0"/>
    <xf numFmtId="0" fontId="33" fillId="39" borderId="145" applyNumberFormat="0" applyAlignment="0" applyProtection="0"/>
    <xf numFmtId="0" fontId="23" fillId="27" borderId="144" applyNumberFormat="0" applyFont="0" applyAlignment="0" applyProtection="0"/>
    <xf numFmtId="0" fontId="33" fillId="39" borderId="145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0" fillId="33" borderId="147" applyNumberFormat="0" applyAlignment="0" applyProtection="0"/>
    <xf numFmtId="0" fontId="35" fillId="0" borderId="150" applyNumberFormat="0" applyFill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3" fillId="27" borderId="148" applyNumberFormat="0" applyFont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0" fillId="33" borderId="147" applyNumberFormat="0" applyAlignment="0" applyProtection="0"/>
    <xf numFmtId="0" fontId="35" fillId="0" borderId="150" applyNumberFormat="0" applyFill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3" fillId="27" borderId="148" applyNumberFormat="0" applyFont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0" fillId="33" borderId="147" applyNumberFormat="0" applyAlignment="0" applyProtection="0"/>
    <xf numFmtId="0" fontId="35" fillId="0" borderId="150" applyNumberFormat="0" applyFill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3" fillId="27" borderId="148" applyNumberFormat="0" applyFont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0" fillId="33" borderId="147" applyNumberFormat="0" applyAlignment="0" applyProtection="0"/>
    <xf numFmtId="0" fontId="35" fillId="0" borderId="150" applyNumberFormat="0" applyFill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3" fillId="27" borderId="148" applyNumberFormat="0" applyFont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3" fillId="39" borderId="149" applyNumberFormat="0" applyAlignment="0" applyProtection="0"/>
    <xf numFmtId="0" fontId="30" fillId="33" borderId="147" applyNumberFormat="0" applyAlignment="0" applyProtection="0"/>
    <xf numFmtId="0" fontId="35" fillId="0" borderId="150" applyNumberFormat="0" applyFill="0" applyAlignment="0" applyProtection="0"/>
    <xf numFmtId="0" fontId="23" fillId="27" borderId="148" applyNumberFormat="0" applyFon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35" fillId="0" borderId="150" applyNumberFormat="0" applyFill="0" applyAlignment="0" applyProtection="0"/>
    <xf numFmtId="0" fontId="23" fillId="27" borderId="148" applyNumberFormat="0" applyFont="0" applyAlignment="0" applyProtection="0"/>
    <xf numFmtId="0" fontId="21" fillId="39" borderId="147" applyNumberFormat="0" applyAlignment="0" applyProtection="0"/>
    <xf numFmtId="0" fontId="23" fillId="27" borderId="148" applyNumberFormat="0" applyFon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3" fillId="27" borderId="148" applyNumberFormat="0" applyFont="0" applyAlignment="0" applyProtection="0"/>
    <xf numFmtId="0" fontId="23" fillId="27" borderId="148" applyNumberFormat="0" applyFon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3" fillId="27" borderId="148" applyNumberFormat="0" applyFont="0" applyAlignment="0" applyProtection="0"/>
    <xf numFmtId="0" fontId="35" fillId="0" borderId="150" applyNumberFormat="0" applyFill="0" applyAlignment="0" applyProtection="0"/>
    <xf numFmtId="0" fontId="23" fillId="27" borderId="148" applyNumberFormat="0" applyFont="0" applyAlignment="0" applyProtection="0"/>
    <xf numFmtId="0" fontId="21" fillId="39" borderId="147" applyNumberForma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3" fillId="27" borderId="148" applyNumberFormat="0" applyFont="0" applyAlignment="0" applyProtection="0"/>
    <xf numFmtId="0" fontId="21" fillId="39" borderId="147" applyNumberFormat="0" applyAlignment="0" applyProtection="0"/>
    <xf numFmtId="0" fontId="23" fillId="27" borderId="148" applyNumberFormat="0" applyFont="0" applyAlignment="0" applyProtection="0"/>
    <xf numFmtId="0" fontId="23" fillId="27" borderId="148" applyNumberFormat="0" applyFon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35" fillId="0" borderId="150" applyNumberFormat="0" applyFill="0" applyAlignment="0" applyProtection="0"/>
    <xf numFmtId="0" fontId="23" fillId="27" borderId="148" applyNumberFormat="0" applyFont="0" applyAlignment="0" applyProtection="0"/>
    <xf numFmtId="0" fontId="21" fillId="39" borderId="147" applyNumberFormat="0" applyAlignment="0" applyProtection="0"/>
    <xf numFmtId="0" fontId="33" fillId="39" borderId="149" applyNumberFormat="0" applyAlignment="0" applyProtection="0"/>
    <xf numFmtId="0" fontId="30" fillId="33" borderId="147" applyNumberFormat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0" fillId="33" borderId="147" applyNumberFormat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33" fillId="39" borderId="149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30" fillId="33" borderId="147" applyNumberFormat="0" applyAlignment="0" applyProtection="0"/>
    <xf numFmtId="0" fontId="33" fillId="39" borderId="149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3" fillId="39" borderId="149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0" fillId="33" borderId="147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33" fillId="39" borderId="149" applyNumberFormat="0" applyAlignment="0" applyProtection="0"/>
    <xf numFmtId="0" fontId="30" fillId="33" borderId="147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3" fillId="27" borderId="148" applyNumberFormat="0" applyFon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23" fillId="27" borderId="148" applyNumberFormat="0" applyFont="0" applyAlignment="0" applyProtection="0"/>
    <xf numFmtId="0" fontId="35" fillId="0" borderId="150" applyNumberFormat="0" applyFill="0" applyAlignment="0" applyProtection="0"/>
    <xf numFmtId="0" fontId="23" fillId="27" borderId="148" applyNumberFormat="0" applyFont="0" applyAlignment="0" applyProtection="0"/>
    <xf numFmtId="0" fontId="35" fillId="0" borderId="150" applyNumberFormat="0" applyFill="0" applyAlignment="0" applyProtection="0"/>
    <xf numFmtId="0" fontId="35" fillId="0" borderId="150" applyNumberFormat="0" applyFill="0" applyAlignment="0" applyProtection="0"/>
    <xf numFmtId="0" fontId="23" fillId="27" borderId="148" applyNumberFormat="0" applyFont="0" applyAlignment="0" applyProtection="0"/>
    <xf numFmtId="0" fontId="30" fillId="33" borderId="147" applyNumberFormat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33" fillId="39" borderId="149" applyNumberFormat="0" applyAlignment="0" applyProtection="0"/>
    <xf numFmtId="0" fontId="33" fillId="39" borderId="149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30" fillId="33" borderId="147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30" fillId="33" borderId="147" applyNumberFormat="0" applyAlignment="0" applyProtection="0"/>
    <xf numFmtId="0" fontId="30" fillId="33" borderId="147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0" fillId="33" borderId="147" applyNumberFormat="0" applyAlignment="0" applyProtection="0"/>
    <xf numFmtId="0" fontId="35" fillId="0" borderId="150" applyNumberFormat="0" applyFill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3" fillId="27" borderId="148" applyNumberFormat="0" applyFont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0" fillId="33" borderId="147" applyNumberFormat="0" applyAlignment="0" applyProtection="0"/>
    <xf numFmtId="0" fontId="35" fillId="0" borderId="150" applyNumberFormat="0" applyFill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3" fillId="27" borderId="148" applyNumberFormat="0" applyFont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0" fillId="33" borderId="147" applyNumberFormat="0" applyAlignment="0" applyProtection="0"/>
    <xf numFmtId="0" fontId="35" fillId="0" borderId="150" applyNumberFormat="0" applyFill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3" fillId="27" borderId="148" applyNumberFormat="0" applyFont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30" fillId="33" borderId="147" applyNumberFormat="0" applyAlignment="0" applyProtection="0"/>
    <xf numFmtId="0" fontId="21" fillId="39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0" fillId="33" borderId="147" applyNumberFormat="0" applyAlignment="0" applyProtection="0"/>
    <xf numFmtId="0" fontId="35" fillId="0" borderId="150" applyNumberFormat="0" applyFill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3" fillId="27" borderId="148" applyNumberFormat="0" applyFon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3" fillId="27" borderId="148" applyNumberFormat="0" applyFont="0" applyAlignment="0" applyProtection="0"/>
    <xf numFmtId="0" fontId="35" fillId="0" borderId="150" applyNumberFormat="0" applyFill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3" fillId="39" borderId="149" applyNumberFormat="0" applyAlignment="0" applyProtection="0"/>
    <xf numFmtId="0" fontId="21" fillId="39" borderId="147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21" fillId="39" borderId="147" applyNumberFormat="0" applyAlignment="0" applyProtection="0"/>
    <xf numFmtId="0" fontId="30" fillId="33" borderId="147" applyNumberFormat="0" applyAlignment="0" applyProtection="0"/>
    <xf numFmtId="0" fontId="23" fillId="27" borderId="148" applyNumberFormat="0" applyFont="0" applyAlignment="0" applyProtection="0"/>
    <xf numFmtId="0" fontId="33" fillId="39" borderId="149" applyNumberFormat="0" applyAlignment="0" applyProtection="0"/>
    <xf numFmtId="0" fontId="35" fillId="0" borderId="150" applyNumberFormat="0" applyFill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3" fillId="39" borderId="145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3" fillId="39" borderId="145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33" fillId="39" borderId="145" applyNumberFormat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5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5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5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3" fillId="39" borderId="145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3" fillId="39" borderId="145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3" fillId="39" borderId="145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5" applyNumberFormat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3" fillId="39" borderId="145" applyNumberFormat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33" fillId="39" borderId="145" applyNumberForma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5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33" fillId="39" borderId="145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3" fillId="39" borderId="145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5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5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5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5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3" fillId="39" borderId="145" applyNumberFormat="0" applyAlignment="0" applyProtection="0"/>
    <xf numFmtId="0" fontId="33" fillId="39" borderId="145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5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33" fillId="39" borderId="145" applyNumberFormat="0" applyAlignment="0" applyProtection="0"/>
    <xf numFmtId="0" fontId="33" fillId="39" borderId="145" applyNumberFormat="0" applyAlignment="0" applyProtection="0"/>
    <xf numFmtId="0" fontId="23" fillId="27" borderId="139" applyNumberFormat="0" applyFont="0" applyAlignment="0" applyProtection="0"/>
    <xf numFmtId="0" fontId="33" fillId="39" borderId="145" applyNumberForma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33" fillId="39" borderId="145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3" fillId="39" borderId="145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5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3" fillId="39" borderId="145" applyNumberFormat="0" applyAlignment="0" applyProtection="0"/>
    <xf numFmtId="0" fontId="33" fillId="39" borderId="145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33" fillId="39" borderId="145" applyNumberFormat="0" applyAlignment="0" applyProtection="0"/>
    <xf numFmtId="0" fontId="33" fillId="39" borderId="145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5" applyNumberFormat="0" applyAlignment="0" applyProtection="0"/>
    <xf numFmtId="0" fontId="33" fillId="39" borderId="145" applyNumberFormat="0" applyAlignment="0" applyProtection="0"/>
    <xf numFmtId="0" fontId="30" fillId="33" borderId="138" applyNumberFormat="0" applyAlignment="0" applyProtection="0"/>
    <xf numFmtId="0" fontId="33" fillId="39" borderId="145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5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5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3" fillId="39" borderId="145" applyNumberFormat="0" applyAlignment="0" applyProtection="0"/>
    <xf numFmtId="0" fontId="33" fillId="39" borderId="145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3" fillId="39" borderId="145" applyNumberFormat="0" applyAlignment="0" applyProtection="0"/>
    <xf numFmtId="0" fontId="33" fillId="39" borderId="145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3" fillId="39" borderId="145" applyNumberFormat="0" applyAlignment="0" applyProtection="0"/>
    <xf numFmtId="0" fontId="33" fillId="39" borderId="145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3" fillId="39" borderId="145" applyNumberFormat="0" applyAlignment="0" applyProtection="0"/>
    <xf numFmtId="0" fontId="33" fillId="39" borderId="145" applyNumberFormat="0" applyAlignment="0" applyProtection="0"/>
    <xf numFmtId="0" fontId="35" fillId="0" borderId="141" applyNumberFormat="0" applyFill="0" applyAlignment="0" applyProtection="0"/>
    <xf numFmtId="0" fontId="33" fillId="39" borderId="145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5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3" fillId="39" borderId="145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3" fillId="39" borderId="145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30" fillId="33" borderId="138" applyNumberFormat="0" applyAlignment="0" applyProtection="0"/>
    <xf numFmtId="0" fontId="21" fillId="39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0" fillId="33" borderId="138" applyNumberFormat="0" applyAlignment="0" applyProtection="0"/>
    <xf numFmtId="0" fontId="35" fillId="0" borderId="141" applyNumberFormat="0" applyFill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3" fillId="27" borderId="139" applyNumberFormat="0" applyFont="0" applyAlignment="0" applyProtection="0"/>
    <xf numFmtId="0" fontId="35" fillId="0" borderId="141" applyNumberFormat="0" applyFill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3" fillId="39" borderId="140" applyNumberFormat="0" applyAlignment="0" applyProtection="0"/>
    <xf numFmtId="0" fontId="21" fillId="39" borderId="138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0" fontId="21" fillId="39" borderId="138" applyNumberFormat="0" applyAlignment="0" applyProtection="0"/>
    <xf numFmtId="0" fontId="30" fillId="33" borderId="138" applyNumberFormat="0" applyAlignment="0" applyProtection="0"/>
    <xf numFmtId="0" fontId="23" fillId="27" borderId="139" applyNumberFormat="0" applyFont="0" applyAlignment="0" applyProtection="0"/>
    <xf numFmtId="0" fontId="33" fillId="39" borderId="140" applyNumberFormat="0" applyAlignment="0" applyProtection="0"/>
    <xf numFmtId="0" fontId="35" fillId="0" borderId="141" applyNumberFormat="0" applyFill="0" applyAlignment="0" applyProtection="0"/>
    <xf numFmtId="44" fontId="40" fillId="0" borderId="0" applyFont="0" applyFill="0" applyBorder="0" applyAlignment="0" applyProtection="0"/>
  </cellStyleXfs>
  <cellXfs count="762">
    <xf numFmtId="0" fontId="0" fillId="0" borderId="0" xfId="0"/>
    <xf numFmtId="0" fontId="0" fillId="0" borderId="0" xfId="0" applyAlignment="1">
      <alignment horizontal="right" vertical="center"/>
    </xf>
    <xf numFmtId="0" fontId="13" fillId="0" borderId="7" xfId="0" applyFont="1" applyBorder="1" applyAlignment="1">
      <alignment horizontal="left" vertical="top" wrapText="1"/>
    </xf>
    <xf numFmtId="168" fontId="13" fillId="0" borderId="7" xfId="0" applyNumberFormat="1" applyFont="1" applyBorder="1" applyAlignment="1">
      <alignment horizontal="left" vertical="top" shrinkToFit="1"/>
    </xf>
    <xf numFmtId="0" fontId="11" fillId="21" borderId="0" xfId="1" applyFont="1" applyFill="1" applyAlignment="1">
      <alignment horizontal="center"/>
    </xf>
    <xf numFmtId="0" fontId="11" fillId="0" borderId="0" xfId="1" applyFont="1" applyAlignment="1">
      <alignment horizontal="center" vertical="center"/>
    </xf>
    <xf numFmtId="0" fontId="9" fillId="21" borderId="23" xfId="0" applyFont="1" applyFill="1" applyBorder="1" applyAlignment="1">
      <alignment horizontal="center" vertical="center" wrapText="1"/>
    </xf>
    <xf numFmtId="0" fontId="9" fillId="21" borderId="23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4" fontId="9" fillId="0" borderId="23" xfId="0" applyNumberFormat="1" applyFont="1" applyBorder="1" applyAlignment="1">
      <alignment horizontal="center" vertical="center"/>
    </xf>
    <xf numFmtId="167" fontId="9" fillId="21" borderId="23" xfId="0" applyNumberFormat="1" applyFont="1" applyFill="1" applyBorder="1" applyAlignment="1">
      <alignment horizontal="center" vertical="center"/>
    </xf>
    <xf numFmtId="0" fontId="7" fillId="21" borderId="23" xfId="0" applyFont="1" applyFill="1" applyBorder="1" applyAlignment="1">
      <alignment horizontal="center"/>
    </xf>
    <xf numFmtId="166" fontId="9" fillId="0" borderId="23" xfId="0" applyNumberFormat="1" applyFont="1" applyBorder="1" applyAlignment="1">
      <alignment horizontal="center" vertical="center"/>
    </xf>
    <xf numFmtId="0" fontId="11" fillId="21" borderId="0" xfId="1" applyFont="1" applyFill="1" applyAlignment="1">
      <alignment horizontal="center" vertical="center"/>
    </xf>
    <xf numFmtId="170" fontId="9" fillId="0" borderId="23" xfId="0" applyNumberFormat="1" applyFont="1" applyBorder="1" applyAlignment="1">
      <alignment horizontal="center" vertical="center"/>
    </xf>
    <xf numFmtId="166" fontId="9" fillId="21" borderId="23" xfId="0" applyNumberFormat="1" applyFont="1" applyFill="1" applyBorder="1" applyAlignment="1">
      <alignment horizontal="center" vertical="center"/>
    </xf>
    <xf numFmtId="170" fontId="9" fillId="21" borderId="23" xfId="0" applyNumberFormat="1" applyFont="1" applyFill="1" applyBorder="1" applyAlignment="1">
      <alignment horizontal="center" vertical="center"/>
    </xf>
    <xf numFmtId="0" fontId="7" fillId="21" borderId="23" xfId="0" applyFont="1" applyFill="1" applyBorder="1" applyAlignment="1">
      <alignment horizontal="center" vertical="center"/>
    </xf>
    <xf numFmtId="0" fontId="9" fillId="8" borderId="23" xfId="0" applyFont="1" applyFill="1" applyBorder="1" applyAlignment="1">
      <alignment horizontal="center" vertical="center" wrapText="1"/>
    </xf>
    <xf numFmtId="0" fontId="9" fillId="42" borderId="23" xfId="0" applyFont="1" applyFill="1" applyBorder="1" applyAlignment="1">
      <alignment horizontal="center" vertical="center" wrapText="1"/>
    </xf>
    <xf numFmtId="0" fontId="43" fillId="21" borderId="23" xfId="0" applyFont="1" applyFill="1" applyBorder="1" applyAlignment="1">
      <alignment horizontal="center" vertical="center" wrapText="1"/>
    </xf>
    <xf numFmtId="0" fontId="7" fillId="21" borderId="0" xfId="0" applyFont="1" applyFill="1" applyAlignment="1">
      <alignment horizontal="center" vertical="center"/>
    </xf>
    <xf numFmtId="8" fontId="44" fillId="0" borderId="23" xfId="0" applyNumberFormat="1" applyFont="1" applyBorder="1" applyAlignment="1">
      <alignment horizontal="center" vertical="center" wrapText="1"/>
    </xf>
    <xf numFmtId="167" fontId="9" fillId="21" borderId="2" xfId="0" applyNumberFormat="1" applyFont="1" applyFill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/>
    </xf>
    <xf numFmtId="166" fontId="43" fillId="0" borderId="29" xfId="0" applyNumberFormat="1" applyFont="1" applyBorder="1" applyAlignment="1">
      <alignment horizontal="center" vertical="center"/>
    </xf>
    <xf numFmtId="0" fontId="7" fillId="21" borderId="29" xfId="0" applyFont="1" applyFill="1" applyBorder="1" applyAlignment="1">
      <alignment horizontal="center" vertical="center"/>
    </xf>
    <xf numFmtId="49" fontId="38" fillId="0" borderId="28" xfId="0" applyNumberFormat="1" applyFont="1" applyBorder="1" applyAlignment="1">
      <alignment horizontal="center" vertical="center"/>
    </xf>
    <xf numFmtId="0" fontId="43" fillId="21" borderId="29" xfId="0" applyFont="1" applyFill="1" applyBorder="1" applyAlignment="1">
      <alignment horizontal="center" vertical="center" wrapText="1"/>
    </xf>
    <xf numFmtId="0" fontId="43" fillId="21" borderId="29" xfId="0" applyFont="1" applyFill="1" applyBorder="1" applyAlignment="1">
      <alignment horizontal="center" vertical="center"/>
    </xf>
    <xf numFmtId="167" fontId="43" fillId="21" borderId="29" xfId="0" applyNumberFormat="1" applyFont="1" applyFill="1" applyBorder="1" applyAlignment="1">
      <alignment horizontal="center" vertical="center"/>
    </xf>
    <xf numFmtId="0" fontId="43" fillId="0" borderId="29" xfId="0" applyFont="1" applyBorder="1" applyAlignment="1">
      <alignment horizontal="center" vertical="center" wrapText="1"/>
    </xf>
    <xf numFmtId="14" fontId="43" fillId="21" borderId="29" xfId="0" applyNumberFormat="1" applyFont="1" applyFill="1" applyBorder="1" applyAlignment="1">
      <alignment horizontal="center" vertical="center" wrapText="1"/>
    </xf>
    <xf numFmtId="1" fontId="43" fillId="0" borderId="29" xfId="0" applyNumberFormat="1" applyFont="1" applyBorder="1" applyAlignment="1">
      <alignment horizontal="center" vertical="center"/>
    </xf>
    <xf numFmtId="4" fontId="43" fillId="0" borderId="29" xfId="0" applyNumberFormat="1" applyFont="1" applyBorder="1" applyAlignment="1">
      <alignment horizontal="center" vertical="center"/>
    </xf>
    <xf numFmtId="14" fontId="43" fillId="0" borderId="29" xfId="0" applyNumberFormat="1" applyFont="1" applyBorder="1" applyAlignment="1">
      <alignment horizontal="center" vertical="center" wrapText="1"/>
    </xf>
    <xf numFmtId="170" fontId="7" fillId="0" borderId="29" xfId="0" applyNumberFormat="1" applyFont="1" applyBorder="1" applyAlignment="1">
      <alignment horizontal="center" vertical="center"/>
    </xf>
    <xf numFmtId="0" fontId="6" fillId="15" borderId="29" xfId="0" applyFont="1" applyFill="1" applyBorder="1" applyAlignment="1">
      <alignment horizontal="center" vertical="center"/>
    </xf>
    <xf numFmtId="0" fontId="7" fillId="21" borderId="31" xfId="0" applyFont="1" applyFill="1" applyBorder="1" applyAlignment="1">
      <alignment horizontal="center" vertical="center"/>
    </xf>
    <xf numFmtId="4" fontId="43" fillId="21" borderId="29" xfId="0" applyNumberFormat="1" applyFont="1" applyFill="1" applyBorder="1" applyAlignment="1">
      <alignment horizontal="center" vertical="center"/>
    </xf>
    <xf numFmtId="170" fontId="43" fillId="21" borderId="29" xfId="0" applyNumberFormat="1" applyFont="1" applyFill="1" applyBorder="1" applyAlignment="1">
      <alignment horizontal="center" vertical="center"/>
    </xf>
    <xf numFmtId="0" fontId="7" fillId="21" borderId="29" xfId="0" applyFont="1" applyFill="1" applyBorder="1" applyAlignment="1">
      <alignment horizontal="center" vertical="center" wrapText="1"/>
    </xf>
    <xf numFmtId="167" fontId="43" fillId="21" borderId="2" xfId="0" applyNumberFormat="1" applyFont="1" applyFill="1" applyBorder="1" applyAlignment="1">
      <alignment horizontal="center" vertical="center"/>
    </xf>
    <xf numFmtId="169" fontId="13" fillId="0" borderId="0" xfId="0" applyNumberFormat="1" applyFont="1" applyAlignment="1">
      <alignment horizontal="left" vertical="center" shrinkToFit="1"/>
    </xf>
    <xf numFmtId="0" fontId="51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49" fillId="0" borderId="0" xfId="3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170" fontId="7" fillId="21" borderId="29" xfId="0" applyNumberFormat="1" applyFont="1" applyFill="1" applyBorder="1" applyAlignment="1">
      <alignment horizontal="center" vertical="center"/>
    </xf>
    <xf numFmtId="1" fontId="43" fillId="0" borderId="36" xfId="0" applyNumberFormat="1" applyFont="1" applyBorder="1" applyAlignment="1">
      <alignment horizontal="center" vertical="center"/>
    </xf>
    <xf numFmtId="4" fontId="43" fillId="0" borderId="36" xfId="0" applyNumberFormat="1" applyFont="1" applyBorder="1" applyAlignment="1">
      <alignment horizontal="center" vertical="center"/>
    </xf>
    <xf numFmtId="0" fontId="7" fillId="21" borderId="2" xfId="0" applyFont="1" applyFill="1" applyBorder="1" applyAlignment="1">
      <alignment horizontal="center"/>
    </xf>
    <xf numFmtId="0" fontId="43" fillId="21" borderId="35" xfId="0" applyFont="1" applyFill="1" applyBorder="1" applyAlignment="1">
      <alignment horizontal="center" vertical="center" wrapText="1"/>
    </xf>
    <xf numFmtId="0" fontId="7" fillId="21" borderId="35" xfId="0" applyFont="1" applyFill="1" applyBorder="1" applyAlignment="1">
      <alignment horizontal="center" vertical="center" wrapText="1"/>
    </xf>
    <xf numFmtId="0" fontId="43" fillId="21" borderId="35" xfId="0" applyFont="1" applyFill="1" applyBorder="1" applyAlignment="1">
      <alignment horizontal="center" vertical="center"/>
    </xf>
    <xf numFmtId="167" fontId="43" fillId="21" borderId="35" xfId="0" applyNumberFormat="1" applyFont="1" applyFill="1" applyBorder="1" applyAlignment="1">
      <alignment horizontal="center" vertical="center"/>
    </xf>
    <xf numFmtId="166" fontId="43" fillId="0" borderId="35" xfId="0" applyNumberFormat="1" applyFont="1" applyBorder="1" applyAlignment="1">
      <alignment horizontal="center" vertical="center"/>
    </xf>
    <xf numFmtId="0" fontId="43" fillId="45" borderId="35" xfId="0" applyFont="1" applyFill="1" applyBorder="1" applyAlignment="1">
      <alignment horizontal="center" vertical="center" wrapText="1"/>
    </xf>
    <xf numFmtId="14" fontId="43" fillId="21" borderId="35" xfId="0" applyNumberFormat="1" applyFont="1" applyFill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0" fontId="7" fillId="21" borderId="35" xfId="0" applyFont="1" applyFill="1" applyBorder="1" applyAlignment="1">
      <alignment horizontal="center" vertical="center"/>
    </xf>
    <xf numFmtId="170" fontId="7" fillId="0" borderId="35" xfId="0" applyNumberFormat="1" applyFont="1" applyBorder="1" applyAlignment="1">
      <alignment horizontal="center" vertical="center"/>
    </xf>
    <xf numFmtId="1" fontId="43" fillId="0" borderId="35" xfId="0" applyNumberFormat="1" applyFont="1" applyBorder="1" applyAlignment="1">
      <alignment horizontal="center" vertical="center"/>
    </xf>
    <xf numFmtId="4" fontId="43" fillId="0" borderId="35" xfId="0" applyNumberFormat="1" applyFont="1" applyBorder="1" applyAlignment="1">
      <alignment horizontal="center" vertical="center"/>
    </xf>
    <xf numFmtId="49" fontId="38" fillId="0" borderId="35" xfId="0" applyNumberFormat="1" applyFont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0" fillId="15" borderId="0" xfId="0" applyFill="1"/>
    <xf numFmtId="0" fontId="0" fillId="8" borderId="0" xfId="0" applyFill="1"/>
    <xf numFmtId="0" fontId="0" fillId="16" borderId="0" xfId="0" applyFill="1"/>
    <xf numFmtId="0" fontId="0" fillId="6" borderId="0" xfId="0" applyFill="1"/>
    <xf numFmtId="0" fontId="0" fillId="3" borderId="0" xfId="0" applyFill="1"/>
    <xf numFmtId="0" fontId="0" fillId="18" borderId="0" xfId="0" applyFill="1"/>
    <xf numFmtId="0" fontId="0" fillId="10" borderId="0" xfId="0" applyFill="1"/>
    <xf numFmtId="0" fontId="0" fillId="14" borderId="0" xfId="0" applyFill="1"/>
    <xf numFmtId="0" fontId="0" fillId="9" borderId="0" xfId="0" applyFill="1"/>
    <xf numFmtId="0" fontId="0" fillId="5" borderId="0" xfId="0" applyFill="1"/>
    <xf numFmtId="0" fontId="15" fillId="48" borderId="0" xfId="0" applyFont="1" applyFill="1" applyAlignment="1">
      <alignment horizontal="center" vertical="center"/>
    </xf>
    <xf numFmtId="0" fontId="0" fillId="4" borderId="0" xfId="0" applyFill="1"/>
    <xf numFmtId="0" fontId="0" fillId="2" borderId="0" xfId="0" applyFill="1"/>
    <xf numFmtId="0" fontId="0" fillId="7" borderId="0" xfId="0" applyFill="1"/>
    <xf numFmtId="0" fontId="2" fillId="12" borderId="0" xfId="0" applyFont="1" applyFill="1"/>
    <xf numFmtId="0" fontId="0" fillId="13" borderId="0" xfId="0" applyFill="1"/>
    <xf numFmtId="0" fontId="0" fillId="19" borderId="0" xfId="0" applyFill="1"/>
    <xf numFmtId="0" fontId="0" fillId="11" borderId="0" xfId="0" applyFill="1"/>
    <xf numFmtId="0" fontId="15" fillId="17" borderId="0" xfId="0" applyFont="1" applyFill="1" applyAlignment="1">
      <alignment horizontal="center" vertical="center"/>
    </xf>
    <xf numFmtId="0" fontId="15" fillId="20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14" fontId="11" fillId="0" borderId="0" xfId="1" applyNumberFormat="1" applyFont="1" applyAlignment="1">
      <alignment horizontal="center" vertical="center"/>
    </xf>
    <xf numFmtId="0" fontId="47" fillId="21" borderId="0" xfId="1" applyFont="1" applyFill="1" applyAlignment="1">
      <alignment horizontal="center" vertical="center"/>
    </xf>
    <xf numFmtId="170" fontId="47" fillId="0" borderId="0" xfId="1" applyNumberFormat="1" applyFont="1" applyAlignment="1">
      <alignment horizontal="center" vertical="center"/>
    </xf>
    <xf numFmtId="1" fontId="11" fillId="0" borderId="0" xfId="1" applyNumberFormat="1" applyFont="1" applyAlignment="1">
      <alignment horizontal="center" vertical="center"/>
    </xf>
    <xf numFmtId="0" fontId="48" fillId="21" borderId="0" xfId="1" applyFont="1" applyFill="1" applyAlignment="1">
      <alignment horizontal="center" vertical="center"/>
    </xf>
    <xf numFmtId="170" fontId="7" fillId="21" borderId="35" xfId="0" applyNumberFormat="1" applyFont="1" applyFill="1" applyBorder="1" applyAlignment="1">
      <alignment horizontal="center" vertical="center"/>
    </xf>
    <xf numFmtId="166" fontId="43" fillId="21" borderId="35" xfId="0" applyNumberFormat="1" applyFont="1" applyFill="1" applyBorder="1" applyAlignment="1">
      <alignment horizontal="center" vertical="center"/>
    </xf>
    <xf numFmtId="170" fontId="43" fillId="21" borderId="35" xfId="0" applyNumberFormat="1" applyFont="1" applyFill="1" applyBorder="1" applyAlignment="1">
      <alignment horizontal="center" vertical="center"/>
    </xf>
    <xf numFmtId="4" fontId="43" fillId="21" borderId="35" xfId="0" applyNumberFormat="1" applyFont="1" applyFill="1" applyBorder="1" applyAlignment="1">
      <alignment horizontal="center" vertical="center"/>
    </xf>
    <xf numFmtId="167" fontId="43" fillId="21" borderId="35" xfId="0" applyNumberFormat="1" applyFont="1" applyFill="1" applyBorder="1" applyAlignment="1">
      <alignment horizontal="center" vertical="center" wrapText="1"/>
    </xf>
    <xf numFmtId="0" fontId="38" fillId="21" borderId="25" xfId="0" applyFont="1" applyFill="1" applyBorder="1" applyAlignment="1">
      <alignment horizontal="center" vertical="center" wrapText="1"/>
    </xf>
    <xf numFmtId="0" fontId="46" fillId="21" borderId="25" xfId="0" applyFont="1" applyFill="1" applyBorder="1" applyAlignment="1">
      <alignment horizontal="center" vertical="center" wrapText="1"/>
    </xf>
    <xf numFmtId="0" fontId="43" fillId="21" borderId="25" xfId="0" applyFont="1" applyFill="1" applyBorder="1" applyAlignment="1">
      <alignment horizontal="center" vertical="center" wrapText="1"/>
    </xf>
    <xf numFmtId="0" fontId="43" fillId="21" borderId="25" xfId="0" applyFont="1" applyFill="1" applyBorder="1" applyAlignment="1">
      <alignment horizontal="center" vertical="center"/>
    </xf>
    <xf numFmtId="167" fontId="43" fillId="21" borderId="25" xfId="0" applyNumberFormat="1" applyFont="1" applyFill="1" applyBorder="1" applyAlignment="1">
      <alignment horizontal="center" vertical="center"/>
    </xf>
    <xf numFmtId="14" fontId="43" fillId="21" borderId="25" xfId="0" applyNumberFormat="1" applyFont="1" applyFill="1" applyBorder="1" applyAlignment="1">
      <alignment horizontal="center" vertical="center"/>
    </xf>
    <xf numFmtId="166" fontId="46" fillId="21" borderId="25" xfId="0" applyNumberFormat="1" applyFont="1" applyFill="1" applyBorder="1" applyAlignment="1">
      <alignment horizontal="center" vertical="center"/>
    </xf>
    <xf numFmtId="170" fontId="43" fillId="21" borderId="25" xfId="0" applyNumberFormat="1" applyFont="1" applyFill="1" applyBorder="1" applyAlignment="1">
      <alignment horizontal="center" vertical="center"/>
    </xf>
    <xf numFmtId="4" fontId="43" fillId="21" borderId="25" xfId="0" applyNumberFormat="1" applyFont="1" applyFill="1" applyBorder="1" applyAlignment="1">
      <alignment horizontal="center" vertical="center"/>
    </xf>
    <xf numFmtId="0" fontId="41" fillId="11" borderId="25" xfId="0" applyFont="1" applyFill="1" applyBorder="1" applyAlignment="1">
      <alignment horizontal="center" vertical="center"/>
    </xf>
    <xf numFmtId="14" fontId="43" fillId="0" borderId="35" xfId="0" applyNumberFormat="1" applyFont="1" applyBorder="1" applyAlignment="1">
      <alignment horizontal="center" vertical="center" wrapText="1"/>
    </xf>
    <xf numFmtId="0" fontId="43" fillId="8" borderId="35" xfId="0" applyFont="1" applyFill="1" applyBorder="1" applyAlignment="1">
      <alignment horizontal="center" vertical="center" wrapText="1"/>
    </xf>
    <xf numFmtId="0" fontId="7" fillId="13" borderId="35" xfId="0" applyFont="1" applyFill="1" applyBorder="1" applyAlignment="1">
      <alignment horizontal="center" vertical="center" wrapText="1"/>
    </xf>
    <xf numFmtId="167" fontId="43" fillId="0" borderId="35" xfId="0" applyNumberFormat="1" applyFont="1" applyBorder="1" applyAlignment="1">
      <alignment horizontal="center" vertical="center"/>
    </xf>
    <xf numFmtId="0" fontId="46" fillId="21" borderId="35" xfId="0" applyFont="1" applyFill="1" applyBorder="1" applyAlignment="1">
      <alignment horizontal="center" vertical="center"/>
    </xf>
    <xf numFmtId="166" fontId="7" fillId="0" borderId="35" xfId="0" applyNumberFormat="1" applyFont="1" applyBorder="1" applyAlignment="1">
      <alignment horizontal="center" vertical="center" wrapText="1"/>
    </xf>
    <xf numFmtId="0" fontId="43" fillId="42" borderId="35" xfId="0" applyFont="1" applyFill="1" applyBorder="1" applyAlignment="1">
      <alignment horizontal="center" vertical="center" wrapText="1"/>
    </xf>
    <xf numFmtId="0" fontId="43" fillId="43" borderId="35" xfId="0" applyFont="1" applyFill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/>
    </xf>
    <xf numFmtId="0" fontId="9" fillId="21" borderId="35" xfId="0" applyFont="1" applyFill="1" applyBorder="1" applyAlignment="1">
      <alignment horizontal="center" vertical="center" wrapText="1"/>
    </xf>
    <xf numFmtId="0" fontId="9" fillId="21" borderId="35" xfId="0" applyFont="1" applyFill="1" applyBorder="1" applyAlignment="1">
      <alignment horizontal="center" vertical="center"/>
    </xf>
    <xf numFmtId="167" fontId="9" fillId="21" borderId="35" xfId="0" applyNumberFormat="1" applyFont="1" applyFill="1" applyBorder="1" applyAlignment="1">
      <alignment horizontal="center" vertical="center"/>
    </xf>
    <xf numFmtId="0" fontId="7" fillId="13" borderId="35" xfId="0" applyFont="1" applyFill="1" applyBorder="1" applyAlignment="1">
      <alignment horizontal="center" vertical="center"/>
    </xf>
    <xf numFmtId="166" fontId="10" fillId="21" borderId="35" xfId="0" applyNumberFormat="1" applyFont="1" applyFill="1" applyBorder="1" applyAlignment="1">
      <alignment horizontal="center" vertical="center"/>
    </xf>
    <xf numFmtId="166" fontId="9" fillId="21" borderId="35" xfId="0" applyNumberFormat="1" applyFont="1" applyFill="1" applyBorder="1" applyAlignment="1">
      <alignment horizontal="center" vertical="center"/>
    </xf>
    <xf numFmtId="4" fontId="9" fillId="0" borderId="35" xfId="0" applyNumberFormat="1" applyFont="1" applyBorder="1" applyAlignment="1">
      <alignment horizontal="center" vertical="center"/>
    </xf>
    <xf numFmtId="0" fontId="7" fillId="21" borderId="35" xfId="0" applyFont="1" applyFill="1" applyBorder="1" applyAlignment="1">
      <alignment vertical="center"/>
    </xf>
    <xf numFmtId="15" fontId="43" fillId="21" borderId="35" xfId="0" applyNumberFormat="1" applyFont="1" applyFill="1" applyBorder="1" applyAlignment="1">
      <alignment horizontal="center" vertical="center" wrapText="1"/>
    </xf>
    <xf numFmtId="14" fontId="8" fillId="0" borderId="35" xfId="0" applyNumberFormat="1" applyFont="1" applyBorder="1" applyAlignment="1">
      <alignment horizontal="center" vertical="center"/>
    </xf>
    <xf numFmtId="4" fontId="43" fillId="0" borderId="37" xfId="0" applyNumberFormat="1" applyFont="1" applyBorder="1" applyAlignment="1">
      <alignment horizontal="center" vertical="center"/>
    </xf>
    <xf numFmtId="0" fontId="43" fillId="21" borderId="38" xfId="0" applyFont="1" applyFill="1" applyBorder="1" applyAlignment="1">
      <alignment horizontal="center" vertical="center" wrapText="1"/>
    </xf>
    <xf numFmtId="0" fontId="43" fillId="0" borderId="38" xfId="0" applyFont="1" applyBorder="1" applyAlignment="1">
      <alignment horizontal="center" vertical="center" wrapText="1"/>
    </xf>
    <xf numFmtId="166" fontId="43" fillId="0" borderId="38" xfId="0" applyNumberFormat="1" applyFont="1" applyBorder="1" applyAlignment="1">
      <alignment horizontal="center" vertical="center"/>
    </xf>
    <xf numFmtId="14" fontId="43" fillId="21" borderId="38" xfId="0" applyNumberFormat="1" applyFont="1" applyFill="1" applyBorder="1" applyAlignment="1">
      <alignment horizontal="center" vertical="center" wrapText="1"/>
    </xf>
    <xf numFmtId="166" fontId="9" fillId="0" borderId="38" xfId="0" applyNumberFormat="1" applyFont="1" applyBorder="1" applyAlignment="1">
      <alignment horizontal="center" vertical="center"/>
    </xf>
    <xf numFmtId="0" fontId="9" fillId="21" borderId="38" xfId="0" applyFont="1" applyFill="1" applyBorder="1" applyAlignment="1">
      <alignment horizontal="center" vertical="center" wrapText="1"/>
    </xf>
    <xf numFmtId="16" fontId="9" fillId="21" borderId="38" xfId="0" applyNumberFormat="1" applyFont="1" applyFill="1" applyBorder="1" applyAlignment="1">
      <alignment horizontal="center" vertical="center" wrapText="1"/>
    </xf>
    <xf numFmtId="0" fontId="10" fillId="21" borderId="38" xfId="0" applyFont="1" applyFill="1" applyBorder="1" applyAlignment="1">
      <alignment horizontal="center" vertical="center" wrapText="1"/>
    </xf>
    <xf numFmtId="0" fontId="9" fillId="21" borderId="38" xfId="0" applyFont="1" applyFill="1" applyBorder="1" applyAlignment="1">
      <alignment horizontal="center" vertical="center"/>
    </xf>
    <xf numFmtId="167" fontId="9" fillId="21" borderId="38" xfId="0" applyNumberFormat="1" applyFont="1" applyFill="1" applyBorder="1" applyAlignment="1">
      <alignment horizontal="center" vertical="center"/>
    </xf>
    <xf numFmtId="0" fontId="10" fillId="0" borderId="38" xfId="0" applyFont="1" applyBorder="1" applyAlignment="1">
      <alignment horizontal="center" vertical="center" wrapText="1"/>
    </xf>
    <xf numFmtId="14" fontId="43" fillId="8" borderId="38" xfId="0" applyNumberFormat="1" applyFont="1" applyFill="1" applyBorder="1" applyAlignment="1">
      <alignment horizontal="center" vertical="center"/>
    </xf>
    <xf numFmtId="14" fontId="7" fillId="21" borderId="35" xfId="0" applyNumberFormat="1" applyFont="1" applyFill="1" applyBorder="1" applyAlignment="1">
      <alignment horizontal="center" vertical="center"/>
    </xf>
    <xf numFmtId="166" fontId="7" fillId="0" borderId="35" xfId="0" applyNumberFormat="1" applyFont="1" applyBorder="1" applyAlignment="1">
      <alignment horizontal="center" vertical="center"/>
    </xf>
    <xf numFmtId="0" fontId="7" fillId="21" borderId="39" xfId="0" applyFont="1" applyFill="1" applyBorder="1" applyAlignment="1">
      <alignment horizontal="center" vertical="center"/>
    </xf>
    <xf numFmtId="170" fontId="43" fillId="21" borderId="5" xfId="0" applyNumberFormat="1" applyFont="1" applyFill="1" applyBorder="1" applyAlignment="1">
      <alignment horizontal="center" vertical="center"/>
    </xf>
    <xf numFmtId="4" fontId="43" fillId="21" borderId="5" xfId="0" applyNumberFormat="1" applyFont="1" applyFill="1" applyBorder="1" applyAlignment="1">
      <alignment horizontal="center" vertical="center"/>
    </xf>
    <xf numFmtId="0" fontId="43" fillId="0" borderId="40" xfId="0" applyFont="1" applyBorder="1" applyAlignment="1">
      <alignment horizontal="center" vertical="center" wrapText="1"/>
    </xf>
    <xf numFmtId="0" fontId="9" fillId="21" borderId="42" xfId="0" applyFont="1" applyFill="1" applyBorder="1" applyAlignment="1">
      <alignment horizontal="center" vertical="center" wrapText="1"/>
    </xf>
    <xf numFmtId="0" fontId="9" fillId="21" borderId="42" xfId="0" applyFont="1" applyFill="1" applyBorder="1" applyAlignment="1">
      <alignment horizontal="center" vertical="center"/>
    </xf>
    <xf numFmtId="167" fontId="9" fillId="21" borderId="42" xfId="0" applyNumberFormat="1" applyFont="1" applyFill="1" applyBorder="1" applyAlignment="1">
      <alignment horizontal="center" vertical="center"/>
    </xf>
    <xf numFmtId="166" fontId="9" fillId="0" borderId="42" xfId="0" applyNumberFormat="1" applyFont="1" applyBorder="1" applyAlignment="1">
      <alignment horizontal="center" vertical="center"/>
    </xf>
    <xf numFmtId="16" fontId="9" fillId="21" borderId="42" xfId="0" applyNumberFormat="1" applyFont="1" applyFill="1" applyBorder="1" applyAlignment="1">
      <alignment horizontal="center" vertical="center" wrapText="1"/>
    </xf>
    <xf numFmtId="4" fontId="43" fillId="0" borderId="43" xfId="0" applyNumberFormat="1" applyFont="1" applyBorder="1" applyAlignment="1">
      <alignment horizontal="center" vertical="center"/>
    </xf>
    <xf numFmtId="167" fontId="39" fillId="21" borderId="35" xfId="0" applyNumberFormat="1" applyFont="1" applyFill="1" applyBorder="1" applyAlignment="1">
      <alignment horizontal="center" vertical="center"/>
    </xf>
    <xf numFmtId="16" fontId="43" fillId="21" borderId="35" xfId="0" applyNumberFormat="1" applyFont="1" applyFill="1" applyBorder="1" applyAlignment="1">
      <alignment horizontal="center" vertical="center" wrapText="1"/>
    </xf>
    <xf numFmtId="0" fontId="43" fillId="21" borderId="44" xfId="0" applyFont="1" applyFill="1" applyBorder="1" applyAlignment="1">
      <alignment horizontal="center" vertical="center" wrapText="1"/>
    </xf>
    <xf numFmtId="0" fontId="7" fillId="21" borderId="44" xfId="0" applyFont="1" applyFill="1" applyBorder="1" applyAlignment="1">
      <alignment horizontal="center" vertical="center" wrapText="1"/>
    </xf>
    <xf numFmtId="0" fontId="43" fillId="0" borderId="44" xfId="0" applyFont="1" applyBorder="1" applyAlignment="1">
      <alignment horizontal="center" vertical="center" wrapText="1"/>
    </xf>
    <xf numFmtId="0" fontId="43" fillId="21" borderId="44" xfId="0" applyFont="1" applyFill="1" applyBorder="1" applyAlignment="1">
      <alignment horizontal="center" vertical="center"/>
    </xf>
    <xf numFmtId="0" fontId="7" fillId="21" borderId="44" xfId="0" applyFont="1" applyFill="1" applyBorder="1" applyAlignment="1">
      <alignment horizontal="center" vertical="center"/>
    </xf>
    <xf numFmtId="0" fontId="7" fillId="21" borderId="39" xfId="0" applyFont="1" applyFill="1" applyBorder="1" applyAlignment="1">
      <alignment horizontal="center" vertical="center" wrapText="1"/>
    </xf>
    <xf numFmtId="171" fontId="38" fillId="0" borderId="35" xfId="0" applyNumberFormat="1" applyFont="1" applyBorder="1" applyAlignment="1">
      <alignment horizontal="center" vertical="center"/>
    </xf>
    <xf numFmtId="171" fontId="11" fillId="21" borderId="0" xfId="1" applyNumberFormat="1" applyFont="1" applyFill="1" applyAlignment="1">
      <alignment horizontal="center" vertical="center"/>
    </xf>
    <xf numFmtId="171" fontId="47" fillId="0" borderId="0" xfId="1" applyNumberFormat="1" applyFont="1" applyAlignment="1">
      <alignment horizontal="center" vertical="center"/>
    </xf>
    <xf numFmtId="167" fontId="9" fillId="8" borderId="2" xfId="0" applyNumberFormat="1" applyFont="1" applyFill="1" applyBorder="1" applyAlignment="1">
      <alignment horizontal="center" vertical="center" wrapText="1"/>
    </xf>
    <xf numFmtId="0" fontId="45" fillId="0" borderId="41" xfId="0" applyFont="1" applyBorder="1" applyAlignment="1">
      <alignment horizontal="center" vertical="center"/>
    </xf>
    <xf numFmtId="0" fontId="7" fillId="21" borderId="46" xfId="0" applyFont="1" applyFill="1" applyBorder="1" applyAlignment="1">
      <alignment horizontal="center" vertical="center"/>
    </xf>
    <xf numFmtId="0" fontId="7" fillId="21" borderId="45" xfId="0" applyFont="1" applyFill="1" applyBorder="1" applyAlignment="1">
      <alignment horizontal="center" vertical="center"/>
    </xf>
    <xf numFmtId="49" fontId="38" fillId="0" borderId="45" xfId="0" applyNumberFormat="1" applyFont="1" applyBorder="1" applyAlignment="1">
      <alignment horizontal="center" vertical="center"/>
    </xf>
    <xf numFmtId="0" fontId="7" fillId="21" borderId="45" xfId="0" applyFont="1" applyFill="1" applyBorder="1" applyAlignment="1">
      <alignment horizontal="center" vertical="center" wrapText="1"/>
    </xf>
    <xf numFmtId="14" fontId="7" fillId="21" borderId="45" xfId="0" applyNumberFormat="1" applyFont="1" applyFill="1" applyBorder="1" applyAlignment="1">
      <alignment horizontal="center" vertical="center"/>
    </xf>
    <xf numFmtId="0" fontId="43" fillId="21" borderId="45" xfId="0" applyFont="1" applyFill="1" applyBorder="1" applyAlignment="1">
      <alignment horizontal="center" vertical="center" wrapText="1"/>
    </xf>
    <xf numFmtId="14" fontId="8" fillId="0" borderId="45" xfId="0" applyNumberFormat="1" applyFont="1" applyBorder="1" applyAlignment="1">
      <alignment horizontal="center" vertical="center"/>
    </xf>
    <xf numFmtId="0" fontId="7" fillId="21" borderId="45" xfId="0" applyFont="1" applyFill="1" applyBorder="1" applyAlignment="1">
      <alignment vertical="center"/>
    </xf>
    <xf numFmtId="166" fontId="7" fillId="0" borderId="45" xfId="0" applyNumberFormat="1" applyFont="1" applyBorder="1" applyAlignment="1">
      <alignment horizontal="center" vertical="center"/>
    </xf>
    <xf numFmtId="166" fontId="7" fillId="0" borderId="45" xfId="0" applyNumberFormat="1" applyFont="1" applyBorder="1" applyAlignment="1">
      <alignment horizontal="center" vertical="center" wrapText="1"/>
    </xf>
    <xf numFmtId="0" fontId="41" fillId="7" borderId="49" xfId="0" applyFont="1" applyFill="1" applyBorder="1" applyAlignment="1">
      <alignment horizontal="center" vertical="center"/>
    </xf>
    <xf numFmtId="166" fontId="7" fillId="0" borderId="49" xfId="0" applyNumberFormat="1" applyFont="1" applyBorder="1" applyAlignment="1">
      <alignment horizontal="center" vertical="center"/>
    </xf>
    <xf numFmtId="166" fontId="43" fillId="0" borderId="49" xfId="0" applyNumberFormat="1" applyFont="1" applyBorder="1" applyAlignment="1">
      <alignment horizontal="center" vertical="center"/>
    </xf>
    <xf numFmtId="0" fontId="46" fillId="21" borderId="49" xfId="0" applyFont="1" applyFill="1" applyBorder="1" applyAlignment="1">
      <alignment horizontal="center" vertical="center" wrapText="1"/>
    </xf>
    <xf numFmtId="0" fontId="43" fillId="21" borderId="49" xfId="0" applyFont="1" applyFill="1" applyBorder="1" applyAlignment="1">
      <alignment horizontal="center" vertical="center" wrapText="1"/>
    </xf>
    <xf numFmtId="0" fontId="43" fillId="21" borderId="49" xfId="0" applyFont="1" applyFill="1" applyBorder="1" applyAlignment="1">
      <alignment horizontal="center" vertical="center"/>
    </xf>
    <xf numFmtId="167" fontId="43" fillId="21" borderId="49" xfId="0" applyNumberFormat="1" applyFont="1" applyFill="1" applyBorder="1" applyAlignment="1">
      <alignment horizontal="center" vertical="center"/>
    </xf>
    <xf numFmtId="14" fontId="43" fillId="21" borderId="49" xfId="0" applyNumberFormat="1" applyFont="1" applyFill="1" applyBorder="1" applyAlignment="1">
      <alignment horizontal="center" vertical="center"/>
    </xf>
    <xf numFmtId="166" fontId="46" fillId="21" borderId="49" xfId="0" applyNumberFormat="1" applyFont="1" applyFill="1" applyBorder="1" applyAlignment="1">
      <alignment horizontal="center" vertical="center"/>
    </xf>
    <xf numFmtId="0" fontId="6" fillId="13" borderId="49" xfId="0" applyFont="1" applyFill="1" applyBorder="1" applyAlignment="1">
      <alignment horizontal="center" vertical="center"/>
    </xf>
    <xf numFmtId="14" fontId="43" fillId="21" borderId="49" xfId="0" applyNumberFormat="1" applyFont="1" applyFill="1" applyBorder="1" applyAlignment="1">
      <alignment horizontal="center" vertical="center" wrapText="1"/>
    </xf>
    <xf numFmtId="0" fontId="6" fillId="13" borderId="49" xfId="0" applyFont="1" applyFill="1" applyBorder="1" applyAlignment="1">
      <alignment horizontal="center" vertical="center" wrapText="1"/>
    </xf>
    <xf numFmtId="49" fontId="43" fillId="21" borderId="49" xfId="0" applyNumberFormat="1" applyFont="1" applyFill="1" applyBorder="1" applyAlignment="1">
      <alignment horizontal="center" vertical="center" wrapText="1"/>
    </xf>
    <xf numFmtId="0" fontId="6" fillId="10" borderId="49" xfId="0" applyFont="1" applyFill="1" applyBorder="1" applyAlignment="1">
      <alignment horizontal="center" vertical="center"/>
    </xf>
    <xf numFmtId="0" fontId="6" fillId="14" borderId="49" xfId="0" applyFont="1" applyFill="1" applyBorder="1" applyAlignment="1">
      <alignment horizontal="center" vertical="center"/>
    </xf>
    <xf numFmtId="0" fontId="6" fillId="3" borderId="49" xfId="0" applyFont="1" applyFill="1" applyBorder="1" applyAlignment="1">
      <alignment horizontal="center" vertical="center"/>
    </xf>
    <xf numFmtId="0" fontId="6" fillId="8" borderId="49" xfId="0" applyFont="1" applyFill="1" applyBorder="1" applyAlignment="1">
      <alignment horizontal="center" vertical="center"/>
    </xf>
    <xf numFmtId="1" fontId="46" fillId="21" borderId="49" xfId="0" applyNumberFormat="1" applyFont="1" applyFill="1" applyBorder="1" applyAlignment="1">
      <alignment horizontal="center" vertical="center" wrapText="1"/>
    </xf>
    <xf numFmtId="167" fontId="43" fillId="21" borderId="49" xfId="0" applyNumberFormat="1" applyFont="1" applyFill="1" applyBorder="1" applyAlignment="1">
      <alignment horizontal="center" vertical="center" wrapText="1"/>
    </xf>
    <xf numFmtId="0" fontId="6" fillId="6" borderId="49" xfId="0" applyFont="1" applyFill="1" applyBorder="1" applyAlignment="1">
      <alignment horizontal="center" vertical="center" wrapText="1"/>
    </xf>
    <xf numFmtId="4" fontId="43" fillId="21" borderId="49" xfId="0" applyNumberFormat="1" applyFont="1" applyFill="1" applyBorder="1" applyAlignment="1">
      <alignment horizontal="center" vertical="center" wrapText="1"/>
    </xf>
    <xf numFmtId="0" fontId="6" fillId="5" borderId="49" xfId="0" applyFont="1" applyFill="1" applyBorder="1" applyAlignment="1">
      <alignment horizontal="center" vertical="center"/>
    </xf>
    <xf numFmtId="0" fontId="6" fillId="2" borderId="49" xfId="0" applyFont="1" applyFill="1" applyBorder="1" applyAlignment="1">
      <alignment horizontal="center" vertical="center"/>
    </xf>
    <xf numFmtId="0" fontId="6" fillId="15" borderId="49" xfId="0" applyFont="1" applyFill="1" applyBorder="1" applyAlignment="1">
      <alignment horizontal="center" vertical="center"/>
    </xf>
    <xf numFmtId="0" fontId="41" fillId="11" borderId="49" xfId="0" applyFont="1" applyFill="1" applyBorder="1" applyAlignment="1">
      <alignment horizontal="center" vertical="center"/>
    </xf>
    <xf numFmtId="0" fontId="7" fillId="0" borderId="49" xfId="0" applyFont="1" applyBorder="1" applyAlignment="1">
      <alignment horizontal="center" vertical="center" wrapText="1"/>
    </xf>
    <xf numFmtId="0" fontId="43" fillId="8" borderId="49" xfId="0" applyFont="1" applyFill="1" applyBorder="1" applyAlignment="1">
      <alignment horizontal="center" vertical="center" wrapText="1"/>
    </xf>
    <xf numFmtId="0" fontId="43" fillId="8" borderId="49" xfId="0" applyFont="1" applyFill="1" applyBorder="1" applyAlignment="1">
      <alignment horizontal="center" vertical="center"/>
    </xf>
    <xf numFmtId="0" fontId="39" fillId="43" borderId="35" xfId="0" applyFont="1" applyFill="1" applyBorder="1" applyAlignment="1">
      <alignment horizontal="center" vertical="center" wrapText="1"/>
    </xf>
    <xf numFmtId="0" fontId="43" fillId="43" borderId="23" xfId="0" applyFont="1" applyFill="1" applyBorder="1" applyAlignment="1">
      <alignment horizontal="center" vertical="center" wrapText="1"/>
    </xf>
    <xf numFmtId="0" fontId="7" fillId="8" borderId="35" xfId="0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 wrapText="1"/>
    </xf>
    <xf numFmtId="0" fontId="38" fillId="21" borderId="26" xfId="0" applyFont="1" applyFill="1" applyBorder="1" applyAlignment="1">
      <alignment horizontal="center" vertical="center" wrapText="1"/>
    </xf>
    <xf numFmtId="4" fontId="43" fillId="8" borderId="35" xfId="0" applyNumberFormat="1" applyFont="1" applyFill="1" applyBorder="1" applyAlignment="1">
      <alignment horizontal="center" vertical="center"/>
    </xf>
    <xf numFmtId="170" fontId="7" fillId="8" borderId="35" xfId="0" applyNumberFormat="1" applyFont="1" applyFill="1" applyBorder="1" applyAlignment="1">
      <alignment horizontal="center" vertical="center"/>
    </xf>
    <xf numFmtId="0" fontId="39" fillId="0" borderId="35" xfId="0" applyFont="1" applyBorder="1" applyAlignment="1">
      <alignment horizontal="center" vertical="center" wrapText="1"/>
    </xf>
    <xf numFmtId="0" fontId="6" fillId="4" borderId="49" xfId="0" applyFont="1" applyFill="1" applyBorder="1" applyAlignment="1">
      <alignment horizontal="center" vertical="center"/>
    </xf>
    <xf numFmtId="0" fontId="43" fillId="0" borderId="49" xfId="0" applyFont="1" applyBorder="1" applyAlignment="1">
      <alignment horizontal="center" vertical="center" wrapText="1"/>
    </xf>
    <xf numFmtId="0" fontId="6" fillId="20" borderId="25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170" fontId="10" fillId="8" borderId="23" xfId="0" applyNumberFormat="1" applyFont="1" applyFill="1" applyBorder="1" applyAlignment="1">
      <alignment horizontal="center" vertical="center"/>
    </xf>
    <xf numFmtId="0" fontId="53" fillId="21" borderId="0" xfId="1" applyFont="1" applyFill="1" applyAlignment="1">
      <alignment horizontal="center" vertical="center"/>
    </xf>
    <xf numFmtId="171" fontId="11" fillId="0" borderId="0" xfId="1" applyNumberFormat="1" applyFont="1" applyAlignment="1">
      <alignment horizontal="center" vertical="center"/>
    </xf>
    <xf numFmtId="171" fontId="47" fillId="21" borderId="0" xfId="1" applyNumberFormat="1" applyFont="1" applyFill="1" applyAlignment="1">
      <alignment horizontal="center" vertical="center"/>
    </xf>
    <xf numFmtId="170" fontId="7" fillId="0" borderId="50" xfId="0" applyNumberFormat="1" applyFont="1" applyBorder="1" applyAlignment="1">
      <alignment horizontal="center" vertical="center"/>
    </xf>
    <xf numFmtId="0" fontId="6" fillId="15" borderId="50" xfId="0" applyFont="1" applyFill="1" applyBorder="1" applyAlignment="1">
      <alignment horizontal="center" vertical="center"/>
    </xf>
    <xf numFmtId="170" fontId="7" fillId="0" borderId="2" xfId="0" applyNumberFormat="1" applyFont="1" applyBorder="1" applyAlignment="1">
      <alignment horizontal="center" vertical="center"/>
    </xf>
    <xf numFmtId="170" fontId="7" fillId="0" borderId="49" xfId="0" applyNumberFormat="1" applyFont="1" applyBorder="1" applyAlignment="1">
      <alignment horizontal="center" vertical="center"/>
    </xf>
    <xf numFmtId="2" fontId="43" fillId="0" borderId="52" xfId="0" applyNumberFormat="1" applyFont="1" applyBorder="1" applyAlignment="1">
      <alignment horizontal="center" vertical="center"/>
    </xf>
    <xf numFmtId="2" fontId="9" fillId="0" borderId="52" xfId="0" applyNumberFormat="1" applyFont="1" applyBorder="1" applyAlignment="1">
      <alignment horizontal="center" vertical="center"/>
    </xf>
    <xf numFmtId="2" fontId="43" fillId="8" borderId="52" xfId="0" applyNumberFormat="1" applyFont="1" applyFill="1" applyBorder="1" applyAlignment="1">
      <alignment horizontal="center" vertical="center"/>
    </xf>
    <xf numFmtId="2" fontId="43" fillId="0" borderId="53" xfId="0" applyNumberFormat="1" applyFont="1" applyBorder="1" applyAlignment="1">
      <alignment horizontal="center" vertical="center"/>
    </xf>
    <xf numFmtId="2" fontId="43" fillId="21" borderId="47" xfId="0" applyNumberFormat="1" applyFont="1" applyFill="1" applyBorder="1" applyAlignment="1">
      <alignment horizontal="center" vertical="center"/>
    </xf>
    <xf numFmtId="2" fontId="43" fillId="21" borderId="52" xfId="0" applyNumberFormat="1" applyFont="1" applyFill="1" applyBorder="1" applyAlignment="1">
      <alignment horizontal="center" vertical="center"/>
    </xf>
    <xf numFmtId="2" fontId="43" fillId="21" borderId="48" xfId="0" applyNumberFormat="1" applyFont="1" applyFill="1" applyBorder="1" applyAlignment="1">
      <alignment horizontal="center" vertical="center"/>
    </xf>
    <xf numFmtId="0" fontId="6" fillId="20" borderId="49" xfId="0" applyFont="1" applyFill="1" applyBorder="1" applyAlignment="1">
      <alignment horizontal="center" vertical="center"/>
    </xf>
    <xf numFmtId="0" fontId="7" fillId="5" borderId="49" xfId="0" applyFont="1" applyFill="1" applyBorder="1" applyAlignment="1" applyProtection="1">
      <alignment horizontal="center" vertical="center"/>
      <protection locked="0"/>
    </xf>
    <xf numFmtId="0" fontId="7" fillId="21" borderId="49" xfId="0" applyFont="1" applyFill="1" applyBorder="1" applyAlignment="1" applyProtection="1">
      <alignment horizontal="center" vertical="center"/>
      <protection locked="0"/>
    </xf>
    <xf numFmtId="170" fontId="7" fillId="21" borderId="49" xfId="0" applyNumberFormat="1" applyFont="1" applyFill="1" applyBorder="1" applyAlignment="1">
      <alignment horizontal="center" vertical="center"/>
    </xf>
    <xf numFmtId="167" fontId="7" fillId="21" borderId="49" xfId="0" applyNumberFormat="1" applyFont="1" applyFill="1" applyBorder="1" applyAlignment="1">
      <alignment horizontal="center" vertical="center"/>
    </xf>
    <xf numFmtId="170" fontId="7" fillId="43" borderId="49" xfId="0" applyNumberFormat="1" applyFont="1" applyFill="1" applyBorder="1" applyAlignment="1">
      <alignment horizontal="center" vertical="center"/>
    </xf>
    <xf numFmtId="1" fontId="43" fillId="0" borderId="51" xfId="0" applyNumberFormat="1" applyFont="1" applyBorder="1" applyAlignment="1">
      <alignment horizontal="center" vertical="center"/>
    </xf>
    <xf numFmtId="1" fontId="43" fillId="0" borderId="54" xfId="0" applyNumberFormat="1" applyFont="1" applyBorder="1" applyAlignment="1">
      <alignment horizontal="center" vertical="center"/>
    </xf>
    <xf numFmtId="0" fontId="7" fillId="22" borderId="49" xfId="0" applyFont="1" applyFill="1" applyBorder="1" applyAlignment="1" applyProtection="1">
      <alignment horizontal="center" vertical="center"/>
      <protection locked="0"/>
    </xf>
    <xf numFmtId="14" fontId="38" fillId="5" borderId="49" xfId="0" applyNumberFormat="1" applyFont="1" applyFill="1" applyBorder="1" applyAlignment="1" applyProtection="1">
      <alignment horizontal="center" vertical="center"/>
      <protection locked="0"/>
    </xf>
    <xf numFmtId="0" fontId="38" fillId="5" borderId="49" xfId="0" applyFont="1" applyFill="1" applyBorder="1" applyAlignment="1" applyProtection="1">
      <alignment horizontal="center" vertical="center"/>
      <protection locked="0"/>
    </xf>
    <xf numFmtId="0" fontId="7" fillId="21" borderId="49" xfId="0" applyFont="1" applyFill="1" applyBorder="1" applyAlignment="1">
      <alignment horizontal="center" vertical="center" wrapText="1"/>
    </xf>
    <xf numFmtId="0" fontId="7" fillId="21" borderId="49" xfId="0" applyFont="1" applyFill="1" applyBorder="1" applyAlignment="1">
      <alignment horizontal="center" vertical="center"/>
    </xf>
    <xf numFmtId="166" fontId="43" fillId="21" borderId="49" xfId="0" applyNumberFormat="1" applyFont="1" applyFill="1" applyBorder="1" applyAlignment="1">
      <alignment horizontal="center" vertical="center"/>
    </xf>
    <xf numFmtId="14" fontId="43" fillId="0" borderId="49" xfId="0" applyNumberFormat="1" applyFont="1" applyBorder="1" applyAlignment="1">
      <alignment horizontal="center" vertical="center" wrapText="1"/>
    </xf>
    <xf numFmtId="49" fontId="38" fillId="0" borderId="49" xfId="0" applyNumberFormat="1" applyFont="1" applyBorder="1" applyAlignment="1">
      <alignment horizontal="center" vertical="center"/>
    </xf>
    <xf numFmtId="17" fontId="7" fillId="21" borderId="49" xfId="0" applyNumberFormat="1" applyFont="1" applyFill="1" applyBorder="1" applyAlignment="1">
      <alignment horizontal="center" vertical="center" wrapText="1"/>
    </xf>
    <xf numFmtId="16" fontId="43" fillId="21" borderId="49" xfId="0" applyNumberFormat="1" applyFont="1" applyFill="1" applyBorder="1" applyAlignment="1">
      <alignment horizontal="center" vertical="center" wrapText="1"/>
    </xf>
    <xf numFmtId="0" fontId="7" fillId="13" borderId="49" xfId="0" applyFont="1" applyFill="1" applyBorder="1" applyAlignment="1">
      <alignment horizontal="center" vertical="center" wrapText="1"/>
    </xf>
    <xf numFmtId="14" fontId="7" fillId="21" borderId="49" xfId="0" applyNumberFormat="1" applyFont="1" applyFill="1" applyBorder="1" applyAlignment="1">
      <alignment horizontal="center" vertical="center" wrapText="1"/>
    </xf>
    <xf numFmtId="167" fontId="43" fillId="8" borderId="49" xfId="0" applyNumberFormat="1" applyFont="1" applyFill="1" applyBorder="1" applyAlignment="1">
      <alignment horizontal="center" vertical="center"/>
    </xf>
    <xf numFmtId="0" fontId="7" fillId="8" borderId="49" xfId="0" applyFont="1" applyFill="1" applyBorder="1" applyAlignment="1">
      <alignment horizontal="center" vertical="center" wrapText="1"/>
    </xf>
    <xf numFmtId="0" fontId="43" fillId="42" borderId="49" xfId="0" applyFont="1" applyFill="1" applyBorder="1" applyAlignment="1">
      <alignment horizontal="center" vertical="center" wrapText="1"/>
    </xf>
    <xf numFmtId="0" fontId="43" fillId="45" borderId="49" xfId="0" applyFont="1" applyFill="1" applyBorder="1" applyAlignment="1">
      <alignment horizontal="center" vertical="center" wrapText="1"/>
    </xf>
    <xf numFmtId="0" fontId="8" fillId="21" borderId="49" xfId="0" applyFont="1" applyFill="1" applyBorder="1" applyAlignment="1">
      <alignment horizontal="center" vertical="center"/>
    </xf>
    <xf numFmtId="0" fontId="43" fillId="43" borderId="49" xfId="0" applyFont="1" applyFill="1" applyBorder="1" applyAlignment="1">
      <alignment horizontal="center" vertical="center" wrapText="1"/>
    </xf>
    <xf numFmtId="0" fontId="43" fillId="49" borderId="49" xfId="0" applyFont="1" applyFill="1" applyBorder="1" applyAlignment="1">
      <alignment horizontal="center" vertical="center" wrapText="1"/>
    </xf>
    <xf numFmtId="0" fontId="7" fillId="8" borderId="49" xfId="0" applyFont="1" applyFill="1" applyBorder="1" applyAlignment="1">
      <alignment horizontal="center" vertical="center"/>
    </xf>
    <xf numFmtId="0" fontId="7" fillId="21" borderId="50" xfId="0" applyFont="1" applyFill="1" applyBorder="1" applyAlignment="1">
      <alignment horizontal="center" vertical="center" wrapText="1"/>
    </xf>
    <xf numFmtId="0" fontId="43" fillId="21" borderId="50" xfId="0" applyFont="1" applyFill="1" applyBorder="1" applyAlignment="1">
      <alignment horizontal="center" vertical="center" wrapText="1"/>
    </xf>
    <xf numFmtId="0" fontId="43" fillId="0" borderId="50" xfId="0" applyFont="1" applyBorder="1" applyAlignment="1">
      <alignment horizontal="center" vertical="center" wrapText="1"/>
    </xf>
    <xf numFmtId="0" fontId="43" fillId="21" borderId="50" xfId="0" applyFont="1" applyFill="1" applyBorder="1" applyAlignment="1">
      <alignment horizontal="center" vertical="center"/>
    </xf>
    <xf numFmtId="0" fontId="7" fillId="21" borderId="50" xfId="0" applyFont="1" applyFill="1" applyBorder="1" applyAlignment="1">
      <alignment horizontal="center" vertical="center"/>
    </xf>
    <xf numFmtId="167" fontId="43" fillId="21" borderId="50" xfId="0" applyNumberFormat="1" applyFont="1" applyFill="1" applyBorder="1" applyAlignment="1">
      <alignment horizontal="center" vertical="center"/>
    </xf>
    <xf numFmtId="166" fontId="43" fillId="0" borderId="50" xfId="0" applyNumberFormat="1" applyFont="1" applyBorder="1" applyAlignment="1">
      <alignment horizontal="center" vertical="center"/>
    </xf>
    <xf numFmtId="14" fontId="43" fillId="21" borderId="50" xfId="0" applyNumberFormat="1" applyFont="1" applyFill="1" applyBorder="1" applyAlignment="1">
      <alignment horizontal="center" vertical="center" wrapText="1"/>
    </xf>
    <xf numFmtId="170" fontId="7" fillId="21" borderId="50" xfId="0" applyNumberFormat="1" applyFont="1" applyFill="1" applyBorder="1" applyAlignment="1">
      <alignment horizontal="center" vertical="center"/>
    </xf>
    <xf numFmtId="49" fontId="38" fillId="0" borderId="50" xfId="0" applyNumberFormat="1" applyFont="1" applyBorder="1" applyAlignment="1">
      <alignment horizontal="center" vertical="center"/>
    </xf>
    <xf numFmtId="0" fontId="38" fillId="21" borderId="24" xfId="0" applyFont="1" applyFill="1" applyBorder="1" applyAlignment="1">
      <alignment horizontal="center" vertical="center" wrapText="1"/>
    </xf>
    <xf numFmtId="0" fontId="46" fillId="21" borderId="24" xfId="0" applyFont="1" applyFill="1" applyBorder="1" applyAlignment="1">
      <alignment horizontal="center" vertical="center" wrapText="1"/>
    </xf>
    <xf numFmtId="0" fontId="43" fillId="21" borderId="24" xfId="0" applyFont="1" applyFill="1" applyBorder="1" applyAlignment="1">
      <alignment horizontal="center" vertical="center" wrapText="1"/>
    </xf>
    <xf numFmtId="14" fontId="43" fillId="21" borderId="24" xfId="0" applyNumberFormat="1" applyFont="1" applyFill="1" applyBorder="1" applyAlignment="1">
      <alignment horizontal="center" vertical="center" wrapText="1"/>
    </xf>
    <xf numFmtId="49" fontId="43" fillId="21" borderId="24" xfId="0" applyNumberFormat="1" applyFont="1" applyFill="1" applyBorder="1" applyAlignment="1">
      <alignment horizontal="center" vertical="center" wrapText="1"/>
    </xf>
    <xf numFmtId="167" fontId="43" fillId="21" borderId="24" xfId="0" applyNumberFormat="1" applyFont="1" applyFill="1" applyBorder="1" applyAlignment="1">
      <alignment horizontal="center" vertical="center"/>
    </xf>
    <xf numFmtId="166" fontId="43" fillId="21" borderId="24" xfId="0" applyNumberFormat="1" applyFont="1" applyFill="1" applyBorder="1" applyAlignment="1">
      <alignment horizontal="center" vertical="center"/>
    </xf>
    <xf numFmtId="14" fontId="43" fillId="21" borderId="24" xfId="0" applyNumberFormat="1" applyFont="1" applyFill="1" applyBorder="1" applyAlignment="1">
      <alignment horizontal="center" vertical="center"/>
    </xf>
    <xf numFmtId="0" fontId="41" fillId="11" borderId="24" xfId="0" applyFont="1" applyFill="1" applyBorder="1" applyAlignment="1">
      <alignment horizontal="center" vertical="center"/>
    </xf>
    <xf numFmtId="1" fontId="46" fillId="0" borderId="24" xfId="0" applyNumberFormat="1" applyFont="1" applyBorder="1" applyAlignment="1">
      <alignment horizontal="center" vertical="center" wrapText="1"/>
    </xf>
    <xf numFmtId="1" fontId="46" fillId="0" borderId="27" xfId="0" applyNumberFormat="1" applyFont="1" applyBorder="1" applyAlignment="1">
      <alignment horizontal="center" vertical="center" wrapText="1"/>
    </xf>
    <xf numFmtId="16" fontId="42" fillId="21" borderId="56" xfId="1" applyNumberFormat="1" applyFont="1" applyFill="1" applyBorder="1" applyAlignment="1">
      <alignment horizontal="center" vertical="center"/>
    </xf>
    <xf numFmtId="167" fontId="43" fillId="8" borderId="24" xfId="0" applyNumberFormat="1" applyFont="1" applyFill="1" applyBorder="1" applyAlignment="1">
      <alignment horizontal="center" vertical="center"/>
    </xf>
    <xf numFmtId="0" fontId="41" fillId="7" borderId="24" xfId="0" applyFont="1" applyFill="1" applyBorder="1" applyAlignment="1">
      <alignment horizontal="center" vertical="center"/>
    </xf>
    <xf numFmtId="0" fontId="43" fillId="21" borderId="2" xfId="0" applyFont="1" applyFill="1" applyBorder="1" applyAlignment="1">
      <alignment horizontal="center" vertical="center" wrapText="1"/>
    </xf>
    <xf numFmtId="0" fontId="9" fillId="42" borderId="2" xfId="0" applyFont="1" applyFill="1" applyBorder="1" applyAlignment="1">
      <alignment horizontal="center" vertical="center" wrapText="1"/>
    </xf>
    <xf numFmtId="0" fontId="39" fillId="21" borderId="2" xfId="0" applyFont="1" applyFill="1" applyBorder="1" applyAlignment="1">
      <alignment horizontal="center" vertical="center" wrapText="1"/>
    </xf>
    <xf numFmtId="0" fontId="39" fillId="21" borderId="2" xfId="0" applyFont="1" applyFill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0" fontId="9" fillId="21" borderId="2" xfId="0" applyFont="1" applyFill="1" applyBorder="1" applyAlignment="1">
      <alignment horizontal="center" vertical="center" wrapText="1"/>
    </xf>
    <xf numFmtId="16" fontId="9" fillId="21" borderId="2" xfId="0" applyNumberFormat="1" applyFont="1" applyFill="1" applyBorder="1" applyAlignment="1">
      <alignment horizontal="center" vertical="center" wrapText="1"/>
    </xf>
    <xf numFmtId="0" fontId="9" fillId="21" borderId="2" xfId="0" applyFont="1" applyFill="1" applyBorder="1" applyAlignment="1">
      <alignment horizontal="center" vertical="center"/>
    </xf>
    <xf numFmtId="170" fontId="9" fillId="21" borderId="2" xfId="0" applyNumberFormat="1" applyFont="1" applyFill="1" applyBorder="1" applyAlignment="1">
      <alignment horizontal="center" vertical="center"/>
    </xf>
    <xf numFmtId="166" fontId="9" fillId="21" borderId="2" xfId="0" applyNumberFormat="1" applyFont="1" applyFill="1" applyBorder="1" applyAlignment="1">
      <alignment horizontal="center" vertical="center"/>
    </xf>
    <xf numFmtId="14" fontId="8" fillId="8" borderId="2" xfId="0" applyNumberFormat="1" applyFont="1" applyFill="1" applyBorder="1" applyAlignment="1">
      <alignment horizontal="center" vertical="center"/>
    </xf>
    <xf numFmtId="49" fontId="38" fillId="0" borderId="2" xfId="0" applyNumberFormat="1" applyFont="1" applyBorder="1" applyAlignment="1">
      <alignment horizontal="center" vertical="center"/>
    </xf>
    <xf numFmtId="0" fontId="38" fillId="21" borderId="49" xfId="0" applyFont="1" applyFill="1" applyBorder="1" applyAlignment="1">
      <alignment horizontal="center" vertical="center" wrapText="1"/>
    </xf>
    <xf numFmtId="16" fontId="42" fillId="21" borderId="49" xfId="1" applyNumberFormat="1" applyFont="1" applyFill="1" applyBorder="1" applyAlignment="1">
      <alignment horizontal="center" vertical="center"/>
    </xf>
    <xf numFmtId="1" fontId="46" fillId="0" borderId="49" xfId="0" applyNumberFormat="1" applyFont="1" applyBorder="1" applyAlignment="1">
      <alignment horizontal="center" vertical="center" wrapText="1"/>
    </xf>
    <xf numFmtId="49" fontId="43" fillId="47" borderId="49" xfId="0" applyNumberFormat="1" applyFont="1" applyFill="1" applyBorder="1" applyAlignment="1">
      <alignment horizontal="center" vertical="center" wrapText="1"/>
    </xf>
    <xf numFmtId="0" fontId="43" fillId="47" borderId="49" xfId="0" applyFont="1" applyFill="1" applyBorder="1" applyAlignment="1">
      <alignment horizontal="center" vertical="center" wrapText="1"/>
    </xf>
    <xf numFmtId="14" fontId="8" fillId="0" borderId="49" xfId="0" applyNumberFormat="1" applyFont="1" applyBorder="1" applyAlignment="1">
      <alignment horizontal="center" vertical="center"/>
    </xf>
    <xf numFmtId="1" fontId="7" fillId="21" borderId="49" xfId="0" applyNumberFormat="1" applyFont="1" applyFill="1" applyBorder="1" applyAlignment="1">
      <alignment horizontal="center" vertical="center"/>
    </xf>
    <xf numFmtId="0" fontId="46" fillId="8" borderId="49" xfId="0" applyFont="1" applyFill="1" applyBorder="1" applyAlignment="1">
      <alignment horizontal="center" vertical="center" wrapText="1"/>
    </xf>
    <xf numFmtId="0" fontId="11" fillId="21" borderId="49" xfId="1" applyFont="1" applyFill="1" applyBorder="1" applyAlignment="1">
      <alignment horizontal="center"/>
    </xf>
    <xf numFmtId="0" fontId="43" fillId="13" borderId="49" xfId="0" applyFont="1" applyFill="1" applyBorder="1" applyAlignment="1">
      <alignment horizontal="center" vertical="center" wrapText="1"/>
    </xf>
    <xf numFmtId="166" fontId="43" fillId="0" borderId="25" xfId="0" applyNumberFormat="1" applyFont="1" applyBorder="1" applyAlignment="1">
      <alignment horizontal="center" vertical="center"/>
    </xf>
    <xf numFmtId="0" fontId="46" fillId="21" borderId="26" xfId="0" applyFont="1" applyFill="1" applyBorder="1" applyAlignment="1">
      <alignment horizontal="center" vertical="center" wrapText="1"/>
    </xf>
    <xf numFmtId="0" fontId="43" fillId="21" borderId="26" xfId="0" applyFont="1" applyFill="1" applyBorder="1" applyAlignment="1">
      <alignment horizontal="center" vertical="center" wrapText="1"/>
    </xf>
    <xf numFmtId="167" fontId="43" fillId="21" borderId="26" xfId="0" applyNumberFormat="1" applyFont="1" applyFill="1" applyBorder="1" applyAlignment="1">
      <alignment horizontal="center" vertical="center"/>
    </xf>
    <xf numFmtId="166" fontId="43" fillId="21" borderId="26" xfId="0" applyNumberFormat="1" applyFont="1" applyFill="1" applyBorder="1" applyAlignment="1">
      <alignment horizontal="center" vertical="center"/>
    </xf>
    <xf numFmtId="14" fontId="43" fillId="21" borderId="26" xfId="0" applyNumberFormat="1" applyFont="1" applyFill="1" applyBorder="1" applyAlignment="1">
      <alignment horizontal="center" vertical="center"/>
    </xf>
    <xf numFmtId="16" fontId="42" fillId="21" borderId="25" xfId="1" applyNumberFormat="1" applyFont="1" applyFill="1" applyBorder="1" applyAlignment="1">
      <alignment horizontal="center" vertical="center"/>
    </xf>
    <xf numFmtId="0" fontId="6" fillId="15" borderId="26" xfId="0" applyFont="1" applyFill="1" applyBorder="1" applyAlignment="1">
      <alignment horizontal="center" vertical="center"/>
    </xf>
    <xf numFmtId="1" fontId="46" fillId="0" borderId="26" xfId="0" applyNumberFormat="1" applyFont="1" applyBorder="1" applyAlignment="1">
      <alignment horizontal="center" vertical="center" wrapText="1"/>
    </xf>
    <xf numFmtId="16" fontId="42" fillId="21" borderId="26" xfId="1" applyNumberFormat="1" applyFont="1" applyFill="1" applyBorder="1" applyAlignment="1">
      <alignment horizontal="center" vertical="center"/>
    </xf>
    <xf numFmtId="14" fontId="43" fillId="21" borderId="26" xfId="0" applyNumberFormat="1" applyFont="1" applyFill="1" applyBorder="1" applyAlignment="1">
      <alignment horizontal="center" vertical="center" wrapText="1"/>
    </xf>
    <xf numFmtId="4" fontId="43" fillId="21" borderId="26" xfId="0" applyNumberFormat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43" fillId="47" borderId="35" xfId="0" applyFont="1" applyFill="1" applyBorder="1" applyAlignment="1">
      <alignment horizontal="center" vertical="center" wrapText="1"/>
    </xf>
    <xf numFmtId="0" fontId="43" fillId="50" borderId="35" xfId="0" applyFont="1" applyFill="1" applyBorder="1" applyAlignment="1">
      <alignment horizontal="center" vertical="center" wrapText="1"/>
    </xf>
    <xf numFmtId="0" fontId="43" fillId="50" borderId="49" xfId="0" applyFont="1" applyFill="1" applyBorder="1" applyAlignment="1">
      <alignment horizontal="center" vertical="center" wrapText="1"/>
    </xf>
    <xf numFmtId="0" fontId="43" fillId="46" borderId="49" xfId="0" applyFont="1" applyFill="1" applyBorder="1" applyAlignment="1">
      <alignment horizontal="center" vertical="center" wrapText="1"/>
    </xf>
    <xf numFmtId="0" fontId="43" fillId="44" borderId="49" xfId="0" applyFont="1" applyFill="1" applyBorder="1" applyAlignment="1">
      <alignment horizontal="center" vertical="center" wrapText="1"/>
    </xf>
    <xf numFmtId="0" fontId="43" fillId="44" borderId="35" xfId="0" applyFont="1" applyFill="1" applyBorder="1" applyAlignment="1">
      <alignment horizontal="center" vertical="center" wrapText="1"/>
    </xf>
    <xf numFmtId="0" fontId="56" fillId="51" borderId="7" xfId="0" applyFont="1" applyFill="1" applyBorder="1" applyAlignment="1">
      <alignment horizontal="center" vertical="top" wrapText="1"/>
    </xf>
    <xf numFmtId="1" fontId="55" fillId="0" borderId="7" xfId="0" applyNumberFormat="1" applyFont="1" applyBorder="1" applyAlignment="1">
      <alignment horizontal="center" vertical="top" shrinkToFit="1"/>
    </xf>
    <xf numFmtId="0" fontId="57" fillId="0" borderId="7" xfId="0" applyFont="1" applyBorder="1" applyAlignment="1">
      <alignment horizontal="center" vertical="top" wrapText="1"/>
    </xf>
    <xf numFmtId="0" fontId="58" fillId="0" borderId="7" xfId="0" applyFont="1" applyBorder="1" applyAlignment="1">
      <alignment horizontal="left" vertical="top" wrapText="1" indent="2"/>
    </xf>
    <xf numFmtId="172" fontId="55" fillId="0" borderId="7" xfId="0" applyNumberFormat="1" applyFont="1" applyBorder="1" applyAlignment="1">
      <alignment horizontal="center" vertical="top" shrinkToFit="1"/>
    </xf>
    <xf numFmtId="173" fontId="55" fillId="0" borderId="7" xfId="0" applyNumberFormat="1" applyFont="1" applyBorder="1" applyAlignment="1">
      <alignment horizontal="center" vertical="top" shrinkToFit="1"/>
    </xf>
    <xf numFmtId="0" fontId="57" fillId="0" borderId="7" xfId="0" applyFont="1" applyBorder="1" applyAlignment="1">
      <alignment horizontal="left" vertical="top" wrapText="1" indent="2"/>
    </xf>
    <xf numFmtId="174" fontId="55" fillId="0" borderId="7" xfId="0" applyNumberFormat="1" applyFont="1" applyBorder="1" applyAlignment="1">
      <alignment horizontal="center" vertical="top" shrinkToFit="1"/>
    </xf>
    <xf numFmtId="0" fontId="43" fillId="0" borderId="2" xfId="0" applyFont="1" applyBorder="1" applyAlignment="1">
      <alignment horizontal="center" vertical="center" wrapText="1"/>
    </xf>
    <xf numFmtId="0" fontId="43" fillId="21" borderId="2" xfId="0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/>
    </xf>
    <xf numFmtId="166" fontId="43" fillId="0" borderId="2" xfId="0" applyNumberFormat="1" applyFont="1" applyBorder="1" applyAlignment="1">
      <alignment horizontal="center" vertical="center"/>
    </xf>
    <xf numFmtId="14" fontId="43" fillId="21" borderId="2" xfId="0" applyNumberFormat="1" applyFont="1" applyFill="1" applyBorder="1" applyAlignment="1">
      <alignment horizontal="center" vertical="center" wrapText="1"/>
    </xf>
    <xf numFmtId="170" fontId="7" fillId="21" borderId="2" xfId="0" applyNumberFormat="1" applyFont="1" applyFill="1" applyBorder="1" applyAlignment="1">
      <alignment horizontal="center" vertical="center"/>
    </xf>
    <xf numFmtId="1" fontId="43" fillId="0" borderId="55" xfId="0" applyNumberFormat="1" applyFont="1" applyBorder="1" applyAlignment="1">
      <alignment horizontal="center" vertical="center"/>
    </xf>
    <xf numFmtId="4" fontId="43" fillId="0" borderId="24" xfId="0" applyNumberFormat="1" applyFont="1" applyBorder="1" applyAlignment="1">
      <alignment horizontal="center" vertical="center"/>
    </xf>
    <xf numFmtId="2" fontId="43" fillId="0" borderId="27" xfId="0" applyNumberFormat="1" applyFont="1" applyBorder="1" applyAlignment="1">
      <alignment horizontal="center" vertical="center"/>
    </xf>
    <xf numFmtId="0" fontId="59" fillId="0" borderId="29" xfId="0" applyFont="1" applyBorder="1" applyAlignment="1">
      <alignment horizontal="center" vertical="center" wrapText="1"/>
    </xf>
    <xf numFmtId="2" fontId="43" fillId="0" borderId="29" xfId="0" applyNumberFormat="1" applyFont="1" applyBorder="1" applyAlignment="1">
      <alignment horizontal="center" vertical="center"/>
    </xf>
    <xf numFmtId="14" fontId="8" fillId="0" borderId="49" xfId="0" applyNumberFormat="1" applyFont="1" applyBorder="1" applyAlignment="1">
      <alignment horizontal="center" vertical="center" wrapText="1"/>
    </xf>
    <xf numFmtId="0" fontId="60" fillId="21" borderId="51" xfId="0" applyFont="1" applyFill="1" applyBorder="1" applyAlignment="1">
      <alignment horizontal="center" vertical="center"/>
    </xf>
    <xf numFmtId="0" fontId="7" fillId="21" borderId="51" xfId="0" applyFont="1" applyFill="1" applyBorder="1" applyAlignment="1">
      <alignment horizontal="center" vertical="center"/>
    </xf>
    <xf numFmtId="0" fontId="7" fillId="13" borderId="49" xfId="0" applyFont="1" applyFill="1" applyBorder="1" applyAlignment="1">
      <alignment horizontal="center" vertical="center"/>
    </xf>
    <xf numFmtId="0" fontId="7" fillId="21" borderId="54" xfId="0" applyFont="1" applyFill="1" applyBorder="1" applyAlignment="1">
      <alignment horizontal="center" vertical="center"/>
    </xf>
    <xf numFmtId="0" fontId="7" fillId="21" borderId="25" xfId="0" applyFont="1" applyFill="1" applyBorder="1" applyAlignment="1">
      <alignment horizontal="center" vertical="center"/>
    </xf>
    <xf numFmtId="0" fontId="7" fillId="21" borderId="55" xfId="0" applyFont="1" applyFill="1" applyBorder="1" applyAlignment="1">
      <alignment horizontal="center" vertical="center"/>
    </xf>
    <xf numFmtId="1" fontId="43" fillId="13" borderId="49" xfId="0" applyNumberFormat="1" applyFont="1" applyFill="1" applyBorder="1" applyAlignment="1">
      <alignment horizontal="center" vertical="center" wrapText="1"/>
    </xf>
    <xf numFmtId="0" fontId="7" fillId="21" borderId="26" xfId="0" applyFont="1" applyFill="1" applyBorder="1" applyAlignment="1">
      <alignment horizontal="center" vertical="center"/>
    </xf>
    <xf numFmtId="0" fontId="7" fillId="21" borderId="32" xfId="0" applyFont="1" applyFill="1" applyBorder="1" applyAlignment="1">
      <alignment horizontal="center" vertical="center"/>
    </xf>
    <xf numFmtId="0" fontId="7" fillId="21" borderId="0" xfId="1" applyFont="1" applyFill="1" applyAlignment="1">
      <alignment horizontal="center" vertical="center"/>
    </xf>
    <xf numFmtId="0" fontId="62" fillId="0" borderId="7" xfId="0" applyFont="1" applyBorder="1" applyAlignment="1">
      <alignment horizontal="right" vertical="top" wrapText="1"/>
    </xf>
    <xf numFmtId="0" fontId="62" fillId="0" borderId="7" xfId="0" applyFont="1" applyBorder="1" applyAlignment="1">
      <alignment horizontal="left" vertical="top" wrapText="1" indent="1"/>
    </xf>
    <xf numFmtId="0" fontId="62" fillId="0" borderId="7" xfId="0" applyFont="1" applyBorder="1" applyAlignment="1">
      <alignment horizontal="left" vertical="top" wrapText="1" indent="5"/>
    </xf>
    <xf numFmtId="0" fontId="62" fillId="0" borderId="7" xfId="0" applyFont="1" applyBorder="1" applyAlignment="1">
      <alignment horizontal="center" vertical="top" wrapText="1"/>
    </xf>
    <xf numFmtId="0" fontId="62" fillId="0" borderId="7" xfId="0" applyFont="1" applyBorder="1" applyAlignment="1">
      <alignment horizontal="left" vertical="top" wrapText="1"/>
    </xf>
    <xf numFmtId="1" fontId="55" fillId="0" borderId="7" xfId="0" applyNumberFormat="1" applyFont="1" applyBorder="1" applyAlignment="1">
      <alignment horizontal="right" vertical="top" shrinkToFit="1"/>
    </xf>
    <xf numFmtId="0" fontId="63" fillId="0" borderId="7" xfId="0" applyFont="1" applyBorder="1" applyAlignment="1">
      <alignment horizontal="left" vertical="top" wrapText="1"/>
    </xf>
    <xf numFmtId="1" fontId="61" fillId="0" borderId="7" xfId="0" applyNumberFormat="1" applyFont="1" applyBorder="1" applyAlignment="1">
      <alignment horizontal="center" vertical="top" shrinkToFit="1"/>
    </xf>
    <xf numFmtId="0" fontId="63" fillId="0" borderId="7" xfId="0" applyFont="1" applyBorder="1" applyAlignment="1">
      <alignment horizontal="center" vertical="top" wrapText="1"/>
    </xf>
    <xf numFmtId="0" fontId="54" fillId="0" borderId="7" xfId="0" applyFont="1" applyBorder="1" applyAlignment="1">
      <alignment horizontal="left" vertical="center" wrapText="1"/>
    </xf>
    <xf numFmtId="1" fontId="55" fillId="52" borderId="7" xfId="0" applyNumberFormat="1" applyFont="1" applyFill="1" applyBorder="1" applyAlignment="1">
      <alignment horizontal="right" vertical="top" shrinkToFit="1"/>
    </xf>
    <xf numFmtId="0" fontId="62" fillId="52" borderId="7" xfId="0" applyFont="1" applyFill="1" applyBorder="1" applyAlignment="1">
      <alignment horizontal="left" vertical="top" wrapText="1"/>
    </xf>
    <xf numFmtId="0" fontId="63" fillId="52" borderId="7" xfId="0" applyFont="1" applyFill="1" applyBorder="1" applyAlignment="1">
      <alignment horizontal="left" vertical="top" wrapText="1"/>
    </xf>
    <xf numFmtId="1" fontId="61" fillId="52" borderId="7" xfId="0" applyNumberFormat="1" applyFont="1" applyFill="1" applyBorder="1" applyAlignment="1">
      <alignment horizontal="center" vertical="top" shrinkToFit="1"/>
    </xf>
    <xf numFmtId="0" fontId="63" fillId="52" borderId="7" xfId="0" applyFont="1" applyFill="1" applyBorder="1" applyAlignment="1">
      <alignment horizontal="center" vertical="top" wrapText="1"/>
    </xf>
    <xf numFmtId="0" fontId="62" fillId="52" borderId="7" xfId="0" applyFont="1" applyFill="1" applyBorder="1" applyAlignment="1">
      <alignment horizontal="center" vertical="top" wrapText="1"/>
    </xf>
    <xf numFmtId="0" fontId="54" fillId="52" borderId="7" xfId="0" applyFont="1" applyFill="1" applyBorder="1" applyAlignment="1">
      <alignment horizontal="left" vertical="center" wrapText="1"/>
    </xf>
    <xf numFmtId="2" fontId="55" fillId="0" borderId="7" xfId="0" applyNumberFormat="1" applyFont="1" applyBorder="1" applyAlignment="1">
      <alignment horizontal="center" vertical="top" shrinkToFit="1"/>
    </xf>
    <xf numFmtId="4" fontId="55" fillId="52" borderId="7" xfId="0" applyNumberFormat="1" applyFont="1" applyFill="1" applyBorder="1" applyAlignment="1">
      <alignment horizontal="center" vertical="top" shrinkToFit="1"/>
    </xf>
    <xf numFmtId="0" fontId="64" fillId="0" borderId="7" xfId="0" applyFont="1" applyBorder="1" applyAlignment="1">
      <alignment horizontal="left" vertical="top" wrapText="1" indent="2"/>
    </xf>
    <xf numFmtId="175" fontId="55" fillId="0" borderId="7" xfId="0" applyNumberFormat="1" applyFont="1" applyBorder="1" applyAlignment="1">
      <alignment horizontal="center" vertical="top" shrinkToFit="1"/>
    </xf>
    <xf numFmtId="0" fontId="58" fillId="0" borderId="7" xfId="0" applyFont="1" applyBorder="1" applyAlignment="1">
      <alignment horizontal="center" vertical="top" wrapText="1"/>
    </xf>
    <xf numFmtId="0" fontId="43" fillId="13" borderId="49" xfId="0" applyFont="1" applyFill="1" applyBorder="1" applyAlignment="1">
      <alignment horizontal="center" vertical="center"/>
    </xf>
    <xf numFmtId="167" fontId="43" fillId="13" borderId="49" xfId="0" applyNumberFormat="1" applyFont="1" applyFill="1" applyBorder="1" applyAlignment="1">
      <alignment horizontal="center" vertical="center"/>
    </xf>
    <xf numFmtId="166" fontId="43" fillId="13" borderId="49" xfId="0" applyNumberFormat="1" applyFont="1" applyFill="1" applyBorder="1" applyAlignment="1">
      <alignment horizontal="center" vertical="center"/>
    </xf>
    <xf numFmtId="14" fontId="43" fillId="13" borderId="49" xfId="0" applyNumberFormat="1" applyFont="1" applyFill="1" applyBorder="1" applyAlignment="1">
      <alignment horizontal="center" vertical="center" wrapText="1"/>
    </xf>
    <xf numFmtId="0" fontId="65" fillId="5" borderId="49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6" fillId="15" borderId="80" xfId="0" applyFont="1" applyFill="1" applyBorder="1" applyAlignment="1">
      <alignment horizontal="center" vertical="center"/>
    </xf>
    <xf numFmtId="0" fontId="41" fillId="11" borderId="80" xfId="0" applyFont="1" applyFill="1" applyBorder="1" applyAlignment="1">
      <alignment horizontal="center" vertical="center"/>
    </xf>
    <xf numFmtId="0" fontId="6" fillId="10" borderId="80" xfId="0" applyFont="1" applyFill="1" applyBorder="1" applyAlignment="1">
      <alignment horizontal="center" vertical="center"/>
    </xf>
    <xf numFmtId="0" fontId="41" fillId="7" borderId="80" xfId="0" applyFont="1" applyFill="1" applyBorder="1" applyAlignment="1">
      <alignment horizontal="center" vertical="center"/>
    </xf>
    <xf numFmtId="0" fontId="6" fillId="5" borderId="80" xfId="0" applyFont="1" applyFill="1" applyBorder="1" applyAlignment="1">
      <alignment horizontal="center" vertical="center"/>
    </xf>
    <xf numFmtId="0" fontId="6" fillId="14" borderId="80" xfId="0" applyFont="1" applyFill="1" applyBorder="1" applyAlignment="1">
      <alignment horizontal="center" vertical="center"/>
    </xf>
    <xf numFmtId="0" fontId="6" fillId="4" borderId="80" xfId="0" applyFont="1" applyFill="1" applyBorder="1" applyAlignment="1">
      <alignment horizontal="center" vertical="center"/>
    </xf>
    <xf numFmtId="0" fontId="6" fillId="22" borderId="80" xfId="0" applyFont="1" applyFill="1" applyBorder="1" applyAlignment="1">
      <alignment horizontal="center" vertical="center"/>
    </xf>
    <xf numFmtId="0" fontId="7" fillId="21" borderId="80" xfId="0" applyFont="1" applyFill="1" applyBorder="1" applyAlignment="1">
      <alignment horizontal="center" vertical="center" wrapText="1"/>
    </xf>
    <xf numFmtId="0" fontId="7" fillId="8" borderId="80" xfId="0" applyFont="1" applyFill="1" applyBorder="1" applyAlignment="1">
      <alignment horizontal="center" vertical="center" wrapText="1"/>
    </xf>
    <xf numFmtId="0" fontId="9" fillId="21" borderId="80" xfId="0" applyFont="1" applyFill="1" applyBorder="1" applyAlignment="1">
      <alignment horizontal="center" vertical="center" wrapText="1"/>
    </xf>
    <xf numFmtId="0" fontId="38" fillId="21" borderId="80" xfId="0" applyFont="1" applyFill="1" applyBorder="1" applyAlignment="1">
      <alignment horizontal="center" vertical="center" wrapText="1"/>
    </xf>
    <xf numFmtId="0" fontId="46" fillId="8" borderId="80" xfId="0" applyFont="1" applyFill="1" applyBorder="1" applyAlignment="1">
      <alignment horizontal="center" vertical="center" wrapText="1"/>
    </xf>
    <xf numFmtId="0" fontId="9" fillId="0" borderId="80" xfId="0" applyFont="1" applyBorder="1" applyAlignment="1">
      <alignment horizontal="center" vertical="center" wrapText="1"/>
    </xf>
    <xf numFmtId="0" fontId="7" fillId="13" borderId="80" xfId="0" applyFont="1" applyFill="1" applyBorder="1" applyAlignment="1">
      <alignment horizontal="center" vertical="center" wrapText="1"/>
    </xf>
    <xf numFmtId="0" fontId="43" fillId="21" borderId="80" xfId="0" applyFont="1" applyFill="1" applyBorder="1" applyAlignment="1">
      <alignment horizontal="center" vertical="center" wrapText="1"/>
    </xf>
    <xf numFmtId="167" fontId="9" fillId="21" borderId="80" xfId="0" applyNumberFormat="1" applyFont="1" applyFill="1" applyBorder="1" applyAlignment="1">
      <alignment horizontal="center" vertical="center"/>
    </xf>
    <xf numFmtId="0" fontId="60" fillId="11" borderId="25" xfId="0" applyFont="1" applyFill="1" applyBorder="1" applyAlignment="1">
      <alignment horizontal="center" vertical="center"/>
    </xf>
    <xf numFmtId="1" fontId="43" fillId="0" borderId="49" xfId="0" applyNumberFormat="1" applyFont="1" applyBorder="1" applyAlignment="1">
      <alignment horizontal="center" vertical="center" wrapText="1"/>
    </xf>
    <xf numFmtId="1" fontId="43" fillId="0" borderId="24" xfId="0" applyNumberFormat="1" applyFont="1" applyBorder="1" applyAlignment="1">
      <alignment horizontal="center" vertical="center" wrapText="1"/>
    </xf>
    <xf numFmtId="1" fontId="43" fillId="0" borderId="27" xfId="0" applyNumberFormat="1" applyFont="1" applyBorder="1" applyAlignment="1">
      <alignment horizontal="center" vertical="center" wrapText="1"/>
    </xf>
    <xf numFmtId="1" fontId="43" fillId="0" borderId="26" xfId="0" applyNumberFormat="1" applyFont="1" applyBorder="1" applyAlignment="1">
      <alignment horizontal="center" vertical="center" wrapText="1"/>
    </xf>
    <xf numFmtId="14" fontId="43" fillId="0" borderId="0" xfId="1" applyNumberFormat="1" applyFont="1" applyAlignment="1">
      <alignment horizontal="center" vertical="center"/>
    </xf>
    <xf numFmtId="0" fontId="6" fillId="53" borderId="49" xfId="0" applyFont="1" applyFill="1" applyBorder="1" applyAlignment="1">
      <alignment horizontal="center" vertical="center"/>
    </xf>
    <xf numFmtId="0" fontId="43" fillId="8" borderId="80" xfId="0" applyFont="1" applyFill="1" applyBorder="1" applyAlignment="1">
      <alignment horizontal="center" vertical="center" wrapText="1"/>
    </xf>
    <xf numFmtId="0" fontId="43" fillId="21" borderId="80" xfId="0" applyFont="1" applyFill="1" applyBorder="1" applyAlignment="1">
      <alignment horizontal="center" vertical="center"/>
    </xf>
    <xf numFmtId="170" fontId="7" fillId="21" borderId="80" xfId="0" applyNumberFormat="1" applyFont="1" applyFill="1" applyBorder="1" applyAlignment="1">
      <alignment horizontal="center" vertical="center"/>
    </xf>
    <xf numFmtId="170" fontId="7" fillId="0" borderId="80" xfId="0" applyNumberFormat="1" applyFont="1" applyBorder="1" applyAlignment="1">
      <alignment horizontal="center" vertical="center"/>
    </xf>
    <xf numFmtId="1" fontId="43" fillId="0" borderId="80" xfId="0" applyNumberFormat="1" applyFont="1" applyBorder="1" applyAlignment="1">
      <alignment horizontal="center" vertical="center"/>
    </xf>
    <xf numFmtId="4" fontId="43" fillId="0" borderId="80" xfId="0" applyNumberFormat="1" applyFont="1" applyBorder="1" applyAlignment="1">
      <alignment horizontal="center" vertical="center"/>
    </xf>
    <xf numFmtId="2" fontId="43" fillId="0" borderId="80" xfId="0" applyNumberFormat="1" applyFont="1" applyBorder="1" applyAlignment="1">
      <alignment horizontal="center" vertical="center"/>
    </xf>
    <xf numFmtId="0" fontId="7" fillId="21" borderId="80" xfId="0" applyFont="1" applyFill="1" applyBorder="1" applyAlignment="1">
      <alignment horizontal="center" vertical="center"/>
    </xf>
    <xf numFmtId="0" fontId="43" fillId="0" borderId="80" xfId="0" applyFont="1" applyBorder="1" applyAlignment="1">
      <alignment horizontal="center" vertical="center" wrapText="1"/>
    </xf>
    <xf numFmtId="0" fontId="60" fillId="21" borderId="80" xfId="0" applyFont="1" applyFill="1" applyBorder="1" applyAlignment="1">
      <alignment horizontal="center" vertical="center"/>
    </xf>
    <xf numFmtId="0" fontId="6" fillId="53" borderId="80" xfId="0" applyFont="1" applyFill="1" applyBorder="1" applyAlignment="1">
      <alignment horizontal="center" vertical="center"/>
    </xf>
    <xf numFmtId="167" fontId="43" fillId="21" borderId="80" xfId="0" applyNumberFormat="1" applyFont="1" applyFill="1" applyBorder="1" applyAlignment="1">
      <alignment horizontal="center" vertical="center"/>
    </xf>
    <xf numFmtId="166" fontId="43" fillId="0" borderId="80" xfId="0" applyNumberFormat="1" applyFont="1" applyBorder="1" applyAlignment="1">
      <alignment horizontal="center" vertical="center"/>
    </xf>
    <xf numFmtId="14" fontId="43" fillId="0" borderId="80" xfId="0" applyNumberFormat="1" applyFont="1" applyBorder="1" applyAlignment="1">
      <alignment horizontal="center" vertical="center" wrapText="1"/>
    </xf>
    <xf numFmtId="49" fontId="38" fillId="0" borderId="80" xfId="0" applyNumberFormat="1" applyFont="1" applyBorder="1" applyAlignment="1">
      <alignment horizontal="center" vertical="center"/>
    </xf>
    <xf numFmtId="166" fontId="43" fillId="21" borderId="80" xfId="0" applyNumberFormat="1" applyFont="1" applyFill="1" applyBorder="1" applyAlignment="1">
      <alignment horizontal="center" vertical="center"/>
    </xf>
    <xf numFmtId="49" fontId="7" fillId="0" borderId="80" xfId="0" applyNumberFormat="1" applyFont="1" applyBorder="1" applyAlignment="1">
      <alignment horizontal="center" vertical="center"/>
    </xf>
    <xf numFmtId="166" fontId="7" fillId="0" borderId="80" xfId="0" applyNumberFormat="1" applyFont="1" applyBorder="1" applyAlignment="1">
      <alignment horizontal="center" vertical="center"/>
    </xf>
    <xf numFmtId="0" fontId="6" fillId="13" borderId="80" xfId="0" applyFont="1" applyFill="1" applyBorder="1" applyAlignment="1">
      <alignment horizontal="center" vertical="center"/>
    </xf>
    <xf numFmtId="14" fontId="7" fillId="21" borderId="80" xfId="0" applyNumberFormat="1" applyFont="1" applyFill="1" applyBorder="1" applyAlignment="1">
      <alignment horizontal="center" vertical="center"/>
    </xf>
    <xf numFmtId="171" fontId="38" fillId="0" borderId="80" xfId="0" applyNumberFormat="1" applyFont="1" applyBorder="1" applyAlignment="1">
      <alignment horizontal="center" vertical="center"/>
    </xf>
    <xf numFmtId="0" fontId="6" fillId="3" borderId="80" xfId="0" applyFont="1" applyFill="1" applyBorder="1" applyAlignment="1">
      <alignment horizontal="center" vertical="center"/>
    </xf>
    <xf numFmtId="17" fontId="7" fillId="21" borderId="80" xfId="0" applyNumberFormat="1" applyFont="1" applyFill="1" applyBorder="1" applyAlignment="1">
      <alignment horizontal="center" vertical="center" wrapText="1"/>
    </xf>
    <xf numFmtId="16" fontId="43" fillId="21" borderId="80" xfId="0" applyNumberFormat="1" applyFont="1" applyFill="1" applyBorder="1" applyAlignment="1">
      <alignment horizontal="center" vertical="center" wrapText="1"/>
    </xf>
    <xf numFmtId="167" fontId="43" fillId="0" borderId="80" xfId="0" applyNumberFormat="1" applyFont="1" applyBorder="1" applyAlignment="1">
      <alignment horizontal="center" vertical="center"/>
    </xf>
    <xf numFmtId="0" fontId="46" fillId="21" borderId="80" xfId="0" applyFont="1" applyFill="1" applyBorder="1" applyAlignment="1">
      <alignment horizontal="center" vertical="center"/>
    </xf>
    <xf numFmtId="14" fontId="43" fillId="21" borderId="80" xfId="0" applyNumberFormat="1" applyFont="1" applyFill="1" applyBorder="1" applyAlignment="1">
      <alignment horizontal="center" vertical="center" wrapText="1"/>
    </xf>
    <xf numFmtId="167" fontId="43" fillId="21" borderId="80" xfId="0" applyNumberFormat="1" applyFont="1" applyFill="1" applyBorder="1" applyAlignment="1">
      <alignment horizontal="center" vertical="center" wrapText="1"/>
    </xf>
    <xf numFmtId="166" fontId="7" fillId="0" borderId="80" xfId="0" applyNumberFormat="1" applyFont="1" applyBorder="1" applyAlignment="1">
      <alignment horizontal="center" vertical="center" wrapText="1"/>
    </xf>
    <xf numFmtId="0" fontId="6" fillId="13" borderId="80" xfId="0" applyFont="1" applyFill="1" applyBorder="1" applyAlignment="1">
      <alignment horizontal="center" vertical="center" wrapText="1"/>
    </xf>
    <xf numFmtId="0" fontId="7" fillId="13" borderId="80" xfId="0" applyFont="1" applyFill="1" applyBorder="1" applyAlignment="1">
      <alignment horizontal="center" vertical="center"/>
    </xf>
    <xf numFmtId="14" fontId="7" fillId="21" borderId="80" xfId="0" applyNumberFormat="1" applyFont="1" applyFill="1" applyBorder="1" applyAlignment="1">
      <alignment horizontal="center" vertical="center" wrapText="1"/>
    </xf>
    <xf numFmtId="0" fontId="6" fillId="20" borderId="80" xfId="0" applyFont="1" applyFill="1" applyBorder="1" applyAlignment="1">
      <alignment horizontal="center" vertical="center"/>
    </xf>
    <xf numFmtId="167" fontId="43" fillId="8" borderId="80" xfId="0" applyNumberFormat="1" applyFont="1" applyFill="1" applyBorder="1" applyAlignment="1">
      <alignment horizontal="center" vertical="center"/>
    </xf>
    <xf numFmtId="0" fontId="60" fillId="11" borderId="80" xfId="0" applyFont="1" applyFill="1" applyBorder="1" applyAlignment="1">
      <alignment horizontal="center" vertical="center"/>
    </xf>
    <xf numFmtId="0" fontId="43" fillId="43" borderId="80" xfId="0" applyFont="1" applyFill="1" applyBorder="1" applyAlignment="1">
      <alignment horizontal="center" vertical="center" wrapText="1"/>
    </xf>
    <xf numFmtId="0" fontId="39" fillId="0" borderId="80" xfId="0" applyFont="1" applyBorder="1" applyAlignment="1">
      <alignment horizontal="center" vertical="center" wrapText="1"/>
    </xf>
    <xf numFmtId="0" fontId="43" fillId="42" borderId="80" xfId="0" applyFont="1" applyFill="1" applyBorder="1" applyAlignment="1">
      <alignment horizontal="center" vertical="center" wrapText="1"/>
    </xf>
    <xf numFmtId="0" fontId="6" fillId="6" borderId="80" xfId="0" applyFont="1" applyFill="1" applyBorder="1" applyAlignment="1">
      <alignment horizontal="center" vertical="center"/>
    </xf>
    <xf numFmtId="0" fontId="8" fillId="21" borderId="80" xfId="0" applyFont="1" applyFill="1" applyBorder="1" applyAlignment="1">
      <alignment horizontal="center" vertical="center"/>
    </xf>
    <xf numFmtId="0" fontId="43" fillId="45" borderId="80" xfId="0" applyFont="1" applyFill="1" applyBorder="1" applyAlignment="1">
      <alignment horizontal="center" vertical="center" wrapText="1"/>
    </xf>
    <xf numFmtId="0" fontId="39" fillId="43" borderId="80" xfId="0" applyFont="1" applyFill="1" applyBorder="1" applyAlignment="1">
      <alignment horizontal="center" vertical="center" wrapText="1"/>
    </xf>
    <xf numFmtId="0" fontId="43" fillId="0" borderId="80" xfId="0" applyFont="1" applyBorder="1" applyAlignment="1">
      <alignment horizontal="center" vertical="center"/>
    </xf>
    <xf numFmtId="14" fontId="8" fillId="0" borderId="80" xfId="0" applyNumberFormat="1" applyFont="1" applyBorder="1" applyAlignment="1">
      <alignment horizontal="center" vertical="center"/>
    </xf>
    <xf numFmtId="0" fontId="9" fillId="21" borderId="80" xfId="0" applyFont="1" applyFill="1" applyBorder="1" applyAlignment="1">
      <alignment horizontal="center" vertical="center"/>
    </xf>
    <xf numFmtId="166" fontId="10" fillId="21" borderId="80" xfId="0" applyNumberFormat="1" applyFont="1" applyFill="1" applyBorder="1" applyAlignment="1">
      <alignment horizontal="center" vertical="center"/>
    </xf>
    <xf numFmtId="166" fontId="9" fillId="21" borderId="80" xfId="0" applyNumberFormat="1" applyFont="1" applyFill="1" applyBorder="1" applyAlignment="1">
      <alignment horizontal="center" vertical="center"/>
    </xf>
    <xf numFmtId="4" fontId="9" fillId="0" borderId="80" xfId="0" applyNumberFormat="1" applyFont="1" applyBorder="1" applyAlignment="1">
      <alignment horizontal="center" vertical="center"/>
    </xf>
    <xf numFmtId="2" fontId="9" fillId="0" borderId="80" xfId="0" applyNumberFormat="1" applyFont="1" applyBorder="1" applyAlignment="1">
      <alignment horizontal="center" vertical="center"/>
    </xf>
    <xf numFmtId="0" fontId="7" fillId="21" borderId="80" xfId="0" applyFont="1" applyFill="1" applyBorder="1" applyAlignment="1">
      <alignment vertical="center"/>
    </xf>
    <xf numFmtId="0" fontId="6" fillId="6" borderId="80" xfId="0" applyFont="1" applyFill="1" applyBorder="1" applyAlignment="1">
      <alignment horizontal="center" vertical="center" wrapText="1"/>
    </xf>
    <xf numFmtId="15" fontId="43" fillId="21" borderId="80" xfId="0" applyNumberFormat="1" applyFont="1" applyFill="1" applyBorder="1" applyAlignment="1">
      <alignment horizontal="center" vertical="center" wrapText="1"/>
    </xf>
    <xf numFmtId="0" fontId="45" fillId="0" borderId="80" xfId="0" applyFont="1" applyBorder="1" applyAlignment="1">
      <alignment horizontal="center" vertical="center"/>
    </xf>
    <xf numFmtId="167" fontId="9" fillId="8" borderId="80" xfId="0" applyNumberFormat="1" applyFont="1" applyFill="1" applyBorder="1" applyAlignment="1">
      <alignment horizontal="center" vertical="center" wrapText="1"/>
    </xf>
    <xf numFmtId="167" fontId="39" fillId="21" borderId="80" xfId="0" applyNumberFormat="1" applyFont="1" applyFill="1" applyBorder="1" applyAlignment="1">
      <alignment horizontal="center" vertical="center"/>
    </xf>
    <xf numFmtId="167" fontId="7" fillId="21" borderId="80" xfId="0" applyNumberFormat="1" applyFont="1" applyFill="1" applyBorder="1" applyAlignment="1">
      <alignment horizontal="center" vertical="center"/>
    </xf>
    <xf numFmtId="0" fontId="43" fillId="47" borderId="80" xfId="0" applyFont="1" applyFill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 wrapText="1"/>
    </xf>
    <xf numFmtId="0" fontId="7" fillId="8" borderId="80" xfId="0" applyFont="1" applyFill="1" applyBorder="1" applyAlignment="1">
      <alignment horizontal="center" vertical="center"/>
    </xf>
    <xf numFmtId="0" fontId="43" fillId="50" borderId="80" xfId="0" applyFont="1" applyFill="1" applyBorder="1" applyAlignment="1">
      <alignment horizontal="center" vertical="center" wrapText="1"/>
    </xf>
    <xf numFmtId="0" fontId="6" fillId="8" borderId="80" xfId="0" applyFont="1" applyFill="1" applyBorder="1" applyAlignment="1">
      <alignment horizontal="center" vertical="center"/>
    </xf>
    <xf numFmtId="170" fontId="7" fillId="43" borderId="80" xfId="0" applyNumberFormat="1" applyFont="1" applyFill="1" applyBorder="1" applyAlignment="1">
      <alignment horizontal="center" vertical="center"/>
    </xf>
    <xf numFmtId="4" fontId="43" fillId="8" borderId="80" xfId="0" applyNumberFormat="1" applyFont="1" applyFill="1" applyBorder="1" applyAlignment="1">
      <alignment horizontal="center" vertical="center"/>
    </xf>
    <xf numFmtId="2" fontId="43" fillId="8" borderId="80" xfId="0" applyNumberFormat="1" applyFont="1" applyFill="1" applyBorder="1" applyAlignment="1">
      <alignment horizontal="center" vertical="center"/>
    </xf>
    <xf numFmtId="0" fontId="43" fillId="8" borderId="80" xfId="0" applyFont="1" applyFill="1" applyBorder="1" applyAlignment="1">
      <alignment horizontal="center" vertical="center"/>
    </xf>
    <xf numFmtId="0" fontId="43" fillId="46" borderId="80" xfId="0" applyFont="1" applyFill="1" applyBorder="1" applyAlignment="1">
      <alignment horizontal="center" vertical="center" wrapText="1"/>
    </xf>
    <xf numFmtId="0" fontId="43" fillId="44" borderId="80" xfId="0" applyFont="1" applyFill="1" applyBorder="1" applyAlignment="1">
      <alignment horizontal="center" vertical="center" wrapText="1"/>
    </xf>
    <xf numFmtId="0" fontId="59" fillId="0" borderId="80" xfId="0" applyFont="1" applyBorder="1" applyAlignment="1">
      <alignment horizontal="center" vertical="center" wrapText="1"/>
    </xf>
    <xf numFmtId="0" fontId="43" fillId="13" borderId="80" xfId="0" applyFont="1" applyFill="1" applyBorder="1" applyAlignment="1">
      <alignment horizontal="center" vertical="center" wrapText="1"/>
    </xf>
    <xf numFmtId="0" fontId="43" fillId="13" borderId="80" xfId="0" applyFont="1" applyFill="1" applyBorder="1" applyAlignment="1">
      <alignment horizontal="center" vertical="center"/>
    </xf>
    <xf numFmtId="167" fontId="43" fillId="13" borderId="80" xfId="0" applyNumberFormat="1" applyFont="1" applyFill="1" applyBorder="1" applyAlignment="1">
      <alignment horizontal="center" vertical="center"/>
    </xf>
    <xf numFmtId="166" fontId="43" fillId="13" borderId="80" xfId="0" applyNumberFormat="1" applyFont="1" applyFill="1" applyBorder="1" applyAlignment="1">
      <alignment horizontal="center" vertical="center"/>
    </xf>
    <xf numFmtId="14" fontId="43" fillId="13" borderId="80" xfId="0" applyNumberFormat="1" applyFont="1" applyFill="1" applyBorder="1" applyAlignment="1">
      <alignment horizontal="center" vertical="center" wrapText="1"/>
    </xf>
    <xf numFmtId="1" fontId="43" fillId="0" borderId="80" xfId="0" applyNumberFormat="1" applyFont="1" applyBorder="1" applyAlignment="1">
      <alignment horizontal="center" vertical="center" wrapText="1"/>
    </xf>
    <xf numFmtId="49" fontId="7" fillId="21" borderId="80" xfId="0" applyNumberFormat="1" applyFont="1" applyFill="1" applyBorder="1" applyAlignment="1">
      <alignment horizontal="center" vertical="center"/>
    </xf>
    <xf numFmtId="0" fontId="43" fillId="3" borderId="2" xfId="0" applyFont="1" applyFill="1" applyBorder="1" applyAlignment="1">
      <alignment horizontal="center" vertical="center" wrapText="1"/>
    </xf>
    <xf numFmtId="1" fontId="43" fillId="0" borderId="2" xfId="0" applyNumberFormat="1" applyFont="1" applyBorder="1" applyAlignment="1">
      <alignment horizontal="center" vertical="center" wrapText="1"/>
    </xf>
    <xf numFmtId="4" fontId="43" fillId="0" borderId="2" xfId="0" applyNumberFormat="1" applyFont="1" applyBorder="1" applyAlignment="1">
      <alignment horizontal="center" vertical="center"/>
    </xf>
    <xf numFmtId="2" fontId="43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6" fillId="8" borderId="81" xfId="0" applyFont="1" applyFill="1" applyBorder="1" applyAlignment="1">
      <alignment horizontal="center" vertical="center"/>
    </xf>
    <xf numFmtId="0" fontId="7" fillId="21" borderId="81" xfId="0" applyFont="1" applyFill="1" applyBorder="1" applyAlignment="1">
      <alignment horizontal="center" vertical="center" wrapText="1"/>
    </xf>
    <xf numFmtId="0" fontId="43" fillId="21" borderId="81" xfId="0" applyFont="1" applyFill="1" applyBorder="1" applyAlignment="1">
      <alignment horizontal="center" vertical="center" wrapText="1"/>
    </xf>
    <xf numFmtId="0" fontId="43" fillId="0" borderId="81" xfId="0" applyFont="1" applyBorder="1" applyAlignment="1">
      <alignment horizontal="center" vertical="center" wrapText="1"/>
    </xf>
    <xf numFmtId="0" fontId="43" fillId="21" borderId="81" xfId="0" applyFont="1" applyFill="1" applyBorder="1" applyAlignment="1">
      <alignment horizontal="center" vertical="center"/>
    </xf>
    <xf numFmtId="0" fontId="7" fillId="21" borderId="81" xfId="0" applyFont="1" applyFill="1" applyBorder="1" applyAlignment="1">
      <alignment horizontal="center" vertical="center"/>
    </xf>
    <xf numFmtId="167" fontId="43" fillId="21" borderId="81" xfId="0" applyNumberFormat="1" applyFont="1" applyFill="1" applyBorder="1" applyAlignment="1">
      <alignment horizontal="center" vertical="center"/>
    </xf>
    <xf numFmtId="166" fontId="43" fillId="0" borderId="81" xfId="0" applyNumberFormat="1" applyFont="1" applyBorder="1" applyAlignment="1">
      <alignment horizontal="center" vertical="center"/>
    </xf>
    <xf numFmtId="14" fontId="43" fillId="21" borderId="81" xfId="0" applyNumberFormat="1" applyFont="1" applyFill="1" applyBorder="1" applyAlignment="1">
      <alignment horizontal="center" vertical="center" wrapText="1"/>
    </xf>
    <xf numFmtId="170" fontId="7" fillId="21" borderId="81" xfId="0" applyNumberFormat="1" applyFont="1" applyFill="1" applyBorder="1" applyAlignment="1">
      <alignment horizontal="center" vertical="center"/>
    </xf>
    <xf numFmtId="170" fontId="7" fillId="0" borderId="81" xfId="0" applyNumberFormat="1" applyFont="1" applyBorder="1" applyAlignment="1">
      <alignment horizontal="center" vertical="center"/>
    </xf>
    <xf numFmtId="1" fontId="43" fillId="0" borderId="81" xfId="0" applyNumberFormat="1" applyFont="1" applyBorder="1" applyAlignment="1">
      <alignment horizontal="center" vertical="center"/>
    </xf>
    <xf numFmtId="4" fontId="43" fillId="0" borderId="81" xfId="0" applyNumberFormat="1" applyFont="1" applyBorder="1" applyAlignment="1">
      <alignment horizontal="center" vertical="center"/>
    </xf>
    <xf numFmtId="2" fontId="43" fillId="0" borderId="81" xfId="0" applyNumberFormat="1" applyFont="1" applyBorder="1" applyAlignment="1">
      <alignment horizontal="center" vertical="center"/>
    </xf>
    <xf numFmtId="49" fontId="38" fillId="0" borderId="81" xfId="0" applyNumberFormat="1" applyFont="1" applyBorder="1" applyAlignment="1">
      <alignment horizontal="center" vertical="center"/>
    </xf>
    <xf numFmtId="170" fontId="7" fillId="8" borderId="80" xfId="0" applyNumberFormat="1" applyFont="1" applyFill="1" applyBorder="1" applyAlignment="1">
      <alignment horizontal="center" vertical="center"/>
    </xf>
    <xf numFmtId="167" fontId="43" fillId="6" borderId="80" xfId="0" applyNumberFormat="1" applyFont="1" applyFill="1" applyBorder="1" applyAlignment="1">
      <alignment horizontal="center" vertical="center"/>
    </xf>
    <xf numFmtId="0" fontId="8" fillId="21" borderId="80" xfId="0" applyFont="1" applyFill="1" applyBorder="1" applyAlignment="1">
      <alignment horizontal="center" vertical="center" wrapText="1"/>
    </xf>
    <xf numFmtId="0" fontId="43" fillId="10" borderId="80" xfId="0" applyFont="1" applyFill="1" applyBorder="1" applyAlignment="1">
      <alignment horizontal="center" vertical="center" wrapText="1"/>
    </xf>
    <xf numFmtId="0" fontId="39" fillId="21" borderId="80" xfId="0" applyFont="1" applyFill="1" applyBorder="1" applyAlignment="1">
      <alignment horizontal="center" vertical="center" wrapText="1"/>
    </xf>
    <xf numFmtId="0" fontId="39" fillId="21" borderId="80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 wrapText="1"/>
    </xf>
    <xf numFmtId="0" fontId="6" fillId="20" borderId="34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6" fillId="0" borderId="2" xfId="0" applyFont="1" applyBorder="1" applyAlignment="1">
      <alignment horizontal="center" vertical="center"/>
    </xf>
    <xf numFmtId="0" fontId="66" fillId="0" borderId="80" xfId="0" applyFont="1" applyBorder="1" applyAlignment="1">
      <alignment horizontal="center" vertical="center"/>
    </xf>
    <xf numFmtId="0" fontId="66" fillId="21" borderId="80" xfId="0" applyFont="1" applyFill="1" applyBorder="1" applyAlignment="1">
      <alignment horizontal="center" vertical="center"/>
    </xf>
    <xf numFmtId="0" fontId="7" fillId="6" borderId="49" xfId="0" applyFont="1" applyFill="1" applyBorder="1" applyAlignment="1" applyProtection="1">
      <alignment horizontal="center" vertical="center"/>
      <protection locked="0"/>
    </xf>
    <xf numFmtId="170" fontId="7" fillId="21" borderId="80" xfId="0" applyNumberFormat="1" applyFont="1" applyFill="1" applyBorder="1" applyAlignment="1">
      <alignment horizontal="center" vertical="center" wrapText="1"/>
    </xf>
    <xf numFmtId="167" fontId="43" fillId="43" borderId="80" xfId="0" applyNumberFormat="1" applyFont="1" applyFill="1" applyBorder="1" applyAlignment="1">
      <alignment horizontal="center" vertical="center"/>
    </xf>
    <xf numFmtId="0" fontId="10" fillId="21" borderId="0" xfId="0" applyFont="1" applyFill="1" applyAlignment="1">
      <alignment horizontal="center" vertical="center"/>
    </xf>
    <xf numFmtId="0" fontId="9" fillId="21" borderId="90" xfId="0" applyFont="1" applyFill="1" applyBorder="1" applyAlignment="1">
      <alignment horizontal="center" vertical="center" wrapText="1"/>
    </xf>
    <xf numFmtId="0" fontId="9" fillId="0" borderId="90" xfId="0" applyFont="1" applyBorder="1" applyAlignment="1">
      <alignment horizontal="center" vertical="center" wrapText="1"/>
    </xf>
    <xf numFmtId="0" fontId="9" fillId="21" borderId="90" xfId="0" applyFont="1" applyFill="1" applyBorder="1" applyAlignment="1">
      <alignment horizontal="center" vertical="center"/>
    </xf>
    <xf numFmtId="167" fontId="9" fillId="21" borderId="90" xfId="0" applyNumberFormat="1" applyFont="1" applyFill="1" applyBorder="1" applyAlignment="1">
      <alignment horizontal="center" vertical="center"/>
    </xf>
    <xf numFmtId="1" fontId="9" fillId="0" borderId="90" xfId="0" applyNumberFormat="1" applyFont="1" applyBorder="1" applyAlignment="1">
      <alignment horizontal="center" vertical="center"/>
    </xf>
    <xf numFmtId="14" fontId="9" fillId="0" borderId="90" xfId="0" applyNumberFormat="1" applyFont="1" applyBorder="1" applyAlignment="1">
      <alignment horizontal="center" vertical="center" wrapText="1"/>
    </xf>
    <xf numFmtId="4" fontId="9" fillId="0" borderId="90" xfId="0" applyNumberFormat="1" applyFont="1" applyBorder="1" applyAlignment="1">
      <alignment horizontal="center" vertical="center"/>
    </xf>
    <xf numFmtId="2" fontId="9" fillId="0" borderId="90" xfId="0" applyNumberFormat="1" applyFont="1" applyBorder="1" applyAlignment="1">
      <alignment horizontal="center" vertical="center"/>
    </xf>
    <xf numFmtId="167" fontId="9" fillId="21" borderId="90" xfId="0" applyNumberFormat="1" applyFont="1" applyFill="1" applyBorder="1" applyAlignment="1">
      <alignment horizontal="center" vertical="center" wrapText="1"/>
    </xf>
    <xf numFmtId="1" fontId="9" fillId="0" borderId="90" xfId="0" applyNumberFormat="1" applyFont="1" applyBorder="1" applyAlignment="1">
      <alignment horizontal="center" vertical="center" wrapText="1"/>
    </xf>
    <xf numFmtId="170" fontId="9" fillId="21" borderId="90" xfId="0" applyNumberFormat="1" applyFont="1" applyFill="1" applyBorder="1" applyAlignment="1">
      <alignment horizontal="center" vertical="center"/>
    </xf>
    <xf numFmtId="49" fontId="9" fillId="21" borderId="90" xfId="0" applyNumberFormat="1" applyFont="1" applyFill="1" applyBorder="1" applyAlignment="1">
      <alignment horizontal="center" vertical="center" wrapText="1"/>
    </xf>
    <xf numFmtId="171" fontId="9" fillId="0" borderId="90" xfId="0" applyNumberFormat="1" applyFont="1" applyBorder="1" applyAlignment="1">
      <alignment horizontal="center" vertical="center" wrapText="1"/>
    </xf>
    <xf numFmtId="170" fontId="9" fillId="21" borderId="90" xfId="0" applyNumberFormat="1" applyFont="1" applyFill="1" applyBorder="1" applyAlignment="1">
      <alignment horizontal="center" vertical="center" wrapText="1"/>
    </xf>
    <xf numFmtId="0" fontId="10" fillId="55" borderId="90" xfId="0" applyFont="1" applyFill="1" applyBorder="1" applyAlignment="1" applyProtection="1">
      <alignment horizontal="center" vertical="center" wrapText="1"/>
      <protection locked="0"/>
    </xf>
    <xf numFmtId="0" fontId="10" fillId="54" borderId="90" xfId="0" applyFont="1" applyFill="1" applyBorder="1" applyAlignment="1" applyProtection="1">
      <alignment horizontal="center" vertical="center" wrapText="1"/>
      <protection locked="0"/>
    </xf>
    <xf numFmtId="14" fontId="9" fillId="0" borderId="0" xfId="1" applyNumberFormat="1" applyFont="1" applyAlignment="1">
      <alignment horizontal="center" vertical="center" wrapText="1"/>
    </xf>
    <xf numFmtId="14" fontId="9" fillId="0" borderId="90" xfId="0" applyNumberFormat="1" applyFont="1" applyBorder="1" applyAlignment="1">
      <alignment horizontal="center" vertical="center"/>
    </xf>
    <xf numFmtId="49" fontId="9" fillId="21" borderId="90" xfId="0" applyNumberFormat="1" applyFont="1" applyFill="1" applyBorder="1" applyAlignment="1">
      <alignment horizontal="center" vertical="center"/>
    </xf>
    <xf numFmtId="171" fontId="9" fillId="0" borderId="90" xfId="0" applyNumberFormat="1" applyFont="1" applyBorder="1" applyAlignment="1">
      <alignment horizontal="center" vertical="center"/>
    </xf>
    <xf numFmtId="0" fontId="67" fillId="21" borderId="0" xfId="1" applyFont="1" applyFill="1" applyAlignment="1">
      <alignment horizontal="center" vertical="center" wrapText="1"/>
    </xf>
    <xf numFmtId="4" fontId="9" fillId="0" borderId="90" xfId="0" applyNumberFormat="1" applyFont="1" applyBorder="1" applyAlignment="1">
      <alignment horizontal="center" vertical="center" wrapText="1"/>
    </xf>
    <xf numFmtId="2" fontId="9" fillId="0" borderId="90" xfId="0" applyNumberFormat="1" applyFont="1" applyBorder="1" applyAlignment="1">
      <alignment horizontal="center" vertical="center" wrapText="1"/>
    </xf>
    <xf numFmtId="0" fontId="10" fillId="21" borderId="0" xfId="0" applyFont="1" applyFill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21" borderId="0" xfId="1" applyFont="1" applyFill="1" applyAlignment="1">
      <alignment horizontal="center" vertical="center" wrapText="1"/>
    </xf>
    <xf numFmtId="0" fontId="10" fillId="21" borderId="0" xfId="1" applyFont="1" applyFill="1" applyAlignment="1">
      <alignment horizontal="center" vertical="center" wrapText="1"/>
    </xf>
    <xf numFmtId="1" fontId="9" fillId="0" borderId="0" xfId="1" applyNumberFormat="1" applyFont="1" applyAlignment="1">
      <alignment horizontal="center" vertical="center" wrapText="1"/>
    </xf>
    <xf numFmtId="171" fontId="9" fillId="21" borderId="0" xfId="1" applyNumberFormat="1" applyFont="1" applyFill="1" applyAlignment="1">
      <alignment horizontal="center" vertical="center" wrapText="1"/>
    </xf>
    <xf numFmtId="170" fontId="9" fillId="0" borderId="0" xfId="1" applyNumberFormat="1" applyFont="1" applyAlignment="1">
      <alignment horizontal="center" vertical="center" wrapText="1"/>
    </xf>
    <xf numFmtId="49" fontId="9" fillId="0" borderId="90" xfId="0" applyNumberFormat="1" applyFont="1" applyBorder="1" applyAlignment="1">
      <alignment horizontal="center" vertical="center" wrapText="1"/>
    </xf>
    <xf numFmtId="0" fontId="69" fillId="21" borderId="0" xfId="1" applyFont="1" applyFill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/>
    </xf>
    <xf numFmtId="49" fontId="10" fillId="21" borderId="0" xfId="1" applyNumberFormat="1" applyFont="1" applyFill="1" applyAlignment="1">
      <alignment horizontal="center" vertical="center" wrapText="1"/>
    </xf>
    <xf numFmtId="0" fontId="68" fillId="6" borderId="90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48" borderId="35" xfId="0" applyFont="1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1" fillId="7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8" fillId="19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17" borderId="24" xfId="0" applyFont="1" applyFill="1" applyBorder="1" applyAlignment="1">
      <alignment horizontal="center" vertical="center"/>
    </xf>
    <xf numFmtId="0" fontId="6" fillId="10" borderId="34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6" fillId="13" borderId="29" xfId="0" applyFont="1" applyFill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/>
    </xf>
    <xf numFmtId="0" fontId="6" fillId="0" borderId="0" xfId="0" applyFont="1"/>
    <xf numFmtId="0" fontId="68" fillId="0" borderId="0" xfId="1" applyFont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0" fillId="7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7" fillId="17" borderId="24" xfId="0" applyFont="1" applyFill="1" applyBorder="1" applyAlignment="1">
      <alignment horizontal="center" vertical="center"/>
    </xf>
    <xf numFmtId="0" fontId="7" fillId="13" borderId="29" xfId="0" applyFont="1" applyFill="1" applyBorder="1" applyAlignment="1">
      <alignment horizontal="center" vertical="center"/>
    </xf>
    <xf numFmtId="0" fontId="7" fillId="53" borderId="49" xfId="0" applyFont="1" applyFill="1" applyBorder="1" applyAlignment="1">
      <alignment horizontal="center" vertical="center"/>
    </xf>
    <xf numFmtId="0" fontId="7" fillId="0" borderId="0" xfId="0" applyFont="1"/>
    <xf numFmtId="0" fontId="7" fillId="48" borderId="112" xfId="0" applyFont="1" applyFill="1" applyBorder="1" applyAlignment="1">
      <alignment horizontal="center" vertical="center"/>
    </xf>
    <xf numFmtId="0" fontId="7" fillId="4" borderId="112" xfId="0" applyFont="1" applyFill="1" applyBorder="1" applyAlignment="1">
      <alignment horizontal="center" vertical="center" wrapText="1"/>
    </xf>
    <xf numFmtId="0" fontId="7" fillId="6" borderId="112" xfId="0" applyFont="1" applyFill="1" applyBorder="1" applyAlignment="1">
      <alignment horizontal="center" vertical="center"/>
    </xf>
    <xf numFmtId="0" fontId="60" fillId="11" borderId="112" xfId="0" applyFont="1" applyFill="1" applyBorder="1" applyAlignment="1">
      <alignment horizontal="center" vertical="center"/>
    </xf>
    <xf numFmtId="0" fontId="7" fillId="3" borderId="112" xfId="0" applyFont="1" applyFill="1" applyBorder="1" applyAlignment="1">
      <alignment horizontal="center" vertical="center"/>
    </xf>
    <xf numFmtId="0" fontId="7" fillId="14" borderId="112" xfId="0" applyFont="1" applyFill="1" applyBorder="1" applyAlignment="1">
      <alignment horizontal="center" vertical="center"/>
    </xf>
    <xf numFmtId="0" fontId="7" fillId="20" borderId="112" xfId="0" applyFont="1" applyFill="1" applyBorder="1" applyAlignment="1">
      <alignment horizontal="center" vertical="center"/>
    </xf>
    <xf numFmtId="0" fontId="7" fillId="15" borderId="112" xfId="0" applyFont="1" applyFill="1" applyBorder="1" applyAlignment="1">
      <alignment horizontal="center" vertical="center"/>
    </xf>
    <xf numFmtId="0" fontId="7" fillId="10" borderId="112" xfId="0" applyFont="1" applyFill="1" applyBorder="1" applyAlignment="1">
      <alignment horizontal="center" vertical="center"/>
    </xf>
    <xf numFmtId="0" fontId="9" fillId="21" borderId="142" xfId="0" applyFont="1" applyFill="1" applyBorder="1" applyAlignment="1">
      <alignment horizontal="center" vertical="center" wrapText="1"/>
    </xf>
    <xf numFmtId="49" fontId="10" fillId="54" borderId="90" xfId="0" applyNumberFormat="1" applyFont="1" applyFill="1" applyBorder="1" applyAlignment="1" applyProtection="1">
      <alignment horizontal="center" vertical="center" wrapText="1"/>
      <protection locked="0"/>
    </xf>
    <xf numFmtId="14" fontId="10" fillId="55" borderId="90" xfId="0" applyNumberFormat="1" applyFont="1" applyFill="1" applyBorder="1" applyAlignment="1" applyProtection="1">
      <alignment horizontal="center" vertical="center" wrapText="1"/>
      <protection locked="0"/>
    </xf>
    <xf numFmtId="0" fontId="10" fillId="55" borderId="113" xfId="0" applyFont="1" applyFill="1" applyBorder="1" applyAlignment="1" applyProtection="1">
      <alignment horizontal="center" vertical="center" wrapText="1"/>
      <protection locked="0"/>
    </xf>
    <xf numFmtId="0" fontId="10" fillId="54" borderId="113" xfId="0" applyFont="1" applyFill="1" applyBorder="1" applyAlignment="1" applyProtection="1">
      <alignment horizontal="center" vertical="center" wrapText="1"/>
      <protection locked="0"/>
    </xf>
    <xf numFmtId="1" fontId="10" fillId="54" borderId="113" xfId="0" applyNumberFormat="1" applyFont="1" applyFill="1" applyBorder="1" applyAlignment="1" applyProtection="1">
      <alignment horizontal="center" vertical="center" wrapText="1"/>
      <protection locked="0"/>
    </xf>
    <xf numFmtId="2" fontId="10" fillId="54" borderId="113" xfId="0" applyNumberFormat="1" applyFont="1" applyFill="1" applyBorder="1" applyAlignment="1" applyProtection="1">
      <alignment horizontal="center" vertical="center" wrapText="1"/>
      <protection locked="0"/>
    </xf>
    <xf numFmtId="171" fontId="10" fillId="54" borderId="113" xfId="0" applyNumberFormat="1" applyFont="1" applyFill="1" applyBorder="1" applyAlignment="1" applyProtection="1">
      <alignment horizontal="center" vertical="center" wrapText="1"/>
      <protection locked="0"/>
    </xf>
    <xf numFmtId="14" fontId="10" fillId="54" borderId="113" xfId="0" applyNumberFormat="1" applyFont="1" applyFill="1" applyBorder="1" applyAlignment="1" applyProtection="1">
      <alignment horizontal="center" vertical="center" wrapText="1"/>
      <protection locked="0"/>
    </xf>
    <xf numFmtId="0" fontId="10" fillId="55" borderId="142" xfId="0" applyFont="1" applyFill="1" applyBorder="1" applyAlignment="1" applyProtection="1">
      <alignment horizontal="center" vertical="center" wrapText="1"/>
      <protection locked="0"/>
    </xf>
    <xf numFmtId="0" fontId="9" fillId="21" borderId="142" xfId="0" applyFont="1" applyFill="1" applyBorder="1" applyAlignment="1">
      <alignment horizontal="center" vertical="center"/>
    </xf>
    <xf numFmtId="167" fontId="9" fillId="0" borderId="0" xfId="1" applyNumberFormat="1" applyFont="1" applyAlignment="1">
      <alignment horizontal="center" vertical="center" wrapText="1"/>
    </xf>
    <xf numFmtId="167" fontId="9" fillId="21" borderId="142" xfId="0" applyNumberFormat="1" applyFont="1" applyFill="1" applyBorder="1" applyAlignment="1">
      <alignment horizontal="center" vertical="center"/>
    </xf>
    <xf numFmtId="14" fontId="9" fillId="0" borderId="142" xfId="0" applyNumberFormat="1" applyFont="1" applyBorder="1" applyAlignment="1">
      <alignment horizontal="center" vertical="center"/>
    </xf>
    <xf numFmtId="1" fontId="9" fillId="0" borderId="142" xfId="0" applyNumberFormat="1" applyFont="1" applyBorder="1" applyAlignment="1">
      <alignment horizontal="center" vertical="center"/>
    </xf>
    <xf numFmtId="0" fontId="9" fillId="0" borderId="142" xfId="0" applyFont="1" applyBorder="1" applyAlignment="1">
      <alignment horizontal="center" vertical="center" wrapText="1"/>
    </xf>
    <xf numFmtId="14" fontId="9" fillId="0" borderId="142" xfId="0" applyNumberFormat="1" applyFont="1" applyBorder="1" applyAlignment="1">
      <alignment horizontal="center" vertical="center" wrapText="1"/>
    </xf>
    <xf numFmtId="4" fontId="9" fillId="0" borderId="142" xfId="0" applyNumberFormat="1" applyFont="1" applyBorder="1" applyAlignment="1">
      <alignment horizontal="center" vertical="center"/>
    </xf>
    <xf numFmtId="2" fontId="9" fillId="0" borderId="142" xfId="0" applyNumberFormat="1" applyFont="1" applyBorder="1" applyAlignment="1">
      <alignment horizontal="center" vertical="center"/>
    </xf>
    <xf numFmtId="171" fontId="9" fillId="0" borderId="142" xfId="0" applyNumberFormat="1" applyFont="1" applyBorder="1" applyAlignment="1">
      <alignment horizontal="center" vertical="center"/>
    </xf>
    <xf numFmtId="0" fontId="0" fillId="0" borderId="142" xfId="0" applyBorder="1" applyAlignment="1">
      <alignment horizontal="center" vertical="center"/>
    </xf>
    <xf numFmtId="170" fontId="9" fillId="21" borderId="142" xfId="0" applyNumberFormat="1" applyFont="1" applyFill="1" applyBorder="1" applyAlignment="1">
      <alignment horizontal="center" vertical="center"/>
    </xf>
    <xf numFmtId="49" fontId="9" fillId="21" borderId="142" xfId="0" applyNumberFormat="1" applyFont="1" applyFill="1" applyBorder="1" applyAlignment="1">
      <alignment horizontal="center" vertical="center" wrapText="1"/>
    </xf>
    <xf numFmtId="49" fontId="9" fillId="0" borderId="142" xfId="0" applyNumberFormat="1" applyFont="1" applyBorder="1" applyAlignment="1">
      <alignment horizontal="center" vertical="center" wrapText="1"/>
    </xf>
    <xf numFmtId="0" fontId="94" fillId="0" borderId="0" xfId="0" applyFont="1"/>
    <xf numFmtId="0" fontId="9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4" fontId="0" fillId="0" borderId="0" xfId="0" applyNumberFormat="1"/>
    <xf numFmtId="8" fontId="94" fillId="0" borderId="0" xfId="0" applyNumberFormat="1" applyFont="1" applyAlignment="1">
      <alignment horizontal="left" vertical="top"/>
    </xf>
    <xf numFmtId="0" fontId="94" fillId="74" borderId="0" xfId="0" applyFont="1" applyFill="1"/>
    <xf numFmtId="0" fontId="94" fillId="75" borderId="0" xfId="0" applyFont="1" applyFill="1"/>
    <xf numFmtId="0" fontId="0" fillId="75" borderId="0" xfId="0" applyFill="1"/>
    <xf numFmtId="0" fontId="0" fillId="22" borderId="0" xfId="0" applyFill="1"/>
    <xf numFmtId="0" fontId="95" fillId="0" borderId="0" xfId="0" applyFont="1" applyAlignment="1">
      <alignment horizontal="center"/>
    </xf>
    <xf numFmtId="0" fontId="95" fillId="0" borderId="0" xfId="0" applyFont="1" applyAlignment="1">
      <alignment horizontal="left" vertical="top"/>
    </xf>
    <xf numFmtId="167" fontId="9" fillId="0" borderId="142" xfId="0" applyNumberFormat="1" applyFont="1" applyBorder="1" applyAlignment="1">
      <alignment horizontal="center" vertical="center"/>
    </xf>
    <xf numFmtId="0" fontId="10" fillId="21" borderId="81" xfId="0" applyFont="1" applyFill="1" applyBorder="1" applyAlignment="1">
      <alignment horizontal="center" vertical="center"/>
    </xf>
    <xf numFmtId="0" fontId="9" fillId="0" borderId="142" xfId="0" applyFont="1" applyBorder="1" applyAlignment="1">
      <alignment horizontal="center" vertical="center"/>
    </xf>
    <xf numFmtId="179" fontId="9" fillId="0" borderId="142" xfId="0" applyNumberFormat="1" applyFont="1" applyBorder="1" applyAlignment="1">
      <alignment horizontal="center" vertical="center"/>
    </xf>
    <xf numFmtId="49" fontId="9" fillId="21" borderId="142" xfId="0" applyNumberFormat="1" applyFont="1" applyFill="1" applyBorder="1" applyAlignment="1">
      <alignment horizontal="center" vertical="center"/>
    </xf>
    <xf numFmtId="0" fontId="7" fillId="15" borderId="142" xfId="0" applyFont="1" applyFill="1" applyBorder="1" applyAlignment="1">
      <alignment horizontal="center" vertical="center"/>
    </xf>
    <xf numFmtId="170" fontId="9" fillId="0" borderId="142" xfId="0" applyNumberFormat="1" applyFont="1" applyBorder="1" applyAlignment="1">
      <alignment horizontal="center" vertical="center"/>
    </xf>
    <xf numFmtId="167" fontId="9" fillId="0" borderId="142" xfId="0" applyNumberFormat="1" applyFont="1" applyBorder="1" applyAlignment="1">
      <alignment horizontal="center" vertical="center" wrapText="1"/>
    </xf>
    <xf numFmtId="171" fontId="9" fillId="0" borderId="0" xfId="1" applyNumberFormat="1" applyFont="1" applyAlignment="1">
      <alignment horizontal="center" vertical="center" wrapText="1"/>
    </xf>
    <xf numFmtId="171" fontId="9" fillId="3" borderId="0" xfId="1" applyNumberFormat="1" applyFont="1" applyFill="1" applyAlignment="1">
      <alignment horizontal="center" vertical="center" wrapText="1"/>
    </xf>
    <xf numFmtId="0" fontId="10" fillId="6" borderId="90" xfId="0" applyFont="1" applyFill="1" applyBorder="1" applyAlignment="1">
      <alignment horizontal="center" vertical="center" wrapText="1"/>
    </xf>
    <xf numFmtId="167" fontId="94" fillId="0" borderId="0" xfId="0" applyNumberFormat="1" applyFont="1" applyAlignment="1">
      <alignment horizontal="right"/>
    </xf>
    <xf numFmtId="0" fontId="97" fillId="0" borderId="0" xfId="0" applyFont="1" applyAlignment="1">
      <alignment horizontal="center"/>
    </xf>
    <xf numFmtId="8" fontId="0" fillId="0" borderId="0" xfId="0" applyNumberFormat="1"/>
    <xf numFmtId="8" fontId="98" fillId="0" borderId="0" xfId="0" applyNumberFormat="1" applyFont="1"/>
    <xf numFmtId="180" fontId="9" fillId="0" borderId="142" xfId="0" applyNumberFormat="1" applyFont="1" applyBorder="1" applyAlignment="1">
      <alignment horizontal="center" vertical="center"/>
    </xf>
    <xf numFmtId="180" fontId="9" fillId="0" borderId="0" xfId="1" applyNumberFormat="1" applyFont="1" applyAlignment="1">
      <alignment horizontal="center" vertical="center" wrapText="1"/>
    </xf>
    <xf numFmtId="180" fontId="10" fillId="54" borderId="90" xfId="0" applyNumberFormat="1" applyFont="1" applyFill="1" applyBorder="1" applyAlignment="1" applyProtection="1">
      <alignment horizontal="center" vertical="center" wrapText="1"/>
      <protection locked="0"/>
    </xf>
    <xf numFmtId="0" fontId="7" fillId="6" borderId="1" xfId="0" applyFont="1" applyFill="1" applyBorder="1" applyAlignment="1">
      <alignment horizontal="center" vertical="center"/>
    </xf>
    <xf numFmtId="0" fontId="10" fillId="74" borderId="90" xfId="0" applyFont="1" applyFill="1" applyBorder="1" applyAlignment="1" applyProtection="1">
      <alignment horizontal="center" vertical="center" wrapText="1"/>
      <protection locked="0"/>
    </xf>
    <xf numFmtId="0" fontId="10" fillId="74" borderId="142" xfId="0" applyFont="1" applyFill="1" applyBorder="1" applyAlignment="1" applyProtection="1">
      <alignment horizontal="center" vertical="center" wrapText="1"/>
      <protection locked="0"/>
    </xf>
    <xf numFmtId="49" fontId="10" fillId="74" borderId="90" xfId="0" applyNumberFormat="1" applyFont="1" applyFill="1" applyBorder="1" applyAlignment="1" applyProtection="1">
      <alignment horizontal="center" vertical="center" wrapText="1"/>
      <protection locked="0"/>
    </xf>
    <xf numFmtId="49" fontId="10" fillId="74" borderId="142" xfId="0" applyNumberFormat="1" applyFont="1" applyFill="1" applyBorder="1" applyAlignment="1" applyProtection="1">
      <alignment horizontal="center" vertical="center" wrapText="1"/>
      <protection locked="0"/>
    </xf>
    <xf numFmtId="14" fontId="10" fillId="74" borderId="90" xfId="0" applyNumberFormat="1" applyFont="1" applyFill="1" applyBorder="1" applyAlignment="1" applyProtection="1">
      <alignment horizontal="center" vertical="center" wrapText="1"/>
      <protection locked="0"/>
    </xf>
    <xf numFmtId="0" fontId="10" fillId="74" borderId="113" xfId="0" applyFont="1" applyFill="1" applyBorder="1" applyAlignment="1" applyProtection="1">
      <alignment horizontal="center" vertical="center" wrapText="1"/>
      <protection locked="0"/>
    </xf>
    <xf numFmtId="181" fontId="10" fillId="21" borderId="0" xfId="1" applyNumberFormat="1" applyFont="1" applyFill="1" applyAlignment="1">
      <alignment horizontal="center" vertical="center" wrapText="1"/>
    </xf>
    <xf numFmtId="181" fontId="10" fillId="74" borderId="90" xfId="0" applyNumberFormat="1" applyFont="1" applyFill="1" applyBorder="1" applyAlignment="1" applyProtection="1">
      <alignment horizontal="center" vertical="center" wrapText="1"/>
      <protection locked="0"/>
    </xf>
    <xf numFmtId="181" fontId="9" fillId="21" borderId="90" xfId="0" applyNumberFormat="1" applyFont="1" applyFill="1" applyBorder="1" applyAlignment="1">
      <alignment horizontal="center" vertical="center"/>
    </xf>
    <xf numFmtId="181" fontId="9" fillId="21" borderId="142" xfId="0" applyNumberFormat="1" applyFont="1" applyFill="1" applyBorder="1" applyAlignment="1">
      <alignment horizontal="center" vertical="center"/>
    </xf>
    <xf numFmtId="181" fontId="9" fillId="0" borderId="142" xfId="0" applyNumberFormat="1" applyFont="1" applyBorder="1" applyAlignment="1">
      <alignment horizontal="center" vertical="center"/>
    </xf>
    <xf numFmtId="181" fontId="9" fillId="0" borderId="142" xfId="0" applyNumberFormat="1" applyFont="1" applyBorder="1" applyAlignment="1">
      <alignment horizontal="center" vertical="center" wrapText="1"/>
    </xf>
    <xf numFmtId="181" fontId="9" fillId="21" borderId="142" xfId="0" applyNumberFormat="1" applyFont="1" applyFill="1" applyBorder="1" applyAlignment="1">
      <alignment horizontal="center" vertical="center" wrapText="1"/>
    </xf>
    <xf numFmtId="181" fontId="9" fillId="21" borderId="90" xfId="0" applyNumberFormat="1" applyFont="1" applyFill="1" applyBorder="1" applyAlignment="1">
      <alignment horizontal="center" vertical="center" wrapText="1"/>
    </xf>
    <xf numFmtId="182" fontId="9" fillId="21" borderId="0" xfId="1" applyNumberFormat="1" applyFont="1" applyFill="1" applyAlignment="1">
      <alignment horizontal="center" vertical="center" wrapText="1"/>
    </xf>
    <xf numFmtId="182" fontId="10" fillId="54" borderId="90" xfId="0" applyNumberFormat="1" applyFont="1" applyFill="1" applyBorder="1" applyAlignment="1" applyProtection="1">
      <alignment horizontal="center" vertical="center" wrapText="1"/>
      <protection locked="0"/>
    </xf>
    <xf numFmtId="182" fontId="10" fillId="54" borderId="113" xfId="0" applyNumberFormat="1" applyFont="1" applyFill="1" applyBorder="1" applyAlignment="1" applyProtection="1">
      <alignment horizontal="center" vertical="center" wrapText="1"/>
      <protection locked="0"/>
    </xf>
    <xf numFmtId="182" fontId="9" fillId="21" borderId="90" xfId="0" applyNumberFormat="1" applyFont="1" applyFill="1" applyBorder="1" applyAlignment="1">
      <alignment horizontal="center" vertical="center"/>
    </xf>
    <xf numFmtId="182" fontId="9" fillId="21" borderId="142" xfId="0" applyNumberFormat="1" applyFont="1" applyFill="1" applyBorder="1" applyAlignment="1">
      <alignment horizontal="center" vertical="center"/>
    </xf>
    <xf numFmtId="182" fontId="9" fillId="0" borderId="142" xfId="0" applyNumberFormat="1" applyFont="1" applyBorder="1" applyAlignment="1">
      <alignment horizontal="center" vertical="center"/>
    </xf>
    <xf numFmtId="182" fontId="9" fillId="21" borderId="90" xfId="0" applyNumberFormat="1" applyFont="1" applyFill="1" applyBorder="1" applyAlignment="1">
      <alignment horizontal="center" vertical="center" wrapText="1"/>
    </xf>
    <xf numFmtId="44" fontId="9" fillId="21" borderId="0" xfId="6413" applyFont="1" applyFill="1" applyAlignment="1">
      <alignment horizontal="center" vertical="center" wrapText="1"/>
    </xf>
    <xf numFmtId="44" fontId="9" fillId="0" borderId="0" xfId="6413" applyFont="1" applyAlignment="1">
      <alignment horizontal="center" vertical="center" wrapText="1"/>
    </xf>
    <xf numFmtId="44" fontId="10" fillId="54" borderId="90" xfId="6413" applyFont="1" applyFill="1" applyBorder="1" applyAlignment="1" applyProtection="1">
      <alignment horizontal="center" vertical="center" wrapText="1"/>
      <protection locked="0"/>
    </xf>
    <xf numFmtId="44" fontId="9" fillId="21" borderId="90" xfId="6413" applyFont="1" applyFill="1" applyBorder="1" applyAlignment="1">
      <alignment horizontal="center" vertical="center"/>
    </xf>
    <xf numFmtId="44" fontId="9" fillId="0" borderId="90" xfId="6413" applyFont="1" applyBorder="1" applyAlignment="1">
      <alignment horizontal="center" vertical="center"/>
    </xf>
    <xf numFmtId="44" fontId="9" fillId="21" borderId="142" xfId="6413" applyFont="1" applyFill="1" applyBorder="1" applyAlignment="1">
      <alignment horizontal="center" vertical="center"/>
    </xf>
    <xf numFmtId="44" fontId="9" fillId="0" borderId="142" xfId="6413" applyFont="1" applyBorder="1" applyAlignment="1">
      <alignment horizontal="center" vertical="center"/>
    </xf>
    <xf numFmtId="44" fontId="9" fillId="21" borderId="90" xfId="6413" applyFont="1" applyFill="1" applyBorder="1" applyAlignment="1">
      <alignment horizontal="center" vertical="center" wrapText="1"/>
    </xf>
    <xf numFmtId="44" fontId="9" fillId="3" borderId="0" xfId="6413" applyFont="1" applyFill="1" applyAlignment="1">
      <alignment horizontal="center" vertical="center" wrapText="1"/>
    </xf>
    <xf numFmtId="44" fontId="10" fillId="74" borderId="90" xfId="6413" applyFont="1" applyFill="1" applyBorder="1" applyAlignment="1" applyProtection="1">
      <alignment horizontal="center" vertical="center" wrapText="1"/>
      <protection locked="0"/>
    </xf>
    <xf numFmtId="44" fontId="9" fillId="78" borderId="142" xfId="6413" applyFont="1" applyFill="1" applyBorder="1" applyAlignment="1">
      <alignment horizontal="center" vertical="center"/>
    </xf>
    <xf numFmtId="44" fontId="9" fillId="0" borderId="142" xfId="6413" applyFont="1" applyBorder="1" applyAlignment="1">
      <alignment horizontal="center" vertical="center" wrapText="1"/>
    </xf>
    <xf numFmtId="8" fontId="9" fillId="0" borderId="142" xfId="6413" applyNumberFormat="1" applyFont="1" applyBorder="1" applyAlignment="1">
      <alignment horizontal="center" vertical="center"/>
    </xf>
    <xf numFmtId="44" fontId="10" fillId="74" borderId="142" xfId="6413" applyFont="1" applyFill="1" applyBorder="1" applyAlignment="1" applyProtection="1">
      <alignment horizontal="center" vertical="center" wrapText="1"/>
      <protection locked="0"/>
    </xf>
    <xf numFmtId="181" fontId="9" fillId="21" borderId="0" xfId="1" applyNumberFormat="1" applyFont="1" applyFill="1" applyAlignment="1">
      <alignment horizontal="center" vertical="center" wrapText="1"/>
    </xf>
    <xf numFmtId="181" fontId="9" fillId="54" borderId="113" xfId="0" applyNumberFormat="1" applyFont="1" applyFill="1" applyBorder="1" applyAlignment="1" applyProtection="1">
      <alignment horizontal="center" vertical="center" wrapText="1"/>
      <protection locked="0"/>
    </xf>
    <xf numFmtId="181" fontId="9" fillId="21" borderId="0" xfId="0" applyNumberFormat="1" applyFont="1" applyFill="1" applyAlignment="1">
      <alignment horizontal="center" vertical="center"/>
    </xf>
    <xf numFmtId="0" fontId="13" fillId="23" borderId="12" xfId="0" applyFont="1" applyFill="1" applyBorder="1" applyAlignment="1">
      <alignment horizontal="center" vertical="top" wrapText="1"/>
    </xf>
    <xf numFmtId="0" fontId="13" fillId="23" borderId="11" xfId="0" applyFont="1" applyFill="1" applyBorder="1" applyAlignment="1">
      <alignment horizontal="center" vertical="top" wrapText="1"/>
    </xf>
    <xf numFmtId="0" fontId="13" fillId="23" borderId="13" xfId="0" applyFont="1" applyFill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169" fontId="13" fillId="0" borderId="8" xfId="0" applyNumberFormat="1" applyFont="1" applyBorder="1" applyAlignment="1">
      <alignment horizontal="left" vertical="center" shrinkToFit="1"/>
    </xf>
    <xf numFmtId="169" fontId="13" fillId="0" borderId="10" xfId="0" applyNumberFormat="1" applyFont="1" applyBorder="1" applyAlignment="1">
      <alignment horizontal="left" vertical="center" shrinkToFit="1"/>
    </xf>
    <xf numFmtId="169" fontId="13" fillId="0" borderId="9" xfId="0" applyNumberFormat="1" applyFont="1" applyBorder="1" applyAlignment="1">
      <alignment horizontal="left" vertical="center" shrinkToFit="1"/>
    </xf>
    <xf numFmtId="0" fontId="12" fillId="0" borderId="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1" fillId="0" borderId="33" xfId="0" applyFont="1" applyBorder="1" applyAlignment="1">
      <alignment horizontal="left" vertical="center"/>
    </xf>
    <xf numFmtId="0" fontId="51" fillId="0" borderId="33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23" borderId="8" xfId="0" applyFont="1" applyFill="1" applyBorder="1" applyAlignment="1">
      <alignment horizontal="center" vertical="top" wrapText="1"/>
    </xf>
    <xf numFmtId="0" fontId="13" fillId="23" borderId="10" xfId="0" applyFont="1" applyFill="1" applyBorder="1" applyAlignment="1">
      <alignment horizontal="center" vertical="top" wrapText="1"/>
    </xf>
    <xf numFmtId="0" fontId="13" fillId="23" borderId="9" xfId="0" applyFont="1" applyFill="1" applyBorder="1" applyAlignment="1">
      <alignment horizontal="center" vertical="top" wrapText="1"/>
    </xf>
    <xf numFmtId="0" fontId="49" fillId="0" borderId="1" xfId="3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94" fillId="76" borderId="0" xfId="0" applyFont="1" applyFill="1" applyAlignment="1">
      <alignment horizontal="center"/>
    </xf>
    <xf numFmtId="0" fontId="94" fillId="0" borderId="0" xfId="0" applyFont="1" applyAlignment="1">
      <alignment horizontal="left" vertical="top" wrapText="1"/>
    </xf>
    <xf numFmtId="0" fontId="94" fillId="0" borderId="0" xfId="0" applyFont="1" applyAlignment="1">
      <alignment horizontal="left" vertical="top"/>
    </xf>
    <xf numFmtId="0" fontId="1" fillId="6" borderId="0" xfId="0" applyFont="1" applyFill="1" applyAlignment="1">
      <alignment horizontal="center"/>
    </xf>
    <xf numFmtId="0" fontId="95" fillId="0" borderId="0" xfId="0" applyFont="1" applyAlignment="1">
      <alignment horizontal="center"/>
    </xf>
    <xf numFmtId="1" fontId="94" fillId="0" borderId="0" xfId="0" applyNumberFormat="1" applyFont="1" applyAlignment="1">
      <alignment horizontal="left" vertical="top" wrapText="1"/>
    </xf>
    <xf numFmtId="0" fontId="94" fillId="0" borderId="0" xfId="0" applyFont="1" applyAlignment="1">
      <alignment horizontal="left" vertical="center"/>
    </xf>
    <xf numFmtId="0" fontId="94" fillId="75" borderId="0" xfId="0" applyFont="1" applyFill="1" applyAlignment="1">
      <alignment horizontal="left" vertical="top" wrapText="1"/>
    </xf>
    <xf numFmtId="0" fontId="96" fillId="77" borderId="0" xfId="0" applyFont="1" applyFill="1" applyAlignment="1">
      <alignment horizontal="center"/>
    </xf>
    <xf numFmtId="0" fontId="94" fillId="0" borderId="0" xfId="0" applyFont="1" applyAlignment="1">
      <alignment horizontal="left"/>
    </xf>
    <xf numFmtId="49" fontId="94" fillId="0" borderId="0" xfId="0" applyNumberFormat="1" applyFont="1" applyAlignment="1">
      <alignment horizontal="left"/>
    </xf>
    <xf numFmtId="0" fontId="54" fillId="0" borderId="57" xfId="0" applyFont="1" applyBorder="1" applyAlignment="1">
      <alignment horizontal="left" vertical="center" wrapText="1"/>
    </xf>
    <xf numFmtId="0" fontId="54" fillId="0" borderId="59" xfId="0" applyFont="1" applyBorder="1" applyAlignment="1">
      <alignment horizontal="left" vertical="center" wrapText="1"/>
    </xf>
    <xf numFmtId="0" fontId="54" fillId="0" borderId="58" xfId="0" applyFont="1" applyBorder="1" applyAlignment="1">
      <alignment horizontal="left" vertical="center" wrapText="1"/>
    </xf>
    <xf numFmtId="0" fontId="7" fillId="22" borderId="49" xfId="0" applyFont="1" applyFill="1" applyBorder="1" applyAlignment="1" applyProtection="1">
      <alignment horizontal="center" vertical="center"/>
      <protection locked="0"/>
    </xf>
    <xf numFmtId="0" fontId="7" fillId="22" borderId="49" xfId="0" applyFont="1" applyFill="1" applyBorder="1" applyAlignment="1" applyProtection="1">
      <alignment horizontal="center" vertical="center" wrapText="1"/>
      <protection locked="0"/>
    </xf>
    <xf numFmtId="0" fontId="54" fillId="0" borderId="12" xfId="0" applyFont="1" applyBorder="1" applyAlignment="1">
      <alignment horizontal="left" wrapText="1"/>
    </xf>
    <xf numFmtId="0" fontId="54" fillId="0" borderId="11" xfId="0" applyFont="1" applyBorder="1" applyAlignment="1">
      <alignment horizontal="left" wrapText="1"/>
    </xf>
    <xf numFmtId="0" fontId="54" fillId="0" borderId="13" xfId="0" applyFont="1" applyBorder="1" applyAlignment="1">
      <alignment horizontal="left" wrapText="1"/>
    </xf>
    <xf numFmtId="0" fontId="7" fillId="5" borderId="49" xfId="0" applyFont="1" applyFill="1" applyBorder="1" applyAlignment="1" applyProtection="1">
      <alignment horizontal="center" vertical="center"/>
      <protection locked="0"/>
    </xf>
    <xf numFmtId="14" fontId="38" fillId="5" borderId="49" xfId="0" applyNumberFormat="1" applyFont="1" applyFill="1" applyBorder="1" applyAlignment="1" applyProtection="1">
      <alignment horizontal="center" vertical="center"/>
      <protection locked="0"/>
    </xf>
    <xf numFmtId="0" fontId="38" fillId="5" borderId="49" xfId="0" applyFont="1" applyFill="1" applyBorder="1" applyAlignment="1" applyProtection="1">
      <alignment horizontal="center" vertical="center"/>
      <protection locked="0"/>
    </xf>
    <xf numFmtId="171" fontId="38" fillId="5" borderId="49" xfId="0" applyNumberFormat="1" applyFont="1" applyFill="1" applyBorder="1" applyAlignment="1" applyProtection="1">
      <alignment horizontal="center" vertical="center" wrapText="1"/>
      <protection locked="0"/>
    </xf>
    <xf numFmtId="0" fontId="38" fillId="5" borderId="49" xfId="0" applyFont="1" applyFill="1" applyBorder="1" applyAlignment="1" applyProtection="1">
      <alignment horizontal="center" vertical="center" wrapText="1"/>
      <protection locked="0"/>
    </xf>
    <xf numFmtId="0" fontId="7" fillId="5" borderId="49" xfId="0" applyFont="1" applyFill="1" applyBorder="1" applyAlignment="1" applyProtection="1">
      <alignment horizontal="center" vertical="center" wrapText="1"/>
      <protection locked="0"/>
    </xf>
    <xf numFmtId="0" fontId="7" fillId="5" borderId="28" xfId="0" applyFont="1" applyFill="1" applyBorder="1" applyAlignment="1" applyProtection="1">
      <alignment horizontal="center" vertical="center" wrapText="1"/>
      <protection locked="0"/>
    </xf>
    <xf numFmtId="0" fontId="7" fillId="5" borderId="28" xfId="0" applyFont="1" applyFill="1" applyBorder="1" applyAlignment="1" applyProtection="1">
      <alignment horizontal="center" vertical="center"/>
      <protection locked="0"/>
    </xf>
    <xf numFmtId="2" fontId="7" fillId="5" borderId="52" xfId="0" applyNumberFormat="1" applyFont="1" applyFill="1" applyBorder="1" applyAlignment="1" applyProtection="1">
      <alignment horizontal="center" vertical="center"/>
      <protection locked="0"/>
    </xf>
    <xf numFmtId="0" fontId="6" fillId="5" borderId="49" xfId="0" applyFont="1" applyFill="1" applyBorder="1" applyAlignment="1" applyProtection="1">
      <alignment horizontal="center" vertical="center"/>
      <protection locked="0"/>
    </xf>
    <xf numFmtId="1" fontId="7" fillId="5" borderId="51" xfId="0" applyNumberFormat="1" applyFont="1" applyFill="1" applyBorder="1" applyAlignment="1" applyProtection="1">
      <alignment horizontal="center" vertical="center" wrapText="1"/>
      <protection locked="0"/>
    </xf>
    <xf numFmtId="1" fontId="7" fillId="5" borderId="51" xfId="0" applyNumberFormat="1" applyFont="1" applyFill="1" applyBorder="1" applyAlignment="1" applyProtection="1">
      <alignment horizontal="center" vertical="center"/>
      <protection locked="0"/>
    </xf>
    <xf numFmtId="14" fontId="7" fillId="5" borderId="49" xfId="0" applyNumberFormat="1" applyFont="1" applyFill="1" applyBorder="1" applyAlignment="1" applyProtection="1">
      <alignment horizontal="center" vertical="center"/>
      <protection locked="0"/>
    </xf>
    <xf numFmtId="0" fontId="7" fillId="6" borderId="49" xfId="0" applyFont="1" applyFill="1" applyBorder="1" applyAlignment="1" applyProtection="1">
      <alignment horizontal="center" vertical="center" wrapText="1"/>
      <protection locked="0"/>
    </xf>
    <xf numFmtId="0" fontId="7" fillId="6" borderId="49" xfId="0" applyFont="1" applyFill="1" applyBorder="1" applyAlignment="1" applyProtection="1">
      <alignment horizontal="center" vertical="center"/>
      <protection locked="0"/>
    </xf>
    <xf numFmtId="14" fontId="7" fillId="5" borderId="50" xfId="0" applyNumberFormat="1" applyFont="1" applyFill="1" applyBorder="1" applyAlignment="1" applyProtection="1">
      <alignment horizontal="center" vertical="center"/>
      <protection locked="0"/>
    </xf>
    <xf numFmtId="14" fontId="7" fillId="5" borderId="2" xfId="0" applyNumberFormat="1" applyFont="1" applyFill="1" applyBorder="1" applyAlignment="1" applyProtection="1">
      <alignment horizontal="center" vertical="center"/>
      <protection locked="0"/>
    </xf>
    <xf numFmtId="0" fontId="7" fillId="6" borderId="80" xfId="0" applyFont="1" applyFill="1" applyBorder="1" applyAlignment="1" applyProtection="1">
      <alignment horizontal="center" vertical="center"/>
      <protection locked="0"/>
    </xf>
    <xf numFmtId="0" fontId="10" fillId="54" borderId="142" xfId="0" applyFont="1" applyFill="1" applyBorder="1" applyAlignment="1" applyProtection="1">
      <alignment horizontal="center" vertical="center" wrapText="1"/>
      <protection locked="0"/>
    </xf>
  </cellXfs>
  <cellStyles count="6414">
    <cellStyle name="20% - Accent1 2" xfId="5" xr:uid="{12DB6682-05EA-4AAE-8B73-86B21B88888B}"/>
    <cellStyle name="20% - Accent1 2 2" xfId="296" xr:uid="{7E9FF252-A318-4384-8761-3362A1A98A51}"/>
    <cellStyle name="20% - Accent1 2 3" xfId="226" xr:uid="{2E375607-5168-4B77-A64E-A43B6A9E3799}"/>
    <cellStyle name="20% - Accent2 2" xfId="6" xr:uid="{F20DE43F-1293-4AC8-9F91-D19365124580}"/>
    <cellStyle name="20% - Accent2 2 2" xfId="297" xr:uid="{6289EE7C-5DA6-4A4F-A3C4-BABEA1269D77}"/>
    <cellStyle name="20% - Accent2 2 3" xfId="227" xr:uid="{A364ACB3-610A-4659-8FE0-B6A8A25E961B}"/>
    <cellStyle name="20% - Accent3 2" xfId="7" xr:uid="{AF6E8473-42D6-4A12-9819-61A4CC83D60A}"/>
    <cellStyle name="20% - Accent3 2 2" xfId="298" xr:uid="{02C42297-C4C1-43E3-B9E9-DDC4D8326CD6}"/>
    <cellStyle name="20% - Accent3 2 3" xfId="228" xr:uid="{6F763C38-EE8B-4773-85A7-298C75A850A5}"/>
    <cellStyle name="20% - Accent4 2" xfId="8" xr:uid="{667CABE3-C3FE-4859-B1B6-55C76CA027F2}"/>
    <cellStyle name="20% - Accent4 2 2" xfId="299" xr:uid="{791C37B6-C6A1-4B01-A6FF-CF55AC6854BC}"/>
    <cellStyle name="20% - Accent4 2 3" xfId="229" xr:uid="{960D04CD-E775-46DB-AC63-82E01594E424}"/>
    <cellStyle name="20% - Accent5 2" xfId="9" xr:uid="{D4DE08BA-B41C-4341-8307-50F0847263C8}"/>
    <cellStyle name="20% - Accent5 2 2" xfId="300" xr:uid="{5D1E418A-0950-4002-A32F-766D512A2BB2}"/>
    <cellStyle name="20% - Accent5 2 3" xfId="230" xr:uid="{EDFA5B7C-FDD0-4216-9795-122C77316A4F}"/>
    <cellStyle name="20% - Accent6 2" xfId="10" xr:uid="{3B42EF10-960B-4902-846E-8B4FF52E4481}"/>
    <cellStyle name="20% - Accent6 2 2" xfId="301" xr:uid="{B849AA0E-1929-420D-B746-803F648834C1}"/>
    <cellStyle name="20% - Accent6 2 3" xfId="231" xr:uid="{CDC6D254-2CD6-456C-86B1-62BA830B1A44}"/>
    <cellStyle name="40% - Accent1 2" xfId="11" xr:uid="{9EE2DC06-0465-41C3-B77A-9BA608A003E3}"/>
    <cellStyle name="40% - Accent1 2 2" xfId="302" xr:uid="{E42B46C3-16FF-47D9-8711-E9F1D4B94359}"/>
    <cellStyle name="40% - Accent1 2 3" xfId="232" xr:uid="{176658A8-4F1F-42B2-952E-44635E002826}"/>
    <cellStyle name="40% - Accent2 2" xfId="12" xr:uid="{2C269E91-DF1F-4982-90C3-47B23C5570B0}"/>
    <cellStyle name="40% - Accent2 2 2" xfId="303" xr:uid="{0AE99472-54E5-4325-8842-61F581F13A6A}"/>
    <cellStyle name="40% - Accent2 2 3" xfId="233" xr:uid="{DB44943B-9B94-4326-855B-951F2BC0BD1D}"/>
    <cellStyle name="40% - Accent3 2" xfId="13" xr:uid="{B84EF2D6-9DD6-4381-B468-FA1E55AF4DC8}"/>
    <cellStyle name="40% - Accent3 2 2" xfId="304" xr:uid="{30A37E0E-D2E5-442A-A250-9F5DD559190B}"/>
    <cellStyle name="40% - Accent3 2 3" xfId="234" xr:uid="{2BB8D8FB-706D-4059-9847-A3DA280F901F}"/>
    <cellStyle name="40% - Accent4 2" xfId="14" xr:uid="{C6520902-E2C0-4D3E-8CED-0A61C35D1B16}"/>
    <cellStyle name="40% - Accent4 2 2" xfId="305" xr:uid="{EFE82477-365B-4167-A844-5F3FF1F117EE}"/>
    <cellStyle name="40% - Accent4 2 3" xfId="235" xr:uid="{4CCA5F45-B2C4-40B2-BD9A-C67C3EA9117C}"/>
    <cellStyle name="40% - Accent5 2" xfId="15" xr:uid="{F210AB25-E973-456A-89FA-73A49FDCBFBD}"/>
    <cellStyle name="40% - Accent5 2 2" xfId="306" xr:uid="{8DA33564-068A-452E-9E70-3E6F5CE4B948}"/>
    <cellStyle name="40% - Accent5 2 3" xfId="236" xr:uid="{17F4899C-2CC0-4E92-B5E1-84A463D49CF3}"/>
    <cellStyle name="40% - Accent6 2" xfId="16" xr:uid="{1D01012B-9F5D-4D81-91FA-51F64C42ED91}"/>
    <cellStyle name="40% - Accent6 2 2" xfId="307" xr:uid="{3F0D0F58-8F51-42FF-AE84-A93238DAE853}"/>
    <cellStyle name="40% - Accent6 2 3" xfId="237" xr:uid="{BFC22217-4228-4A8C-B10B-65D395025A23}"/>
    <cellStyle name="60% - Accent1 2" xfId="17" xr:uid="{2F4F0DBC-DF55-420E-A714-4596B2AACF86}"/>
    <cellStyle name="60% - Accent1 2 2" xfId="308" xr:uid="{38699AA9-7CA3-4D6B-BD40-6CA309F4BACC}"/>
    <cellStyle name="60% - Accent1 2 3" xfId="238" xr:uid="{0F6CB886-D149-434B-9599-B89060F78097}"/>
    <cellStyle name="60% - Accent2 2" xfId="18" xr:uid="{2AAF8FA5-245A-4AE5-83C1-B5863A0C6CF3}"/>
    <cellStyle name="60% - Accent2 2 2" xfId="309" xr:uid="{C2AC9157-EA05-4426-9986-7E4A555D516D}"/>
    <cellStyle name="60% - Accent2 2 3" xfId="239" xr:uid="{1F17637F-81DB-4484-A2C3-9BBCED2DCE09}"/>
    <cellStyle name="60% - Accent3 2" xfId="19" xr:uid="{E3ED6874-C150-419C-A77A-78D3974B3232}"/>
    <cellStyle name="60% - Accent3 2 2" xfId="310" xr:uid="{A1969FBD-A9B4-46AC-BC73-B5CD6FAB0B78}"/>
    <cellStyle name="60% - Accent3 2 3" xfId="240" xr:uid="{9BFE327C-886F-4633-B379-83444E815290}"/>
    <cellStyle name="60% - Accent4 2" xfId="20" xr:uid="{2D163FE4-B3BB-4937-9C2E-2758FDF4C2A1}"/>
    <cellStyle name="60% - Accent4 2 2" xfId="311" xr:uid="{14E541D9-0757-4DEE-9F13-F3DFAFD36D99}"/>
    <cellStyle name="60% - Accent4 2 3" xfId="241" xr:uid="{64494919-F0CC-425D-9529-10FDF7466E45}"/>
    <cellStyle name="60% - Accent5 2" xfId="21" xr:uid="{9193FD7C-417A-400B-A2A8-722E4787C286}"/>
    <cellStyle name="60% - Accent5 2 2" xfId="312" xr:uid="{23937F20-7864-4BA5-9526-FC91ACA5C7E9}"/>
    <cellStyle name="60% - Accent5 2 3" xfId="242" xr:uid="{62C5FD5B-D530-47D2-8BD2-177191A6B4C3}"/>
    <cellStyle name="60% - Accent6 2" xfId="22" xr:uid="{F3B887F0-7414-40EA-BB83-F29ADE27A7EC}"/>
    <cellStyle name="60% - Accent6 2 2" xfId="313" xr:uid="{D01AE48F-7963-4ECE-A432-D11952A99755}"/>
    <cellStyle name="60% - Accent6 2 3" xfId="243" xr:uid="{385CF7AF-F70C-41B3-9085-C62E684889CE}"/>
    <cellStyle name="Accent1 2" xfId="23" xr:uid="{065E8B1E-E7C4-42FC-B3B1-144F7566DB89}"/>
    <cellStyle name="Accent1 2 2" xfId="314" xr:uid="{4F639D98-35A1-4EA3-A0B5-BFE5189F719C}"/>
    <cellStyle name="Accent1 2 3" xfId="244" xr:uid="{DBB2AC1C-81B7-44C5-AEC2-B4DD6EAD08E3}"/>
    <cellStyle name="Accent2 2" xfId="24" xr:uid="{DB40BFB2-FE2A-4B7E-847A-6701B5819179}"/>
    <cellStyle name="Accent2 2 2" xfId="315" xr:uid="{527E4204-2B6F-4030-90C1-93F4FF7FBF59}"/>
    <cellStyle name="Accent2 2 3" xfId="245" xr:uid="{F5B8AFF3-96F2-471E-B34A-D17469378204}"/>
    <cellStyle name="Accent3 2" xfId="25" xr:uid="{1C035359-E273-429B-A5BD-73FFBD2FF0D3}"/>
    <cellStyle name="Accent3 2 2" xfId="316" xr:uid="{8AF9388D-40AF-48C6-A884-C83F1BB0376F}"/>
    <cellStyle name="Accent3 2 3" xfId="246" xr:uid="{4E71FD7D-AB9F-483E-AE2A-422F61BD33E4}"/>
    <cellStyle name="Accent4 2" xfId="26" xr:uid="{7524E617-C853-4B29-B707-DC70BA1084C3}"/>
    <cellStyle name="Accent4 2 2" xfId="317" xr:uid="{C9FDB73D-732F-4F73-B7C2-EE9947C5F73A}"/>
    <cellStyle name="Accent4 2 3" xfId="247" xr:uid="{B5D635C8-FB6D-42CB-B365-F65994E8FB96}"/>
    <cellStyle name="Accent5 2" xfId="27" xr:uid="{CCD27DF0-8989-44D3-951B-F8F3F7CB8114}"/>
    <cellStyle name="Accent5 2 2" xfId="318" xr:uid="{B8DC30B7-8754-4801-A9AD-9D73070CDF4B}"/>
    <cellStyle name="Accent5 2 3" xfId="248" xr:uid="{91D74328-03F2-4764-8C88-2D28E82F77E1}"/>
    <cellStyle name="Accent6 2" xfId="28" xr:uid="{350375FE-E2FF-44EC-BD99-407D5D149229}"/>
    <cellStyle name="Accent6 2 2" xfId="319" xr:uid="{064DC8AC-B380-4C17-8811-A3C1575974FA}"/>
    <cellStyle name="Accent6 2 3" xfId="249" xr:uid="{5CFC5088-DE44-4C64-9A26-373A534F1913}"/>
    <cellStyle name="Bad 2" xfId="29" xr:uid="{033AF26A-9D22-4219-8F12-598F49230D6C}"/>
    <cellStyle name="Bad 2 2" xfId="320" xr:uid="{088633CA-10DF-4C9E-B5BA-A4C17F3847B7}"/>
    <cellStyle name="Bad 2 3" xfId="250" xr:uid="{9BF7198F-9D27-4A1D-99DA-C2B209D2CC4F}"/>
    <cellStyle name="Calculation 2" xfId="30" xr:uid="{B3FD5501-8AB7-4360-8F16-581B7E82D464}"/>
    <cellStyle name="Calculation 2 10" xfId="200" xr:uid="{5D9DE9A0-48C7-4C09-9DF5-282B97FD5CD6}"/>
    <cellStyle name="Calculation 2 10 2" xfId="3509" xr:uid="{4CDF51F3-1E02-4C23-B4C7-0AE5BD01A15F}"/>
    <cellStyle name="Calculation 2 11" xfId="212" xr:uid="{2BB313C4-E29F-43BF-8664-7E31716F694B}"/>
    <cellStyle name="Calculation 2 11 2" xfId="3519" xr:uid="{7658443B-9775-46C6-8567-D99C7CEAC82A}"/>
    <cellStyle name="Calculation 2 12" xfId="251" xr:uid="{94D7784C-A3A1-45EA-88B8-2AA6A1E0BC17}"/>
    <cellStyle name="Calculation 2 13" xfId="3382" xr:uid="{92C251F2-3C46-4487-A059-60D8A5191F4A}"/>
    <cellStyle name="Calculation 2 2" xfId="78" xr:uid="{CC7782EA-20DC-4F53-9463-32746FB4258B}"/>
    <cellStyle name="Calculation 2 2 10" xfId="252" xr:uid="{2B839535-D113-4E94-BBDF-FEDD556A2497}"/>
    <cellStyle name="Calculation 2 2 11" xfId="3410" xr:uid="{6428733C-C724-4A0A-AE92-F1546CB7037D}"/>
    <cellStyle name="Calculation 2 2 2" xfId="68" xr:uid="{70E577E8-FFED-446C-B2F2-016B1D8CCD2F}"/>
    <cellStyle name="Calculation 2 2 2 10" xfId="481" xr:uid="{3E9C6004-0C21-48A0-99DD-2F841E72309B}"/>
    <cellStyle name="Calculation 2 2 2 10 2" xfId="3653" xr:uid="{69D30B01-11D6-444B-8CCF-F3DD4F170E82}"/>
    <cellStyle name="Calculation 2 2 2 11" xfId="1077" xr:uid="{6510A758-9DCF-4E3A-B5B4-2DC409165B58}"/>
    <cellStyle name="Calculation 2 2 2 11 2" xfId="4238" xr:uid="{AD4A581A-2AEE-42A2-9B43-AE842C0B5B1D}"/>
    <cellStyle name="Calculation 2 2 2 12" xfId="1616" xr:uid="{397C2D3F-4E0C-4373-9A44-BD080E968951}"/>
    <cellStyle name="Calculation 2 2 2 12 2" xfId="4768" xr:uid="{87890D8E-D75C-448E-BE26-9AF7B80FF9AC}"/>
    <cellStyle name="Calculation 2 2 2 13" xfId="3401" xr:uid="{03B9D7EB-63FB-4DA7-924D-1C86DC67C156}"/>
    <cellStyle name="Calculation 2 2 2 2" xfId="153" xr:uid="{0E2B1052-9848-4176-A8CF-C3E19ACC820E}"/>
    <cellStyle name="Calculation 2 2 2 2 2" xfId="376" xr:uid="{895DD499-3C4D-4D95-92B8-BD17CFD3B290}"/>
    <cellStyle name="Calculation 2 2 2 2 2 2" xfId="681" xr:uid="{8869685D-1F5D-46AE-8256-6B1728206CFB}"/>
    <cellStyle name="Calculation 2 2 2 2 2 2 2" xfId="3844" xr:uid="{DA8E3420-B6A4-440E-806E-58D83C48369A}"/>
    <cellStyle name="Calculation 2 2 2 2 2 3" xfId="1280" xr:uid="{40A6DF88-2700-4205-82ED-E78CD0D86254}"/>
    <cellStyle name="Calculation 2 2 2 2 2 3 2" xfId="4432" xr:uid="{AB09BF9C-450D-4116-A98F-9C7D0FF15A39}"/>
    <cellStyle name="Calculation 2 2 2 2 2 4" xfId="1814" xr:uid="{D6636A5D-BBD5-46C4-A4B0-513684C1F2D0}"/>
    <cellStyle name="Calculation 2 2 2 2 2 4 2" xfId="4966" xr:uid="{4B79AE05-742D-432F-B33A-5EDFA87A9E3D}"/>
    <cellStyle name="Calculation 2 2 2 2 2 5" xfId="2289" xr:uid="{080C0A37-5586-4E3D-BDD8-ACCCBD904BD6}"/>
    <cellStyle name="Calculation 2 2 2 2 2 5 2" xfId="5441" xr:uid="{EFBF22F8-DFB5-49C1-8B96-86B28CC9DD5A}"/>
    <cellStyle name="Calculation 2 2 2 2 2 6" xfId="2532" xr:uid="{58416E23-E445-4D3A-A144-FA932E506331}"/>
    <cellStyle name="Calculation 2 2 2 2 2 6 2" xfId="5684" xr:uid="{6BECF99E-52A9-438A-AECD-605E514974BB}"/>
    <cellStyle name="Calculation 2 2 2 2 2 7" xfId="3044" xr:uid="{12FE302A-C6D5-4C81-843F-0F729ADBC889}"/>
    <cellStyle name="Calculation 2 2 2 2 2 7 2" xfId="6196" xr:uid="{C2B53374-ECE1-4439-B111-4A0066F14184}"/>
    <cellStyle name="Calculation 2 2 2 2 2 8" xfId="3558" xr:uid="{F59AEA98-9226-41DC-A166-1BE6753BFD29}"/>
    <cellStyle name="Calculation 2 2 2 2 3" xfId="742" xr:uid="{811CF757-E877-4C2C-ADF6-E6774FDA1921}"/>
    <cellStyle name="Calculation 2 2 2 2 3 2" xfId="1341" xr:uid="{C58197B8-C2F3-4E92-AF7C-07D0A4FF7E27}"/>
    <cellStyle name="Calculation 2 2 2 2 3 2 2" xfId="4493" xr:uid="{1FCB4D80-4DC1-44B7-ADA0-56458F434119}"/>
    <cellStyle name="Calculation 2 2 2 2 3 3" xfId="1875" xr:uid="{7C9B0322-4F03-49A5-B05B-C0676DD17D16}"/>
    <cellStyle name="Calculation 2 2 2 2 3 3 2" xfId="5027" xr:uid="{D26A39E6-6413-4694-94D4-4FC7DB85802E}"/>
    <cellStyle name="Calculation 2 2 2 2 3 4" xfId="2350" xr:uid="{499D85B0-FD88-4E44-9438-B1801F27538B}"/>
    <cellStyle name="Calculation 2 2 2 2 3 4 2" xfId="5502" xr:uid="{D8377965-3426-44E9-9125-D9061A705783}"/>
    <cellStyle name="Calculation 2 2 2 2 3 5" xfId="2660" xr:uid="{0BAF46EC-5FA4-4661-AAF4-5BD5B95DF554}"/>
    <cellStyle name="Calculation 2 2 2 2 3 5 2" xfId="5812" xr:uid="{D513F919-F055-40CF-A38C-83EFA41B1DF3}"/>
    <cellStyle name="Calculation 2 2 2 2 3 6" xfId="3105" xr:uid="{5C0C5670-4317-4D68-866F-13D0BFFE34D2}"/>
    <cellStyle name="Calculation 2 2 2 2 3 6 2" xfId="6257" xr:uid="{1C8AEB6D-C773-440B-ABF3-DC20E02DEDC4}"/>
    <cellStyle name="Calculation 2 2 2 2 3 7" xfId="3905" xr:uid="{12A57195-8CCD-4375-8600-1348FC2EC566}"/>
    <cellStyle name="Calculation 2 2 2 2 4" xfId="808" xr:uid="{BE87147F-0355-4764-BC1C-3BDE0417E63C}"/>
    <cellStyle name="Calculation 2 2 2 2 4 2" xfId="1407" xr:uid="{82F73C64-B618-4C6D-A4F6-94C9C662CE78}"/>
    <cellStyle name="Calculation 2 2 2 2 4 2 2" xfId="4559" xr:uid="{E717C0BA-9A77-47DF-98D9-1FD6A2EF22B4}"/>
    <cellStyle name="Calculation 2 2 2 2 4 3" xfId="1941" xr:uid="{FE68A525-7045-4AF3-B17A-64F3195AC2D4}"/>
    <cellStyle name="Calculation 2 2 2 2 4 3 2" xfId="5093" xr:uid="{5C30F7B3-8820-47AB-BB7F-2878939C7016}"/>
    <cellStyle name="Calculation 2 2 2 2 4 4" xfId="2416" xr:uid="{04FE8F6D-A8C8-46CA-8B79-A176094EE582}"/>
    <cellStyle name="Calculation 2 2 2 2 4 4 2" xfId="5568" xr:uid="{6A6816F4-54C9-41F0-8BAB-CCA5D6F7DFEB}"/>
    <cellStyle name="Calculation 2 2 2 2 4 5" xfId="2191" xr:uid="{DB639194-FEBB-47F7-970C-5AF7201FC6B8}"/>
    <cellStyle name="Calculation 2 2 2 2 4 5 2" xfId="5343" xr:uid="{BB46EEEE-4E31-44D9-8B30-3E7887D08899}"/>
    <cellStyle name="Calculation 2 2 2 2 4 6" xfId="3171" xr:uid="{CDCCEE6F-34A8-4EBC-BF93-0C302F4847DA}"/>
    <cellStyle name="Calculation 2 2 2 2 4 6 2" xfId="6323" xr:uid="{C515FE42-7FA6-45A5-8054-34E098A371A3}"/>
    <cellStyle name="Calculation 2 2 2 2 4 7" xfId="3971" xr:uid="{109F7225-C200-4A49-8A2D-20DF339E9E98}"/>
    <cellStyle name="Calculation 2 2 2 2 5" xfId="927" xr:uid="{392AD075-09CA-41D0-AF2F-B1F302C080BA}"/>
    <cellStyle name="Calculation 2 2 2 2 5 2" xfId="1526" xr:uid="{9843350D-B9F1-40F7-A96A-A8E20B5FD39E}"/>
    <cellStyle name="Calculation 2 2 2 2 5 2 2" xfId="4678" xr:uid="{5CCD4C21-824E-4C20-A016-4B355A1DE6AE}"/>
    <cellStyle name="Calculation 2 2 2 2 5 3" xfId="2060" xr:uid="{3DDE9A17-4180-459A-B485-0C9DF95BEF6C}"/>
    <cellStyle name="Calculation 2 2 2 2 5 3 2" xfId="5212" xr:uid="{C745D1C1-CFCC-4B62-8665-E62B12A44918}"/>
    <cellStyle name="Calculation 2 2 2 2 5 4" xfId="2709" xr:uid="{4B0A6E97-60D4-4381-83BF-25BB84FA0027}"/>
    <cellStyle name="Calculation 2 2 2 2 5 4 2" xfId="5861" xr:uid="{A916994B-E312-4F6A-ADAE-FAD78D0836CA}"/>
    <cellStyle name="Calculation 2 2 2 2 5 5" xfId="2877" xr:uid="{A1432479-ED6B-43DA-A328-7D2DD92CF66F}"/>
    <cellStyle name="Calculation 2 2 2 2 5 5 2" xfId="6029" xr:uid="{1A74C04C-789A-48F3-BE70-2C182337CAB6}"/>
    <cellStyle name="Calculation 2 2 2 2 5 6" xfId="3290" xr:uid="{B7F99A0C-22B6-4DBD-B614-D1A9033BE346}"/>
    <cellStyle name="Calculation 2 2 2 2 5 7" xfId="4090" xr:uid="{98EA1403-59D5-4769-9A4D-5FF769300EA2}"/>
    <cellStyle name="Calculation 2 2 2 2 6" xfId="507" xr:uid="{C7BFBFA6-FEB4-4AD1-BCFA-19D261B072EE}"/>
    <cellStyle name="Calculation 2 2 2 2 6 2" xfId="3677" xr:uid="{64DB4A74-128D-44D9-825E-BEF98C8DC02A}"/>
    <cellStyle name="Calculation 2 2 2 2 7" xfId="1105" xr:uid="{719AE0FC-ED5F-45C4-86AB-C088A236F86D}"/>
    <cellStyle name="Calculation 2 2 2 2 7 2" xfId="4264" xr:uid="{6849F3C7-6B19-4B75-846C-A5683ACAD251}"/>
    <cellStyle name="Calculation 2 2 2 2 8" xfId="1642" xr:uid="{978A516D-68BB-47A1-8775-7F94EF59E683}"/>
    <cellStyle name="Calculation 2 2 2 2 8 2" xfId="4794" xr:uid="{37696F59-2EB9-4799-A793-E7FBA2A53EFE}"/>
    <cellStyle name="Calculation 2 2 2 2 9" xfId="3471" xr:uid="{6B78051F-5982-407E-AD03-4C6F31D24061}"/>
    <cellStyle name="Calculation 2 2 2 3" xfId="437" xr:uid="{4C96AF4E-8D07-4B91-8A48-89CCBCC2873D}"/>
    <cellStyle name="Calculation 2 2 2 3 2" xfId="661" xr:uid="{C1D50AB9-8A69-4414-AF46-FEAF5ACE444B}"/>
    <cellStyle name="Calculation 2 2 2 3 2 2" xfId="1260" xr:uid="{2790C05D-2A17-4717-8D4A-92C87B3CBFBC}"/>
    <cellStyle name="Calculation 2 2 2 3 2 2 2" xfId="4412" xr:uid="{EB752351-800C-4683-82DC-DB44BE4E6BE7}"/>
    <cellStyle name="Calculation 2 2 2 3 2 3" xfId="1794" xr:uid="{94C21C97-DD89-4E6F-8159-CFE8731DB35E}"/>
    <cellStyle name="Calculation 2 2 2 3 2 3 2" xfId="4946" xr:uid="{85AEB402-9621-4E21-97D5-78ED7D192E13}"/>
    <cellStyle name="Calculation 2 2 2 3 2 4" xfId="2269" xr:uid="{1E023770-0849-4297-B1A5-DB06E5EE537F}"/>
    <cellStyle name="Calculation 2 2 2 3 2 4 2" xfId="5421" xr:uid="{1536970D-FD43-4B97-B66A-6B16EB69B14B}"/>
    <cellStyle name="Calculation 2 2 2 3 2 5" xfId="2527" xr:uid="{D9B89A5F-8E52-418B-81D2-A5E1664C5E23}"/>
    <cellStyle name="Calculation 2 2 2 3 2 5 2" xfId="5679" xr:uid="{6FE12C8F-E6EA-4D20-8E5F-3854C32D1744}"/>
    <cellStyle name="Calculation 2 2 2 3 2 6" xfId="3024" xr:uid="{4BE6E3FA-07F0-48BA-8547-FB5EC638F961}"/>
    <cellStyle name="Calculation 2 2 2 3 2 6 2" xfId="6176" xr:uid="{18176B95-FE98-4214-B237-4213B251C561}"/>
    <cellStyle name="Calculation 2 2 2 3 2 7" xfId="3824" xr:uid="{AF484699-9E28-4F9E-959C-8EC9B0EA3E25}"/>
    <cellStyle name="Calculation 2 2 2 3 3" xfId="763" xr:uid="{5FD8DF3E-5E3F-407D-8BBF-49E9C036AB0E}"/>
    <cellStyle name="Calculation 2 2 2 3 3 2" xfId="1362" xr:uid="{CF73FF61-049E-4CE5-94D4-2830D22F9C2D}"/>
    <cellStyle name="Calculation 2 2 2 3 3 2 2" xfId="4514" xr:uid="{37B4E350-A38D-4083-9A7B-839B0698B0CD}"/>
    <cellStyle name="Calculation 2 2 2 3 3 3" xfId="1896" xr:uid="{BC17F104-A155-4EAC-9360-0404C3B62DF7}"/>
    <cellStyle name="Calculation 2 2 2 3 3 3 2" xfId="5048" xr:uid="{34667C3D-29EE-4FD5-B923-211B2A28B951}"/>
    <cellStyle name="Calculation 2 2 2 3 3 4" xfId="2371" xr:uid="{F7400F24-E297-408F-BEE3-BAB7E7554ED7}"/>
    <cellStyle name="Calculation 2 2 2 3 3 4 2" xfId="5523" xr:uid="{FFF4ABFB-6AFF-4832-9156-F9F3D21EE5AC}"/>
    <cellStyle name="Calculation 2 2 2 3 3 5" xfId="2615" xr:uid="{9BC0007C-748B-40F5-B732-F642B65F6B7E}"/>
    <cellStyle name="Calculation 2 2 2 3 3 5 2" xfId="5767" xr:uid="{D0239E15-4334-4DF6-AD1A-921A8A982F6C}"/>
    <cellStyle name="Calculation 2 2 2 3 3 6" xfId="3126" xr:uid="{4B744288-96E4-42FD-B3A5-2765BCCE1F2C}"/>
    <cellStyle name="Calculation 2 2 2 3 3 6 2" xfId="6278" xr:uid="{C44208C1-1D60-4A70-9654-84BA5D1B34B9}"/>
    <cellStyle name="Calculation 2 2 2 3 3 7" xfId="3926" xr:uid="{EF0BEB41-7678-4627-A73E-C7438F1C141B}"/>
    <cellStyle name="Calculation 2 2 2 3 4" xfId="862" xr:uid="{7FE77477-8DA2-439D-808E-3E65938F60FF}"/>
    <cellStyle name="Calculation 2 2 2 3 4 2" xfId="1461" xr:uid="{1F51601D-EA2F-4B8E-9E64-E35CF5A66B94}"/>
    <cellStyle name="Calculation 2 2 2 3 4 2 2" xfId="4613" xr:uid="{3AEE54FB-FE06-4092-8920-33DD62197854}"/>
    <cellStyle name="Calculation 2 2 2 3 4 3" xfId="1995" xr:uid="{C25FBF00-02B7-454A-9DDA-8B17B070B137}"/>
    <cellStyle name="Calculation 2 2 2 3 4 3 2" xfId="5147" xr:uid="{1BE8291C-2FC2-4469-A8A3-4F4A499B0A16}"/>
    <cellStyle name="Calculation 2 2 2 3 4 4" xfId="2470" xr:uid="{55F8F75A-F218-4BEE-B1D7-444886CD79F6}"/>
    <cellStyle name="Calculation 2 2 2 3 4 4 2" xfId="5622" xr:uid="{BF1A88B1-AC27-416D-B22E-EA7E379145AA}"/>
    <cellStyle name="Calculation 2 2 2 3 4 5" xfId="2812" xr:uid="{DE1BC4E3-606F-4905-9978-8BEBED8324B3}"/>
    <cellStyle name="Calculation 2 2 2 3 4 5 2" xfId="5964" xr:uid="{68B6B4B3-7802-4C1E-A1F4-DB2B9942CCB9}"/>
    <cellStyle name="Calculation 2 2 2 3 4 6" xfId="3225" xr:uid="{14F0BEA2-A3C1-47DA-A935-DE9E275F492B}"/>
    <cellStyle name="Calculation 2 2 2 3 4 6 2" xfId="6377" xr:uid="{FAD2C7AF-9D98-4923-8AE8-5FFE65B4E9EF}"/>
    <cellStyle name="Calculation 2 2 2 3 4 7" xfId="4025" xr:uid="{4D54CDCA-24E6-4583-B01E-4F10E2D374F0}"/>
    <cellStyle name="Calculation 2 2 2 3 5" xfId="981" xr:uid="{AF3C285F-75F9-48E3-9473-38065B7D99CE}"/>
    <cellStyle name="Calculation 2 2 2 3 5 2" xfId="1580" xr:uid="{EB74304B-E916-4B0A-A647-C8ABF4B39893}"/>
    <cellStyle name="Calculation 2 2 2 3 5 2 2" xfId="4732" xr:uid="{6A8C625E-CEA9-4CC5-BE6D-3187F1D655B1}"/>
    <cellStyle name="Calculation 2 2 2 3 5 3" xfId="2114" xr:uid="{574414E2-0A5C-4D31-AD6C-C35AF982DA0C}"/>
    <cellStyle name="Calculation 2 2 2 3 5 3 2" xfId="5266" xr:uid="{682BE523-61C9-45E8-A341-16BD0C6263D2}"/>
    <cellStyle name="Calculation 2 2 2 3 5 4" xfId="2763" xr:uid="{51182BFE-8503-4700-A2C5-D58D78FB96F0}"/>
    <cellStyle name="Calculation 2 2 2 3 5 4 2" xfId="5915" xr:uid="{44023BE2-3152-4408-B690-B0E4C115DC17}"/>
    <cellStyle name="Calculation 2 2 2 3 5 5" xfId="2931" xr:uid="{60007D8A-51CE-4844-AADA-52A32BC7AC90}"/>
    <cellStyle name="Calculation 2 2 2 3 5 5 2" xfId="6083" xr:uid="{A67FCE75-6853-4FEE-B7C4-54B37B6A60DA}"/>
    <cellStyle name="Calculation 2 2 2 3 5 6" xfId="3344" xr:uid="{36A525FE-A72C-4D29-B8C8-3B5C9BABE95A}"/>
    <cellStyle name="Calculation 2 2 2 3 5 7" xfId="4144" xr:uid="{A85A0636-62BB-4A3A-9F9F-5C66F05DC1F5}"/>
    <cellStyle name="Calculation 2 2 2 3 6" xfId="567" xr:uid="{A16CB605-90D4-4414-BC55-CA77C5CB09E5}"/>
    <cellStyle name="Calculation 2 2 2 3 6 2" xfId="3731" xr:uid="{C545EBBF-E7E6-4420-8C09-189771010EC5}"/>
    <cellStyle name="Calculation 2 2 2 3 7" xfId="1166" xr:uid="{15303389-226C-4548-B278-DCC0A766B48A}"/>
    <cellStyle name="Calculation 2 2 2 3 7 2" xfId="4319" xr:uid="{68C46C88-1F25-47C1-97B4-9E8D4F3F4736}"/>
    <cellStyle name="Calculation 2 2 2 3 8" xfId="1701" xr:uid="{1B43BB89-DC52-4CD4-86F1-2A34E47231EE}"/>
    <cellStyle name="Calculation 2 2 2 3 8 2" xfId="4853" xr:uid="{FF06F927-5EAB-431B-BF3F-099EE6C8F21E}"/>
    <cellStyle name="Calculation 2 2 2 3 9" xfId="3612" xr:uid="{3324C38E-9A56-48B8-86EB-7243AF01B667}"/>
    <cellStyle name="Calculation 2 2 2 4" xfId="344" xr:uid="{24865447-302D-4183-A8D1-C31EE8727B3E}"/>
    <cellStyle name="Calculation 2 2 2 4 2" xfId="683" xr:uid="{13B052BD-FF6E-4351-862C-FB9D042F7FF7}"/>
    <cellStyle name="Calculation 2 2 2 4 2 2" xfId="3846" xr:uid="{EC2F6939-DEFF-4877-857C-737E30225876}"/>
    <cellStyle name="Calculation 2 2 2 4 3" xfId="1282" xr:uid="{08CEE4BA-A9F6-4034-91FF-E30F9F536A7B}"/>
    <cellStyle name="Calculation 2 2 2 4 3 2" xfId="4434" xr:uid="{F55F0612-AD82-42E8-85FA-30AAB1205EC6}"/>
    <cellStyle name="Calculation 2 2 2 4 4" xfId="1816" xr:uid="{97AFDD43-211D-43A7-AF45-EC4E99201706}"/>
    <cellStyle name="Calculation 2 2 2 4 4 2" xfId="4968" xr:uid="{D2ED2AEC-C775-4A00-9731-E6E6C3F52BDE}"/>
    <cellStyle name="Calculation 2 2 2 4 5" xfId="2291" xr:uid="{0B3692F7-C297-4CE3-ACF9-726EF85A2F79}"/>
    <cellStyle name="Calculation 2 2 2 4 5 2" xfId="5443" xr:uid="{26060EB4-8B7A-4DD2-BBD1-812C0C9A1D1F}"/>
    <cellStyle name="Calculation 2 2 2 4 6" xfId="2180" xr:uid="{3E6B384E-439E-4172-82ED-03F7F80BE7BF}"/>
    <cellStyle name="Calculation 2 2 2 4 6 2" xfId="5332" xr:uid="{B83A13FA-62D3-4E54-9C80-8F63A2EBA3C1}"/>
    <cellStyle name="Calculation 2 2 2 4 7" xfId="3046" xr:uid="{D3D53B7F-467A-4289-8771-DA2FEBA65F96}"/>
    <cellStyle name="Calculation 2 2 2 4 7 2" xfId="6198" xr:uid="{935B4896-34EF-4F51-8426-0CE06790DE95}"/>
    <cellStyle name="Calculation 2 2 2 4 8" xfId="3534" xr:uid="{E7039515-7462-4D82-9D1A-B55057F4B763}"/>
    <cellStyle name="Calculation 2 2 2 5" xfId="717" xr:uid="{B358CD08-B1C0-47C3-87D3-72922E0B57A7}"/>
    <cellStyle name="Calculation 2 2 2 5 2" xfId="1316" xr:uid="{D09CC237-3157-4443-9393-DD4E47217496}"/>
    <cellStyle name="Calculation 2 2 2 5 2 2" xfId="4468" xr:uid="{0798C721-BB28-4E99-8697-D7F0B911F78E}"/>
    <cellStyle name="Calculation 2 2 2 5 3" xfId="1850" xr:uid="{3DCBB33D-18BD-42A1-9600-D9AB05054B24}"/>
    <cellStyle name="Calculation 2 2 2 5 3 2" xfId="5002" xr:uid="{F4D66690-049F-4868-94F3-3069750D0C8F}"/>
    <cellStyle name="Calculation 2 2 2 5 4" xfId="2325" xr:uid="{6084234F-FED8-4089-B248-174395DBF1C4}"/>
    <cellStyle name="Calculation 2 2 2 5 4 2" xfId="5477" xr:uid="{4CD5523F-4434-42DA-885B-D90EF0107C2E}"/>
    <cellStyle name="Calculation 2 2 2 5 5" xfId="2610" xr:uid="{B1BA2F45-D6F9-4D7F-9A7D-D1F060A0FBA1}"/>
    <cellStyle name="Calculation 2 2 2 5 5 2" xfId="5762" xr:uid="{57B33DB6-A985-49FA-8D9C-DBC98F2E5F66}"/>
    <cellStyle name="Calculation 2 2 2 5 6" xfId="3080" xr:uid="{B8266AF0-3D50-4516-8FD0-A74D17E393F4}"/>
    <cellStyle name="Calculation 2 2 2 5 6 2" xfId="6232" xr:uid="{ABC7C4F9-F2EF-494B-B48B-3451ED81ECCF}"/>
    <cellStyle name="Calculation 2 2 2 5 7" xfId="3880" xr:uid="{3A0FFDF3-4B45-4F91-A2E6-770ABAC4946F}"/>
    <cellStyle name="Calculation 2 2 2 6" xfId="721" xr:uid="{E375E6EB-3AD8-4416-A1F0-BFCE55A418B9}"/>
    <cellStyle name="Calculation 2 2 2 6 2" xfId="1320" xr:uid="{766BA452-4127-4DB5-9758-110A57003535}"/>
    <cellStyle name="Calculation 2 2 2 6 2 2" xfId="4472" xr:uid="{B478D2F4-2984-4A2B-B68A-6ECB61B5AD72}"/>
    <cellStyle name="Calculation 2 2 2 6 3" xfId="1854" xr:uid="{C19EC0F9-B8B1-437A-8EC2-8535E383A068}"/>
    <cellStyle name="Calculation 2 2 2 6 3 2" xfId="5006" xr:uid="{C7CDEA24-676C-4581-8CD5-CFA08D1551D3}"/>
    <cellStyle name="Calculation 2 2 2 6 4" xfId="2329" xr:uid="{1B4C93FE-13F5-42F9-A304-67A4700CAEDF}"/>
    <cellStyle name="Calculation 2 2 2 6 4 2" xfId="5481" xr:uid="{9BE0EEC8-5F24-4425-99B5-6A8A61E4D215}"/>
    <cellStyle name="Calculation 2 2 2 6 5" xfId="2630" xr:uid="{E5CC60DD-DEA2-44AB-ABFD-234D2D7C9CBE}"/>
    <cellStyle name="Calculation 2 2 2 6 5 2" xfId="5782" xr:uid="{21555528-935C-4759-9866-ED9D84A25CAA}"/>
    <cellStyle name="Calculation 2 2 2 6 6" xfId="3084" xr:uid="{374BED89-1F6C-4E56-B539-897462B78F5D}"/>
    <cellStyle name="Calculation 2 2 2 6 6 2" xfId="6236" xr:uid="{988958FE-69F9-4119-B603-4FE0F2C12AD2}"/>
    <cellStyle name="Calculation 2 2 2 6 7" xfId="3884" xr:uid="{C387FB49-D5DF-4330-A91E-B47F3DC8D549}"/>
    <cellStyle name="Calculation 2 2 2 7" xfId="777" xr:uid="{44F38584-4530-44BD-A706-A3C8788B16FA}"/>
    <cellStyle name="Calculation 2 2 2 7 2" xfId="1376" xr:uid="{A045C0AD-D0A8-4D7D-9F0F-ADC01529D6C0}"/>
    <cellStyle name="Calculation 2 2 2 7 2 2" xfId="4528" xr:uid="{B90A6706-916C-41F7-A7F0-8889037272A2}"/>
    <cellStyle name="Calculation 2 2 2 7 3" xfId="1910" xr:uid="{AE89DDF9-89D7-45CA-84C4-CD6CC95F1114}"/>
    <cellStyle name="Calculation 2 2 2 7 3 2" xfId="5062" xr:uid="{0E5B5710-1A25-4110-8537-A26B0E2030C5}"/>
    <cellStyle name="Calculation 2 2 2 7 4" xfId="2385" xr:uid="{3DE426B8-CCFE-490A-94D0-A2792FF7E16A}"/>
    <cellStyle name="Calculation 2 2 2 7 4 2" xfId="5537" xr:uid="{6082F5FB-034C-4FBF-AD0E-6EC5C5AC1408}"/>
    <cellStyle name="Calculation 2 2 2 7 5" xfId="1060" xr:uid="{43C6F229-7D17-4D03-A365-7CFBF0B56823}"/>
    <cellStyle name="Calculation 2 2 2 7 5 2" xfId="4222" xr:uid="{A91878C3-029F-491F-A86F-70732889280E}"/>
    <cellStyle name="Calculation 2 2 2 7 6" xfId="3140" xr:uid="{481FDCDC-937A-44CD-96B9-6296C3D6E764}"/>
    <cellStyle name="Calculation 2 2 2 7 6 2" xfId="6292" xr:uid="{25D0E37A-5A34-4348-80A3-5D5C0D4BF249}"/>
    <cellStyle name="Calculation 2 2 2 7 7" xfId="3940" xr:uid="{A589C5F2-BBB6-455B-896F-BB84314DE219}"/>
    <cellStyle name="Calculation 2 2 2 8" xfId="784" xr:uid="{BEB7D4A6-9010-440E-A53E-C81150AB360C}"/>
    <cellStyle name="Calculation 2 2 2 8 2" xfId="1383" xr:uid="{165C8062-C7B1-4D5B-8D81-570C0E255104}"/>
    <cellStyle name="Calculation 2 2 2 8 2 2" xfId="4535" xr:uid="{CBF17790-7133-4A8C-9BD6-F3E74CA04196}"/>
    <cellStyle name="Calculation 2 2 2 8 3" xfId="1917" xr:uid="{6F9E4529-11F0-4010-BC83-4000A6F6A2C5}"/>
    <cellStyle name="Calculation 2 2 2 8 3 2" xfId="5069" xr:uid="{3EE5F285-1566-436C-94E7-C37D7E7A4A26}"/>
    <cellStyle name="Calculation 2 2 2 8 4" xfId="2392" xr:uid="{8F2ABE3A-5861-4547-966E-7BB360266B0D}"/>
    <cellStyle name="Calculation 2 2 2 8 4 2" xfId="5544" xr:uid="{09151E35-86AD-4D51-97A2-A59F451A83DC}"/>
    <cellStyle name="Calculation 2 2 2 8 5" xfId="2618" xr:uid="{FC62014F-243B-492B-AB22-DA7330981195}"/>
    <cellStyle name="Calculation 2 2 2 8 5 2" xfId="5770" xr:uid="{94B11470-4496-413D-85EB-E70BEB8FE72A}"/>
    <cellStyle name="Calculation 2 2 2 8 6" xfId="3147" xr:uid="{85EDAB34-F02F-43AA-B569-C5FDA74B303A}"/>
    <cellStyle name="Calculation 2 2 2 8 6 2" xfId="6299" xr:uid="{A30C9BBD-866A-4272-9AB1-9340A6337B3B}"/>
    <cellStyle name="Calculation 2 2 2 8 7" xfId="3947" xr:uid="{133B80E3-9E8D-4473-960D-6898C7565B3A}"/>
    <cellStyle name="Calculation 2 2 2 9" xfId="903" xr:uid="{BA8D9AB2-DAE5-45D5-9DED-24260DF43CF8}"/>
    <cellStyle name="Calculation 2 2 2 9 2" xfId="1502" xr:uid="{A887D0F9-258E-40C3-8270-07BEFC78C25E}"/>
    <cellStyle name="Calculation 2 2 2 9 2 2" xfId="4654" xr:uid="{832249F8-50A5-4250-8B8C-11D1DCA4D17E}"/>
    <cellStyle name="Calculation 2 2 2 9 3" xfId="2036" xr:uid="{216646DB-5E93-452D-9226-AAC17DEEA8B3}"/>
    <cellStyle name="Calculation 2 2 2 9 3 2" xfId="5188" xr:uid="{EA68ABD1-B154-49D5-A61F-FE0CA6042EB3}"/>
    <cellStyle name="Calculation 2 2 2 9 4" xfId="2685" xr:uid="{891FBA0B-8DBB-4ACE-859E-4D6BB5063E2B}"/>
    <cellStyle name="Calculation 2 2 2 9 4 2" xfId="5837" xr:uid="{C087334B-24C8-49CD-8DAE-3566D952859A}"/>
    <cellStyle name="Calculation 2 2 2 9 5" xfId="2853" xr:uid="{41DBA95A-BB1B-4EE8-95D6-E9F36845DC58}"/>
    <cellStyle name="Calculation 2 2 2 9 5 2" xfId="6005" xr:uid="{23607447-4E35-4E13-A176-131C3C6AE6FC}"/>
    <cellStyle name="Calculation 2 2 2 9 6" xfId="3266" xr:uid="{0CFEAB40-0AD5-467E-B0FA-F2DA277641CF}"/>
    <cellStyle name="Calculation 2 2 2 9 7" xfId="4066" xr:uid="{84F18FE1-8197-48D0-AE8B-4388B7179E28}"/>
    <cellStyle name="Calculation 2 2 3" xfId="92" xr:uid="{E5993A5E-82F8-4695-A674-A98D87F9E9DA}"/>
    <cellStyle name="Calculation 2 2 3 10" xfId="3422" xr:uid="{61716BB1-A96C-45C2-9D30-69A3DA414024}"/>
    <cellStyle name="Calculation 2 2 3 2" xfId="172" xr:uid="{45C816FF-4E99-4F32-B460-ADB9085FD981}"/>
    <cellStyle name="Calculation 2 2 3 2 2" xfId="458" xr:uid="{C1E44CD9-D51F-4BBE-850D-9C9D12BB751D}"/>
    <cellStyle name="Calculation 2 2 3 2 2 2" xfId="609" xr:uid="{370822C6-2CC0-457D-907A-206041EA3830}"/>
    <cellStyle name="Calculation 2 2 3 2 2 2 2" xfId="3772" xr:uid="{99D34119-F415-42C6-BCCD-24BB1696FE5A}"/>
    <cellStyle name="Calculation 2 2 3 2 2 3" xfId="1208" xr:uid="{FF4DEDBF-E913-40F3-A502-F550F6BE3E1B}"/>
    <cellStyle name="Calculation 2 2 3 2 2 3 2" xfId="4360" xr:uid="{FB3F92BF-AB54-45F1-8EB9-95F6737FE602}"/>
    <cellStyle name="Calculation 2 2 3 2 2 4" xfId="1742" xr:uid="{F0368E11-E833-4129-B431-019B3C2E1FFB}"/>
    <cellStyle name="Calculation 2 2 3 2 2 4 2" xfId="4894" xr:uid="{ECCA98AC-AB46-4554-BD2B-2D32FF4B1B32}"/>
    <cellStyle name="Calculation 2 2 3 2 2 5" xfId="2217" xr:uid="{ACEF2D4E-14DA-40C2-8095-ED8AF3B85F04}"/>
    <cellStyle name="Calculation 2 2 3 2 2 5 2" xfId="5369" xr:uid="{7AD7BAE3-898D-4BE4-A553-3AE006BD26AF}"/>
    <cellStyle name="Calculation 2 2 3 2 2 6" xfId="2565" xr:uid="{86A8C8E8-947A-43D0-B3A7-B8ED264AF3BF}"/>
    <cellStyle name="Calculation 2 2 3 2 2 6 2" xfId="5717" xr:uid="{77A21F12-AC8E-43C8-A282-84E80472D35A}"/>
    <cellStyle name="Calculation 2 2 3 2 2 7" xfId="2972" xr:uid="{53E4A23B-2F2E-458F-B300-7F8B2463D048}"/>
    <cellStyle name="Calculation 2 2 3 2 2 7 2" xfId="6124" xr:uid="{BAAF1BAB-98D1-43EF-AD40-647C14767DCB}"/>
    <cellStyle name="Calculation 2 2 3 2 2 8" xfId="3633" xr:uid="{FC035792-3DC3-4691-B3A1-451C63F9C007}"/>
    <cellStyle name="Calculation 2 2 3 2 3" xfId="769" xr:uid="{B37B456E-D1CE-4DC4-91CA-994D99E6A9E2}"/>
    <cellStyle name="Calculation 2 2 3 2 3 2" xfId="1368" xr:uid="{3C5541AA-0216-492A-B3A1-262404B09963}"/>
    <cellStyle name="Calculation 2 2 3 2 3 2 2" xfId="4520" xr:uid="{95EAE04D-E1FF-42A5-B5FD-936C95937E33}"/>
    <cellStyle name="Calculation 2 2 3 2 3 3" xfId="1902" xr:uid="{30B21F94-9E1C-467C-B766-5ED7A1FDB333}"/>
    <cellStyle name="Calculation 2 2 3 2 3 3 2" xfId="5054" xr:uid="{5B734DE9-04FC-4101-B901-40E894B8F8BD}"/>
    <cellStyle name="Calculation 2 2 3 2 3 4" xfId="2377" xr:uid="{B0E173EE-7397-4AEA-A8FC-19AC5E37842E}"/>
    <cellStyle name="Calculation 2 2 3 2 3 4 2" xfId="5529" xr:uid="{C1EA50B9-44BA-400C-AC3E-C35A561B8E17}"/>
    <cellStyle name="Calculation 2 2 3 2 3 5" xfId="1021" xr:uid="{82BD28E1-B59F-45B7-8B10-F38A2D90F460}"/>
    <cellStyle name="Calculation 2 2 3 2 3 5 2" xfId="4184" xr:uid="{9348F77B-93BC-4054-817C-19F7F1DED306}"/>
    <cellStyle name="Calculation 2 2 3 2 3 6" xfId="3132" xr:uid="{7F99FA94-3A1F-430B-A087-0A31F7C11B0A}"/>
    <cellStyle name="Calculation 2 2 3 2 3 6 2" xfId="6284" xr:uid="{E46DC4B3-FD44-4AB5-8A7B-DB404817000D}"/>
    <cellStyle name="Calculation 2 2 3 2 3 7" xfId="3932" xr:uid="{11E3AB20-716B-4FE0-9C2F-A6A99160D1E0}"/>
    <cellStyle name="Calculation 2 2 3 2 4" xfId="883" xr:uid="{D89FB3C0-C910-477C-A54B-2C9B412BE73D}"/>
    <cellStyle name="Calculation 2 2 3 2 4 2" xfId="1482" xr:uid="{AA8DC8FF-D618-40A7-80ED-D3A5DC18A3BE}"/>
    <cellStyle name="Calculation 2 2 3 2 4 2 2" xfId="4634" xr:uid="{EE4CAEE9-B801-4206-AECA-A7D26B7BAAB8}"/>
    <cellStyle name="Calculation 2 2 3 2 4 3" xfId="2016" xr:uid="{030BA75D-76A5-4B9D-A5EB-4CA80EA6D6D1}"/>
    <cellStyle name="Calculation 2 2 3 2 4 3 2" xfId="5168" xr:uid="{44BE2C30-26F3-42AC-9E67-21A23B7DE347}"/>
    <cellStyle name="Calculation 2 2 3 2 4 4" xfId="2491" xr:uid="{E14A1AE6-983A-4F11-ADC0-73201BB15B66}"/>
    <cellStyle name="Calculation 2 2 3 2 4 4 2" xfId="5643" xr:uid="{B143F311-5919-4984-BC3A-09858811AA59}"/>
    <cellStyle name="Calculation 2 2 3 2 4 5" xfId="2833" xr:uid="{8783A3CF-E5CF-429A-AD0D-AAB70937ED9F}"/>
    <cellStyle name="Calculation 2 2 3 2 4 5 2" xfId="5985" xr:uid="{E630C6B0-DFE8-4F62-A1B1-BD3C2DDAD360}"/>
    <cellStyle name="Calculation 2 2 3 2 4 6" xfId="3246" xr:uid="{9C3EA9B6-F0FF-4ACA-B492-7BDDCA7B5E9E}"/>
    <cellStyle name="Calculation 2 2 3 2 4 6 2" xfId="6398" xr:uid="{5F408A3F-857A-4DB0-8723-D929C9074850}"/>
    <cellStyle name="Calculation 2 2 3 2 4 7" xfId="4046" xr:uid="{AA2A17DC-8D9C-4553-A4AF-BB6FCC6C7FF4}"/>
    <cellStyle name="Calculation 2 2 3 2 5" xfId="1002" xr:uid="{06E8CBFE-C0E3-4BB1-AEE4-56D6D0986DDF}"/>
    <cellStyle name="Calculation 2 2 3 2 5 2" xfId="1601" xr:uid="{A3167DDF-C8D2-437D-AB93-CCDA2D866567}"/>
    <cellStyle name="Calculation 2 2 3 2 5 2 2" xfId="4753" xr:uid="{53087FF4-61F0-4F46-92F5-64B72C44177B}"/>
    <cellStyle name="Calculation 2 2 3 2 5 3" xfId="2135" xr:uid="{9C50C643-6319-46AA-A979-DA857B0F4E0F}"/>
    <cellStyle name="Calculation 2 2 3 2 5 3 2" xfId="5287" xr:uid="{6872BA56-CD12-4910-89EE-A31612CD8434}"/>
    <cellStyle name="Calculation 2 2 3 2 5 4" xfId="2784" xr:uid="{CC8703B5-F074-4984-B474-FCD19A7DF121}"/>
    <cellStyle name="Calculation 2 2 3 2 5 4 2" xfId="5936" xr:uid="{E49216E2-FE62-4D7A-B560-7C4D863B1A7B}"/>
    <cellStyle name="Calculation 2 2 3 2 5 5" xfId="2952" xr:uid="{84D55682-A0A3-452E-A7FB-904A38EF0AF9}"/>
    <cellStyle name="Calculation 2 2 3 2 5 5 2" xfId="6104" xr:uid="{5E8A6A58-0C27-4982-B5BC-1108848667FC}"/>
    <cellStyle name="Calculation 2 2 3 2 5 6" xfId="3365" xr:uid="{20F4EC2B-B2D1-4CFF-9C5D-FE633285CA91}"/>
    <cellStyle name="Calculation 2 2 3 2 5 7" xfId="4165" xr:uid="{9E46967F-204F-4EFC-835B-E41FF34C23D4}"/>
    <cellStyle name="Calculation 2 2 3 2 6" xfId="588" xr:uid="{3F183C25-6AFE-4A8D-8216-4F60EDAB561F}"/>
    <cellStyle name="Calculation 2 2 3 2 6 2" xfId="3752" xr:uid="{AD44655F-9C78-4189-A4CA-BBA97AD26F80}"/>
    <cellStyle name="Calculation 2 2 3 2 7" xfId="1187" xr:uid="{8CA6E332-DA7C-47EA-B33A-EE720AE65EA6}"/>
    <cellStyle name="Calculation 2 2 3 2 7 2" xfId="4340" xr:uid="{58E013AA-3E58-4758-B996-0C9372862861}"/>
    <cellStyle name="Calculation 2 2 3 2 8" xfId="1722" xr:uid="{7A5AFD85-8CC2-4C65-B9B3-22D93580E694}"/>
    <cellStyle name="Calculation 2 2 3 2 8 2" xfId="4874" xr:uid="{316875A3-AAB8-4881-AC3F-9140FFDDF7C6}"/>
    <cellStyle name="Calculation 2 2 3 2 9" xfId="3489" xr:uid="{EDDDBCD6-12A4-4F00-8154-9EF5784B2143}"/>
    <cellStyle name="Calculation 2 2 3 3" xfId="399" xr:uid="{0BC448D4-5437-49BD-A5C5-3B701BB28F50}"/>
    <cellStyle name="Calculation 2 2 3 3 2" xfId="693" xr:uid="{BE014D98-65F4-43B9-B96C-BCAC7876E65E}"/>
    <cellStyle name="Calculation 2 2 3 3 2 2" xfId="3856" xr:uid="{05800716-0ECA-4298-8136-55ABD4322525}"/>
    <cellStyle name="Calculation 2 2 3 3 3" xfId="1292" xr:uid="{85137178-E060-401F-A7D6-D6F86CE95770}"/>
    <cellStyle name="Calculation 2 2 3 3 3 2" xfId="4444" xr:uid="{0DDC85D0-0B6C-4FB3-849E-100AF682FD12}"/>
    <cellStyle name="Calculation 2 2 3 3 4" xfId="1826" xr:uid="{AB6C6F08-4534-47C0-99E6-459AE8CA906B}"/>
    <cellStyle name="Calculation 2 2 3 3 4 2" xfId="4978" xr:uid="{BBA12C52-FE51-40E4-8E82-9D39C326C682}"/>
    <cellStyle name="Calculation 2 2 3 3 5" xfId="2301" xr:uid="{5EA12BD5-C30C-412B-A634-EA8E7897B412}"/>
    <cellStyle name="Calculation 2 2 3 3 5 2" xfId="5453" xr:uid="{A3909CD4-9ABE-4B00-89AA-F4107F419049}"/>
    <cellStyle name="Calculation 2 2 3 3 6" xfId="2523" xr:uid="{3CC5994E-9A5B-4077-BF3A-15CA9554E76D}"/>
    <cellStyle name="Calculation 2 2 3 3 6 2" xfId="5675" xr:uid="{221436B6-E8F3-41EB-B970-755138E71F73}"/>
    <cellStyle name="Calculation 2 2 3 3 7" xfId="3056" xr:uid="{3AA1A583-82F8-4C43-ABF6-E1C20EF1A742}"/>
    <cellStyle name="Calculation 2 2 3 3 7 2" xfId="6208" xr:uid="{0A94D4B0-1E1A-4911-8B6E-5311EA437781}"/>
    <cellStyle name="Calculation 2 2 3 3 8" xfId="3579" xr:uid="{E07A47CB-768D-4F7E-9FFF-F74AAF5A053C}"/>
    <cellStyle name="Calculation 2 2 3 4" xfId="748" xr:uid="{E2677A54-A549-472D-8A9D-F60E61A83892}"/>
    <cellStyle name="Calculation 2 2 3 4 2" xfId="1347" xr:uid="{52255C61-F268-45DB-BC33-02F5D7A70947}"/>
    <cellStyle name="Calculation 2 2 3 4 2 2" xfId="4499" xr:uid="{A1DA93EF-779A-4768-AA67-2F4898810355}"/>
    <cellStyle name="Calculation 2 2 3 4 3" xfId="1881" xr:uid="{FBF2132E-7ECF-4C45-9B71-218E46215306}"/>
    <cellStyle name="Calculation 2 2 3 4 3 2" xfId="5033" xr:uid="{CE4ABF9A-9AD7-4AB0-AA6B-2BA029777017}"/>
    <cellStyle name="Calculation 2 2 3 4 4" xfId="2356" xr:uid="{A0D8A7A6-ADF0-4B36-9656-DD3246C40044}"/>
    <cellStyle name="Calculation 2 2 3 4 4 2" xfId="5508" xr:uid="{C01C5ACE-8E06-4F71-96F2-D00BEB8059AC}"/>
    <cellStyle name="Calculation 2 2 3 4 5" xfId="2515" xr:uid="{758AA044-6549-4B7F-AE86-D1F1B728896D}"/>
    <cellStyle name="Calculation 2 2 3 4 5 2" xfId="5667" xr:uid="{40245CEC-9A40-4A6B-82FD-FB07173E1A34}"/>
    <cellStyle name="Calculation 2 2 3 4 6" xfId="3111" xr:uid="{FCC90C31-978A-44FE-8BB5-6241AB3DC840}"/>
    <cellStyle name="Calculation 2 2 3 4 6 2" xfId="6263" xr:uid="{E22CEB17-3AF5-4843-A873-E014E6C8F51B}"/>
    <cellStyle name="Calculation 2 2 3 4 7" xfId="3911" xr:uid="{2B738269-B371-4046-9CE9-F21B403DDFFE}"/>
    <cellStyle name="Calculation 2 2 3 5" xfId="829" xr:uid="{AA6A544F-D1D4-4245-88D6-053EF7681984}"/>
    <cellStyle name="Calculation 2 2 3 5 2" xfId="1428" xr:uid="{03465514-9BFC-4B36-9931-BCF563BB069C}"/>
    <cellStyle name="Calculation 2 2 3 5 2 2" xfId="4580" xr:uid="{92C6934A-84E3-4BC6-9E20-ED698E3CCDCA}"/>
    <cellStyle name="Calculation 2 2 3 5 3" xfId="1962" xr:uid="{5FE6FBA6-03CC-42DE-9162-C39ACA2FA187}"/>
    <cellStyle name="Calculation 2 2 3 5 3 2" xfId="5114" xr:uid="{1075BBA5-0571-4055-9248-FE5FD4778E51}"/>
    <cellStyle name="Calculation 2 2 3 5 4" xfId="2437" xr:uid="{9103FD08-B7DA-4E1F-B675-FBF10746BD96}"/>
    <cellStyle name="Calculation 2 2 3 5 4 2" xfId="5589" xr:uid="{1F3C0ADA-9DD6-4FAD-B30C-32B6A04163B7}"/>
    <cellStyle name="Calculation 2 2 3 5 5" xfId="2525" xr:uid="{F5DE5E75-7973-4426-9FBA-A21954E6132A}"/>
    <cellStyle name="Calculation 2 2 3 5 5 2" xfId="5677" xr:uid="{9A1EBF9A-BDAB-4D0F-88EF-71B5F11B8FBE}"/>
    <cellStyle name="Calculation 2 2 3 5 6" xfId="3192" xr:uid="{30D9B8C2-6FC1-4961-B31C-5B40D2463070}"/>
    <cellStyle name="Calculation 2 2 3 5 6 2" xfId="6344" xr:uid="{1E71684F-3826-4919-AA37-D9F8EE3932AF}"/>
    <cellStyle name="Calculation 2 2 3 5 7" xfId="3992" xr:uid="{9597AF58-AC9C-4746-986A-7366AAE0B99C}"/>
    <cellStyle name="Calculation 2 2 3 6" xfId="948" xr:uid="{4A667304-3058-44E3-8E41-394E0934D3E7}"/>
    <cellStyle name="Calculation 2 2 3 6 2" xfId="1547" xr:uid="{1CA02B5E-AB90-46CF-A054-3F18BDF78E2A}"/>
    <cellStyle name="Calculation 2 2 3 6 2 2" xfId="4699" xr:uid="{5EE6E917-A816-4633-A4D3-C478B3093AFE}"/>
    <cellStyle name="Calculation 2 2 3 6 3" xfId="2081" xr:uid="{4A70BD44-A04E-41F8-BBB7-C14E387FEF39}"/>
    <cellStyle name="Calculation 2 2 3 6 3 2" xfId="5233" xr:uid="{5DD55BAA-70AE-4580-89B7-8888C73DD35D}"/>
    <cellStyle name="Calculation 2 2 3 6 4" xfId="2730" xr:uid="{64F42A8E-4B88-434E-930F-68664AD2BF8E}"/>
    <cellStyle name="Calculation 2 2 3 6 4 2" xfId="5882" xr:uid="{06B5DF08-B3A9-4AB7-A113-07FC711C12ED}"/>
    <cellStyle name="Calculation 2 2 3 6 5" xfId="2898" xr:uid="{6B4ADE3F-5176-47A2-8355-B190098268BD}"/>
    <cellStyle name="Calculation 2 2 3 6 5 2" xfId="6050" xr:uid="{01A20BE2-B163-4255-A43A-BF976FAD115C}"/>
    <cellStyle name="Calculation 2 2 3 6 6" xfId="3311" xr:uid="{13D99700-F0B8-4D60-AD64-9EE7BF7302E1}"/>
    <cellStyle name="Calculation 2 2 3 6 7" xfId="4111" xr:uid="{A9AC4487-81F7-48FF-BD0A-39465EC8E7BA}"/>
    <cellStyle name="Calculation 2 2 3 7" xfId="529" xr:uid="{E848B3FD-B16D-402E-B634-E50824376883}"/>
    <cellStyle name="Calculation 2 2 3 7 2" xfId="3698" xr:uid="{7D3D42E7-798F-4C93-97FD-B3132DE90ED9}"/>
    <cellStyle name="Calculation 2 2 3 8" xfId="1127" xr:uid="{E371FDCA-A4E5-46C8-AEA4-81A422A30D74}"/>
    <cellStyle name="Calculation 2 2 3 8 2" xfId="4285" xr:uid="{F0147985-9A77-40D6-99EA-D3B5FC79E172}"/>
    <cellStyle name="Calculation 2 2 3 9" xfId="1664" xr:uid="{778F4ABE-9804-4B66-968B-BBA38FFAB262}"/>
    <cellStyle name="Calculation 2 2 3 9 2" xfId="4816" xr:uid="{A8CE0DA7-CB71-4004-96DD-6B05C93AA286}"/>
    <cellStyle name="Calculation 2 2 4" xfId="97" xr:uid="{4936DAE4-76BE-496F-9BEA-D91AA3BE135C}"/>
    <cellStyle name="Calculation 2 2 4 10" xfId="3427" xr:uid="{5B58B32A-6D1F-49A9-BA17-8F01D49C1C39}"/>
    <cellStyle name="Calculation 2 2 4 2" xfId="177" xr:uid="{D4B6B8BF-1ADF-4ECA-834D-8EB4A3E8DB54}"/>
    <cellStyle name="Calculation 2 2 4 2 2" xfId="463" xr:uid="{CFFF5716-7D21-43D1-B6DB-747180CE34AA}"/>
    <cellStyle name="Calculation 2 2 4 2 2 2" xfId="648" xr:uid="{90647B72-3A23-4DE5-90DA-A05B00DE470E}"/>
    <cellStyle name="Calculation 2 2 4 2 2 2 2" xfId="3811" xr:uid="{A687CC9C-2899-4DE1-BE4B-6874F5669724}"/>
    <cellStyle name="Calculation 2 2 4 2 2 3" xfId="1247" xr:uid="{84AB5ED0-CA88-4AB3-8CCD-04D26E1C55C8}"/>
    <cellStyle name="Calculation 2 2 4 2 2 3 2" xfId="4399" xr:uid="{EBAA25B1-567D-476B-8DBF-241A9E8262D3}"/>
    <cellStyle name="Calculation 2 2 4 2 2 4" xfId="1781" xr:uid="{2E75E855-8858-429B-83F0-2174A23F70DC}"/>
    <cellStyle name="Calculation 2 2 4 2 2 4 2" xfId="4933" xr:uid="{85111B47-5532-4F6A-865D-86D722C992A5}"/>
    <cellStyle name="Calculation 2 2 4 2 2 5" xfId="2256" xr:uid="{2243E4AF-EB30-4522-82FB-7089D6FDAC5F}"/>
    <cellStyle name="Calculation 2 2 4 2 2 5 2" xfId="5408" xr:uid="{CA123132-2FB5-42C7-8D3F-2E44024BCF73}"/>
    <cellStyle name="Calculation 2 2 4 2 2 6" xfId="2602" xr:uid="{02F17864-A724-44EA-B9EB-11D450790A23}"/>
    <cellStyle name="Calculation 2 2 4 2 2 6 2" xfId="5754" xr:uid="{1BF76E2D-8BE8-4635-8528-490CBA16A002}"/>
    <cellStyle name="Calculation 2 2 4 2 2 7" xfId="3011" xr:uid="{FF59443A-7885-4DAB-B904-2A457A7F39B1}"/>
    <cellStyle name="Calculation 2 2 4 2 2 7 2" xfId="6163" xr:uid="{D01C34EF-62FF-44EB-B0C7-8D5D5CE752A1}"/>
    <cellStyle name="Calculation 2 2 4 2 2 8" xfId="3638" xr:uid="{7F0BACFF-73C3-486A-8323-346B2B28B420}"/>
    <cellStyle name="Calculation 2 2 4 2 3" xfId="771" xr:uid="{88785E3B-7B37-4F0A-B9F3-299E4E375A0E}"/>
    <cellStyle name="Calculation 2 2 4 2 3 2" xfId="1370" xr:uid="{28E8D9AE-8222-4B5A-90B7-F353DCFF6067}"/>
    <cellStyle name="Calculation 2 2 4 2 3 2 2" xfId="4522" xr:uid="{4FEEF0E6-564F-4222-9173-10C6B044E136}"/>
    <cellStyle name="Calculation 2 2 4 2 3 3" xfId="1904" xr:uid="{BAB75489-748C-44DD-BE09-AAFA8842EA5C}"/>
    <cellStyle name="Calculation 2 2 4 2 3 3 2" xfId="5056" xr:uid="{C6DF1856-13DC-4157-B15F-E1ABD39E4E05}"/>
    <cellStyle name="Calculation 2 2 4 2 3 4" xfId="2379" xr:uid="{FE9F5896-302C-4A72-84A9-15686739AE10}"/>
    <cellStyle name="Calculation 2 2 4 2 3 4 2" xfId="5531" xr:uid="{2F6E65A3-8AFF-4DEA-B1D2-69DCEBAB7152}"/>
    <cellStyle name="Calculation 2 2 4 2 3 5" xfId="2613" xr:uid="{5A280884-6732-4A37-B073-C171D00B48FD}"/>
    <cellStyle name="Calculation 2 2 4 2 3 5 2" xfId="5765" xr:uid="{5FB7EFAE-0017-41F2-9786-37EDA6C3D68A}"/>
    <cellStyle name="Calculation 2 2 4 2 3 6" xfId="3134" xr:uid="{4B18D4EB-C06C-46A3-9509-C323EC3AC0E6}"/>
    <cellStyle name="Calculation 2 2 4 2 3 6 2" xfId="6286" xr:uid="{9DBCD613-A8A9-45B3-BE4C-13F035F404E6}"/>
    <cellStyle name="Calculation 2 2 4 2 3 7" xfId="3934" xr:uid="{2C9E1B9D-BC36-4356-962E-7E9784BE897C}"/>
    <cellStyle name="Calculation 2 2 4 2 4" xfId="888" xr:uid="{E7880090-8685-44B7-ABC9-08FDA3A9D8F3}"/>
    <cellStyle name="Calculation 2 2 4 2 4 2" xfId="1487" xr:uid="{B4D9D426-338F-4D99-84B1-8DAE54CD9689}"/>
    <cellStyle name="Calculation 2 2 4 2 4 2 2" xfId="4639" xr:uid="{763CF50C-8B21-40A0-8581-CB6455861B94}"/>
    <cellStyle name="Calculation 2 2 4 2 4 3" xfId="2021" xr:uid="{B11EB530-FC30-49A2-9E5B-296ECC62A9E1}"/>
    <cellStyle name="Calculation 2 2 4 2 4 3 2" xfId="5173" xr:uid="{92D8FF2B-994D-463C-9544-052F48EC6CB3}"/>
    <cellStyle name="Calculation 2 2 4 2 4 4" xfId="2496" xr:uid="{04D70099-D321-4087-9436-E8290BE3675B}"/>
    <cellStyle name="Calculation 2 2 4 2 4 4 2" xfId="5648" xr:uid="{CAB6B580-499A-47C8-9A33-D06F6AE2E48F}"/>
    <cellStyle name="Calculation 2 2 4 2 4 5" xfId="2838" xr:uid="{2235F46C-FA2F-4BF9-821A-0B0903B87196}"/>
    <cellStyle name="Calculation 2 2 4 2 4 5 2" xfId="5990" xr:uid="{4F7CBDD8-8D6E-4BB5-84F2-0C832F82FE9F}"/>
    <cellStyle name="Calculation 2 2 4 2 4 6" xfId="3251" xr:uid="{68785C63-5353-4CCF-9020-D547C42CB12A}"/>
    <cellStyle name="Calculation 2 2 4 2 4 6 2" xfId="6403" xr:uid="{6674ED32-E0F4-46FC-AE05-6DFC0428080C}"/>
    <cellStyle name="Calculation 2 2 4 2 4 7" xfId="4051" xr:uid="{9A47DBE0-F110-4E86-A21C-9D7A1AEAE1FA}"/>
    <cellStyle name="Calculation 2 2 4 2 5" xfId="1007" xr:uid="{2E7CCB3B-8755-4C58-8E7A-726F67D9D2CE}"/>
    <cellStyle name="Calculation 2 2 4 2 5 2" xfId="1606" xr:uid="{84F180E0-145A-455A-927F-0C4640F6C438}"/>
    <cellStyle name="Calculation 2 2 4 2 5 2 2" xfId="4758" xr:uid="{D9DF63D6-6FE9-4895-BDBF-0467007466BF}"/>
    <cellStyle name="Calculation 2 2 4 2 5 3" xfId="2140" xr:uid="{D8044841-3276-4240-A09C-2A64FBA17187}"/>
    <cellStyle name="Calculation 2 2 4 2 5 3 2" xfId="5292" xr:uid="{B01CD034-2CFA-46B0-8F33-A9F9EA269451}"/>
    <cellStyle name="Calculation 2 2 4 2 5 4" xfId="2789" xr:uid="{7BF25CAC-20EA-4493-98A8-163E33F009F5}"/>
    <cellStyle name="Calculation 2 2 4 2 5 4 2" xfId="5941" xr:uid="{AE170B73-E2BE-4CAC-BF28-83D44C9C09E4}"/>
    <cellStyle name="Calculation 2 2 4 2 5 5" xfId="2957" xr:uid="{988C0E9F-4EDA-48A0-B91A-C9BC0E09BE0A}"/>
    <cellStyle name="Calculation 2 2 4 2 5 5 2" xfId="6109" xr:uid="{260CE5AA-A409-4676-ABB4-1D9ECB1CB11F}"/>
    <cellStyle name="Calculation 2 2 4 2 5 6" xfId="3370" xr:uid="{E47A4C2E-0D7B-4CB4-BCFA-9B1B7FFCEFE9}"/>
    <cellStyle name="Calculation 2 2 4 2 5 7" xfId="4170" xr:uid="{9495E962-AB69-4105-8446-44D60F31EACE}"/>
    <cellStyle name="Calculation 2 2 4 2 6" xfId="593" xr:uid="{B8067CC2-6F63-4FC8-9F08-69E957BE64D0}"/>
    <cellStyle name="Calculation 2 2 4 2 6 2" xfId="3757" xr:uid="{F8FC13E2-E865-425C-BC2C-69A7EE196FAC}"/>
    <cellStyle name="Calculation 2 2 4 2 7" xfId="1192" xr:uid="{76D5312B-05E4-414D-A6ED-D1957C3A96D0}"/>
    <cellStyle name="Calculation 2 2 4 2 7 2" xfId="4345" xr:uid="{E32B1CBB-0C2C-4567-A4D0-3998C7754121}"/>
    <cellStyle name="Calculation 2 2 4 2 8" xfId="1727" xr:uid="{C513B6D9-29A8-48BC-B3E4-B50B1CF51797}"/>
    <cellStyle name="Calculation 2 2 4 2 8 2" xfId="4879" xr:uid="{15C3AA87-1133-4621-8442-6F024BAC6E4B}"/>
    <cellStyle name="Calculation 2 2 4 2 9" xfId="3494" xr:uid="{4A5EB409-30D4-4E7E-A028-97B4AF574EF3}"/>
    <cellStyle name="Calculation 2 2 4 3" xfId="404" xr:uid="{06CC3961-F5DB-4C46-A503-639194EC141A}"/>
    <cellStyle name="Calculation 2 2 4 3 2" xfId="722" xr:uid="{82C7A591-19DD-402F-AF5D-65712BEFC337}"/>
    <cellStyle name="Calculation 2 2 4 3 2 2" xfId="3885" xr:uid="{62A25B04-60D4-48A7-BC1B-87CEBB2128B0}"/>
    <cellStyle name="Calculation 2 2 4 3 3" xfId="1321" xr:uid="{8CD0FA6D-78AE-4597-A26D-0B9D2A3A648E}"/>
    <cellStyle name="Calculation 2 2 4 3 3 2" xfId="4473" xr:uid="{A71C5645-0DE5-4A7A-8D8A-120A8BD674CB}"/>
    <cellStyle name="Calculation 2 2 4 3 4" xfId="1855" xr:uid="{AC2CCAB3-D8A6-4ED3-B67C-14EC886E8102}"/>
    <cellStyle name="Calculation 2 2 4 3 4 2" xfId="5007" xr:uid="{9790A046-118C-422E-9779-159E49F87CAB}"/>
    <cellStyle name="Calculation 2 2 4 3 5" xfId="2330" xr:uid="{7D566EC7-9D2D-4E3B-B2D9-A00916DD805A}"/>
    <cellStyle name="Calculation 2 2 4 3 5 2" xfId="5482" xr:uid="{15EF9ADC-EB61-4136-95B0-11AB834D7B20}"/>
    <cellStyle name="Calculation 2 2 4 3 6" xfId="2588" xr:uid="{DA451A02-A1FF-4A9C-9CBA-35CEB5F7F47D}"/>
    <cellStyle name="Calculation 2 2 4 3 6 2" xfId="5740" xr:uid="{9E44076F-0DB1-43C3-A16C-64B8B5736B36}"/>
    <cellStyle name="Calculation 2 2 4 3 7" xfId="3085" xr:uid="{B5FD5EE9-7FBC-4D06-8283-46FEBD3E6D2B}"/>
    <cellStyle name="Calculation 2 2 4 3 7 2" xfId="6237" xr:uid="{B5D2FD4B-99D3-4C6D-9FE4-8EC5C784C39B}"/>
    <cellStyle name="Calculation 2 2 4 3 8" xfId="3584" xr:uid="{5A70B7FC-7A29-4F19-91C1-B6355D17491B}"/>
    <cellStyle name="Calculation 2 2 4 4" xfId="750" xr:uid="{5BC144A8-46C3-46E1-98F9-3699A4DAD682}"/>
    <cellStyle name="Calculation 2 2 4 4 2" xfId="1349" xr:uid="{A2AE7D30-ECBA-4268-8E37-7DAFA6B79DF4}"/>
    <cellStyle name="Calculation 2 2 4 4 2 2" xfId="4501" xr:uid="{737EE8F9-3908-4DA4-998A-6624FA8BB93E}"/>
    <cellStyle name="Calculation 2 2 4 4 3" xfId="1883" xr:uid="{0575539C-C71F-4F50-BF86-B8C685D2ACD3}"/>
    <cellStyle name="Calculation 2 2 4 4 3 2" xfId="5035" xr:uid="{A631E38E-FE33-40B6-ABE6-126B960CEEA5}"/>
    <cellStyle name="Calculation 2 2 4 4 4" xfId="2358" xr:uid="{38E06D46-FB37-4D41-B807-C647A7032B1F}"/>
    <cellStyle name="Calculation 2 2 4 4 4 2" xfId="5510" xr:uid="{E1AEF2C1-1111-4D88-9740-B449DD78C407}"/>
    <cellStyle name="Calculation 2 2 4 4 5" xfId="2193" xr:uid="{8F9C7F63-C89E-44EA-B9AA-C28C6707E7FD}"/>
    <cellStyle name="Calculation 2 2 4 4 5 2" xfId="5345" xr:uid="{8BA2DC6C-FE09-4FFF-A24C-F9B706BD65F9}"/>
    <cellStyle name="Calculation 2 2 4 4 6" xfId="3113" xr:uid="{FC52CFB7-5728-4BAE-97FF-1BA024F869BC}"/>
    <cellStyle name="Calculation 2 2 4 4 6 2" xfId="6265" xr:uid="{BD73FC01-6187-48AA-B1F2-652FB8249776}"/>
    <cellStyle name="Calculation 2 2 4 4 7" xfId="3913" xr:uid="{BEC16F63-07AC-4713-BE03-8C1763A75AD0}"/>
    <cellStyle name="Calculation 2 2 4 5" xfId="834" xr:uid="{62FEBF78-2E8C-4B2D-B8BA-68513E1E8FD2}"/>
    <cellStyle name="Calculation 2 2 4 5 2" xfId="1433" xr:uid="{E01EC5D2-E191-4013-AD6F-AC269266C45B}"/>
    <cellStyle name="Calculation 2 2 4 5 2 2" xfId="4585" xr:uid="{B1DFEF7B-35AB-415E-A45F-E5782DA0726D}"/>
    <cellStyle name="Calculation 2 2 4 5 3" xfId="1967" xr:uid="{5BBE6C26-AA31-4180-A2B1-C7D21829B069}"/>
    <cellStyle name="Calculation 2 2 4 5 3 2" xfId="5119" xr:uid="{E0CE7A20-4D96-48FA-B2AC-66A4FEB4DE49}"/>
    <cellStyle name="Calculation 2 2 4 5 4" xfId="2442" xr:uid="{2E265A24-3B9F-4DBE-AF40-D64482A93F58}"/>
    <cellStyle name="Calculation 2 2 4 5 4 2" xfId="5594" xr:uid="{93B624DC-DB9D-4F43-9E63-8214AC7C4E9F}"/>
    <cellStyle name="Calculation 2 2 4 5 5" xfId="2568" xr:uid="{B45F6936-738A-491C-A938-0767DF4E37AB}"/>
    <cellStyle name="Calculation 2 2 4 5 5 2" xfId="5720" xr:uid="{A8136C37-D371-4D5B-AD3A-6EFFD6C5CE79}"/>
    <cellStyle name="Calculation 2 2 4 5 6" xfId="3197" xr:uid="{E50AD1E1-523A-4A1D-A815-F89B3325C438}"/>
    <cellStyle name="Calculation 2 2 4 5 6 2" xfId="6349" xr:uid="{A4FC4314-E3A6-4BFB-AFDF-44D4B5799581}"/>
    <cellStyle name="Calculation 2 2 4 5 7" xfId="3997" xr:uid="{8D72C9A2-F6A9-4070-AD1F-7127451031DC}"/>
    <cellStyle name="Calculation 2 2 4 6" xfId="953" xr:uid="{66FF3A01-A261-4F4B-B73A-F5FFB4D04F47}"/>
    <cellStyle name="Calculation 2 2 4 6 2" xfId="1552" xr:uid="{22AF68E8-8933-4D6E-A0B5-088AA4F9ADC8}"/>
    <cellStyle name="Calculation 2 2 4 6 2 2" xfId="4704" xr:uid="{7590274D-EDD9-46C6-8927-7180E9B4B68F}"/>
    <cellStyle name="Calculation 2 2 4 6 3" xfId="2086" xr:uid="{7CCED2F4-1EF9-41B1-BAD8-C2907076BE41}"/>
    <cellStyle name="Calculation 2 2 4 6 3 2" xfId="5238" xr:uid="{E399E212-3874-4114-A8A9-37C5F69A62EC}"/>
    <cellStyle name="Calculation 2 2 4 6 4" xfId="2735" xr:uid="{74830930-4C46-4DFD-A841-F0238E4876BC}"/>
    <cellStyle name="Calculation 2 2 4 6 4 2" xfId="5887" xr:uid="{463AC715-F5DD-4D10-A946-16649315119D}"/>
    <cellStyle name="Calculation 2 2 4 6 5" xfId="2903" xr:uid="{6F6067AC-962A-4C79-A121-72E8BA144072}"/>
    <cellStyle name="Calculation 2 2 4 6 5 2" xfId="6055" xr:uid="{53E4CDD7-953F-4E67-94C2-ABE4384E6E94}"/>
    <cellStyle name="Calculation 2 2 4 6 6" xfId="3316" xr:uid="{DE67F4C1-D708-4D7B-954D-4C425F2ACD96}"/>
    <cellStyle name="Calculation 2 2 4 6 7" xfId="4116" xr:uid="{83B03BD0-A7F1-4CD2-9B59-A4F4DADC549B}"/>
    <cellStyle name="Calculation 2 2 4 7" xfId="534" xr:uid="{F5976B06-9BCB-4E9E-915E-1153E1330815}"/>
    <cellStyle name="Calculation 2 2 4 7 2" xfId="3703" xr:uid="{8BA678F9-708D-4CF5-8DC1-7BD3568E0555}"/>
    <cellStyle name="Calculation 2 2 4 8" xfId="1132" xr:uid="{572560B9-A6CA-405F-99BA-C26B86DC50BE}"/>
    <cellStyle name="Calculation 2 2 4 8 2" xfId="4290" xr:uid="{06A73747-5ADC-4B2B-9548-A474DF3C918E}"/>
    <cellStyle name="Calculation 2 2 4 9" xfId="1669" xr:uid="{7D9CEF33-6EBC-4C38-981B-8BD2AC3A1CEC}"/>
    <cellStyle name="Calculation 2 2 4 9 2" xfId="4821" xr:uid="{94FE778D-CD6A-45DE-AB9D-F4A450E10664}"/>
    <cellStyle name="Calculation 2 2 5" xfId="102" xr:uid="{A9585B6D-3ED7-4A65-B8FB-F1F1B562ED24}"/>
    <cellStyle name="Calculation 2 2 5 10" xfId="3432" xr:uid="{57FE7C2D-19E9-46E7-A666-AC9C6BE9572B}"/>
    <cellStyle name="Calculation 2 2 5 2" xfId="182" xr:uid="{ACEFE216-144E-4BDB-9B25-15E581C9C8F5}"/>
    <cellStyle name="Calculation 2 2 5 2 2" xfId="468" xr:uid="{6239EF2A-31DD-451C-9287-605267D4C356}"/>
    <cellStyle name="Calculation 2 2 5 2 2 2" xfId="604" xr:uid="{1599CE6C-EBAD-4336-B6FB-F884F90927DC}"/>
    <cellStyle name="Calculation 2 2 5 2 2 2 2" xfId="3767" xr:uid="{B441E20A-9EAE-444B-99C6-0BE10D3271F6}"/>
    <cellStyle name="Calculation 2 2 5 2 2 3" xfId="1203" xr:uid="{C7D5FB36-4E64-4EA1-80B1-6055CB3C70FC}"/>
    <cellStyle name="Calculation 2 2 5 2 2 3 2" xfId="4355" xr:uid="{8DA84079-6540-43F1-8CAE-3A630169E0B9}"/>
    <cellStyle name="Calculation 2 2 5 2 2 4" xfId="1737" xr:uid="{A926C45C-3584-405B-ABF9-6724C36F5C6C}"/>
    <cellStyle name="Calculation 2 2 5 2 2 4 2" xfId="4889" xr:uid="{ACB651E3-D368-498E-9134-6334D67BFDCB}"/>
    <cellStyle name="Calculation 2 2 5 2 2 5" xfId="2212" xr:uid="{85808EB9-F9F2-4D2F-8BF5-7C025F5DC305}"/>
    <cellStyle name="Calculation 2 2 5 2 2 5 2" xfId="5364" xr:uid="{B18D43A9-C396-42AE-A83B-A66A7A5846C4}"/>
    <cellStyle name="Calculation 2 2 5 2 2 6" xfId="2209" xr:uid="{6E4DA6F1-22A6-4CFE-A3C2-1E039A6B1A0F}"/>
    <cellStyle name="Calculation 2 2 5 2 2 6 2" xfId="5361" xr:uid="{6234CCDB-1052-4FB0-B75B-6D4A1B5088F9}"/>
    <cellStyle name="Calculation 2 2 5 2 2 7" xfId="2967" xr:uid="{026D8B13-E03E-4961-8EBE-F950A7039466}"/>
    <cellStyle name="Calculation 2 2 5 2 2 7 2" xfId="6119" xr:uid="{21765A9E-5E03-4424-A6D4-8E23EA03A44E}"/>
    <cellStyle name="Calculation 2 2 5 2 2 8" xfId="3643" xr:uid="{345C04E0-7621-4045-83B0-CD829505D4AB}"/>
    <cellStyle name="Calculation 2 2 5 2 3" xfId="773" xr:uid="{84358406-BB06-4D9E-A1A7-306AA39B49D0}"/>
    <cellStyle name="Calculation 2 2 5 2 3 2" xfId="1372" xr:uid="{C5BDD4B2-BC5B-4440-86A5-90A986D20E96}"/>
    <cellStyle name="Calculation 2 2 5 2 3 2 2" xfId="4524" xr:uid="{B493A978-332A-4113-91EC-1ACFA9882F83}"/>
    <cellStyle name="Calculation 2 2 5 2 3 3" xfId="1906" xr:uid="{CB2D33D3-8C29-46B4-9035-082A34856E55}"/>
    <cellStyle name="Calculation 2 2 5 2 3 3 2" xfId="5058" xr:uid="{D5C66DB5-63F4-492E-9B7B-15C1A6660BDE}"/>
    <cellStyle name="Calculation 2 2 5 2 3 4" xfId="2381" xr:uid="{3AD17FCF-4375-4707-B905-D504D7F0B134}"/>
    <cellStyle name="Calculation 2 2 5 2 3 4 2" xfId="5533" xr:uid="{F556D1BE-7865-41A7-843B-6F8BF884D91C}"/>
    <cellStyle name="Calculation 2 2 5 2 3 5" xfId="1062" xr:uid="{91908745-149D-4115-88E2-F22728E7C8C1}"/>
    <cellStyle name="Calculation 2 2 5 2 3 5 2" xfId="4224" xr:uid="{3773884D-EE7E-4ADC-BF15-D1AFB784B65E}"/>
    <cellStyle name="Calculation 2 2 5 2 3 6" xfId="3136" xr:uid="{E9BF8FF7-D224-4E99-9994-CE26C930D5A6}"/>
    <cellStyle name="Calculation 2 2 5 2 3 6 2" xfId="6288" xr:uid="{1E56581F-AB97-4E61-B7A0-59672236053A}"/>
    <cellStyle name="Calculation 2 2 5 2 3 7" xfId="3936" xr:uid="{FA454FCA-92B9-4CAB-A2E9-DB44262D1DD9}"/>
    <cellStyle name="Calculation 2 2 5 2 4" xfId="893" xr:uid="{A7863C76-B186-429D-A76B-38DDE20EABE7}"/>
    <cellStyle name="Calculation 2 2 5 2 4 2" xfId="1492" xr:uid="{EA40A668-3BC9-42E8-BCD0-343B6FCFF7F5}"/>
    <cellStyle name="Calculation 2 2 5 2 4 2 2" xfId="4644" xr:uid="{A06CB12B-2033-48DD-8EE7-24D1805BD9F2}"/>
    <cellStyle name="Calculation 2 2 5 2 4 3" xfId="2026" xr:uid="{DBC1F685-736B-42C3-8968-0A561D5C98EB}"/>
    <cellStyle name="Calculation 2 2 5 2 4 3 2" xfId="5178" xr:uid="{3E1C1865-3699-4A0D-AD21-6D7220092688}"/>
    <cellStyle name="Calculation 2 2 5 2 4 4" xfId="2501" xr:uid="{B4130FAE-3BDB-4F4A-A66C-224F14883027}"/>
    <cellStyle name="Calculation 2 2 5 2 4 4 2" xfId="5653" xr:uid="{A86A0114-C4A4-4395-B08F-971BA1552527}"/>
    <cellStyle name="Calculation 2 2 5 2 4 5" xfId="2843" xr:uid="{E40D7F49-F843-4A08-B8B2-FD712A41D728}"/>
    <cellStyle name="Calculation 2 2 5 2 4 5 2" xfId="5995" xr:uid="{AA159FBC-43AE-499E-8709-ABDA99EBFAAF}"/>
    <cellStyle name="Calculation 2 2 5 2 4 6" xfId="3256" xr:uid="{0D1269B2-B776-49F4-B70D-CDF140016589}"/>
    <cellStyle name="Calculation 2 2 5 2 4 6 2" xfId="6408" xr:uid="{101F9EF6-AE32-46E6-A95D-0F6B28751B16}"/>
    <cellStyle name="Calculation 2 2 5 2 4 7" xfId="4056" xr:uid="{305BD9FF-6611-44FD-814E-8A9B6EFD6B4F}"/>
    <cellStyle name="Calculation 2 2 5 2 5" xfId="1012" xr:uid="{75F284E7-6BCD-4728-BE76-5DBAD4AC4577}"/>
    <cellStyle name="Calculation 2 2 5 2 5 2" xfId="1611" xr:uid="{58DA2BB3-08EA-409D-92D6-9C8F43C7B06D}"/>
    <cellStyle name="Calculation 2 2 5 2 5 2 2" xfId="4763" xr:uid="{F748B070-2206-4A4F-A5BD-39641DCD3489}"/>
    <cellStyle name="Calculation 2 2 5 2 5 3" xfId="2145" xr:uid="{22321FF0-5444-4748-94A0-D1CBC132C705}"/>
    <cellStyle name="Calculation 2 2 5 2 5 3 2" xfId="5297" xr:uid="{4F4C652A-B424-47EF-B3BB-B4BE732DA66E}"/>
    <cellStyle name="Calculation 2 2 5 2 5 4" xfId="2794" xr:uid="{0F688841-92DD-4C98-8143-38866A0EC879}"/>
    <cellStyle name="Calculation 2 2 5 2 5 4 2" xfId="5946" xr:uid="{34238BC5-CD78-4100-8800-A064D4C5ED09}"/>
    <cellStyle name="Calculation 2 2 5 2 5 5" xfId="2962" xr:uid="{E35F0669-BA7B-4479-BFC7-E1AF6278F0B7}"/>
    <cellStyle name="Calculation 2 2 5 2 5 5 2" xfId="6114" xr:uid="{7B4E9FDC-A35D-4E5D-AB7A-3D35494D8D36}"/>
    <cellStyle name="Calculation 2 2 5 2 5 6" xfId="3375" xr:uid="{351DC037-42AF-4A63-9AD5-23DB6C17554E}"/>
    <cellStyle name="Calculation 2 2 5 2 5 7" xfId="4175" xr:uid="{AFACB733-7DE2-4628-A9AE-57DF91081B3D}"/>
    <cellStyle name="Calculation 2 2 5 2 6" xfId="598" xr:uid="{E3218A1E-EAD0-4919-AB24-FE76E566018A}"/>
    <cellStyle name="Calculation 2 2 5 2 6 2" xfId="3762" xr:uid="{DE2D9DF6-40C9-4DDF-A48D-15C39A4F3BBA}"/>
    <cellStyle name="Calculation 2 2 5 2 7" xfId="1197" xr:uid="{48811666-659D-4310-9E78-537364727134}"/>
    <cellStyle name="Calculation 2 2 5 2 7 2" xfId="4350" xr:uid="{FB1FDF7F-26BE-4C03-9C74-74624F3249DE}"/>
    <cellStyle name="Calculation 2 2 5 2 8" xfId="1732" xr:uid="{6FD4466B-16F4-4B30-BFE8-AB1A300399DC}"/>
    <cellStyle name="Calculation 2 2 5 2 8 2" xfId="4884" xr:uid="{2394019E-2276-4CD9-B11F-A7C805AE2A66}"/>
    <cellStyle name="Calculation 2 2 5 2 9" xfId="3499" xr:uid="{138483EA-58FE-480A-8E00-52377684E7A4}"/>
    <cellStyle name="Calculation 2 2 5 3" xfId="409" xr:uid="{D407BE18-9AD7-4DB4-A90D-1E5ED8D59BC2}"/>
    <cellStyle name="Calculation 2 2 5 3 2" xfId="697" xr:uid="{C9D899AB-D3C7-467D-9D39-1A78DC8B0ACE}"/>
    <cellStyle name="Calculation 2 2 5 3 2 2" xfId="3860" xr:uid="{0A4BC03F-7878-4B52-B589-557A25129CBA}"/>
    <cellStyle name="Calculation 2 2 5 3 3" xfId="1296" xr:uid="{42E85804-AE34-4CD8-894D-31320EEE7AA6}"/>
    <cellStyle name="Calculation 2 2 5 3 3 2" xfId="4448" xr:uid="{58295FA7-54E3-4E9B-BEEC-D6A786F06AD9}"/>
    <cellStyle name="Calculation 2 2 5 3 4" xfId="1830" xr:uid="{E8CAED34-31BB-48C2-8B91-261FD51DF0ED}"/>
    <cellStyle name="Calculation 2 2 5 3 4 2" xfId="4982" xr:uid="{9DECCD14-81B3-49E0-AF8D-8B2B059F258D}"/>
    <cellStyle name="Calculation 2 2 5 3 5" xfId="2305" xr:uid="{4CBBF0EE-7450-4FA9-AAF0-B1853302BF75}"/>
    <cellStyle name="Calculation 2 2 5 3 5 2" xfId="5457" xr:uid="{C328AC15-DE6F-42F9-A8E3-737F8BDD68E8}"/>
    <cellStyle name="Calculation 2 2 5 3 6" xfId="2625" xr:uid="{642BA429-439D-4AEA-8905-17D695EC525E}"/>
    <cellStyle name="Calculation 2 2 5 3 6 2" xfId="5777" xr:uid="{358081D7-F278-42F8-91B8-9DF1F3F0BBA2}"/>
    <cellStyle name="Calculation 2 2 5 3 7" xfId="3060" xr:uid="{9D95DCBE-1966-4A25-BAF0-FBA59B379D3F}"/>
    <cellStyle name="Calculation 2 2 5 3 7 2" xfId="6212" xr:uid="{1A2A434B-4AD5-4914-BDDF-C391B28FABDE}"/>
    <cellStyle name="Calculation 2 2 5 3 8" xfId="3589" xr:uid="{A976D1BB-A9F6-48B6-9ADA-8A04D004B1E9}"/>
    <cellStyle name="Calculation 2 2 5 4" xfId="752" xr:uid="{BE404AD9-2163-418A-AD7B-AD56AB52EB7B}"/>
    <cellStyle name="Calculation 2 2 5 4 2" xfId="1351" xr:uid="{D7D24D06-D7BE-409C-A339-0D4E1ECEC895}"/>
    <cellStyle name="Calculation 2 2 5 4 2 2" xfId="4503" xr:uid="{A9A65BDE-CD0B-4852-81CA-8FFEBCF906C1}"/>
    <cellStyle name="Calculation 2 2 5 4 3" xfId="1885" xr:uid="{0421B715-F3F4-43F0-9B50-121AF025712E}"/>
    <cellStyle name="Calculation 2 2 5 4 3 2" xfId="5037" xr:uid="{F668B978-F9EA-46B3-B167-914662C5F1E4}"/>
    <cellStyle name="Calculation 2 2 5 4 4" xfId="2360" xr:uid="{CD80EA8A-F073-4ECE-88F9-520EF9BBB8FF}"/>
    <cellStyle name="Calculation 2 2 5 4 4 2" xfId="5512" xr:uid="{1A5E4609-35B2-43C8-9931-C71BA9279CC9}"/>
    <cellStyle name="Calculation 2 2 5 4 5" xfId="2607" xr:uid="{33D86F1A-C984-40B2-8DC0-48F11055F3AA}"/>
    <cellStyle name="Calculation 2 2 5 4 5 2" xfId="5759" xr:uid="{DFDD9618-B2BE-4CC5-A192-BA16831215BC}"/>
    <cellStyle name="Calculation 2 2 5 4 6" xfId="3115" xr:uid="{00788727-7CD2-4768-941A-C4348E851309}"/>
    <cellStyle name="Calculation 2 2 5 4 6 2" xfId="6267" xr:uid="{1740B38B-0F65-4FAA-9530-706C3B691537}"/>
    <cellStyle name="Calculation 2 2 5 4 7" xfId="3915" xr:uid="{3B04C0F5-E05E-40BE-A448-A66395F8292E}"/>
    <cellStyle name="Calculation 2 2 5 5" xfId="839" xr:uid="{BB3C6BC6-000A-4FB1-8728-399EDF333439}"/>
    <cellStyle name="Calculation 2 2 5 5 2" xfId="1438" xr:uid="{5F9070A8-7CA3-440D-A328-14BB5EBD5E15}"/>
    <cellStyle name="Calculation 2 2 5 5 2 2" xfId="4590" xr:uid="{04797EAA-8638-40B2-B42A-0D9E729E12D9}"/>
    <cellStyle name="Calculation 2 2 5 5 3" xfId="1972" xr:uid="{987A425C-8E85-496D-A389-33C71B75B461}"/>
    <cellStyle name="Calculation 2 2 5 5 3 2" xfId="5124" xr:uid="{D37C806A-E638-4E9C-A1F2-C4879A7B4E40}"/>
    <cellStyle name="Calculation 2 2 5 5 4" xfId="2447" xr:uid="{7FB47F63-6B5A-4DFE-A643-38AA4BDA649D}"/>
    <cellStyle name="Calculation 2 2 5 5 4 2" xfId="5599" xr:uid="{61E20DF1-FAB8-417D-A395-BF5C71D8B09A}"/>
    <cellStyle name="Calculation 2 2 5 5 5" xfId="2519" xr:uid="{2EEB5798-4AF8-42F6-A4B4-86658E02ED78}"/>
    <cellStyle name="Calculation 2 2 5 5 5 2" xfId="5671" xr:uid="{01A2355A-27DE-4D67-B2DF-E4F9C7925636}"/>
    <cellStyle name="Calculation 2 2 5 5 6" xfId="3202" xr:uid="{0892EA47-29EB-491D-86F8-CD71C3844913}"/>
    <cellStyle name="Calculation 2 2 5 5 6 2" xfId="6354" xr:uid="{F8593C72-A52F-4A14-8AE2-B8BD128D880A}"/>
    <cellStyle name="Calculation 2 2 5 5 7" xfId="4002" xr:uid="{AE985DF3-776B-4C5F-808F-872EEA7D4869}"/>
    <cellStyle name="Calculation 2 2 5 6" xfId="958" xr:uid="{2989DEA7-B24C-462C-B0A7-ADC095633523}"/>
    <cellStyle name="Calculation 2 2 5 6 2" xfId="1557" xr:uid="{143F012F-F8DE-4E40-803B-80D012CCD767}"/>
    <cellStyle name="Calculation 2 2 5 6 2 2" xfId="4709" xr:uid="{C68907AB-31D9-444D-9321-E89D3361803B}"/>
    <cellStyle name="Calculation 2 2 5 6 3" xfId="2091" xr:uid="{9AC03ED0-A115-4288-98A8-5FB280EF8214}"/>
    <cellStyle name="Calculation 2 2 5 6 3 2" xfId="5243" xr:uid="{0D482461-ADEB-4AD4-AEA5-4F1C1E733733}"/>
    <cellStyle name="Calculation 2 2 5 6 4" xfId="2740" xr:uid="{BD79DB05-52F5-4E11-88B4-A447EE7B1289}"/>
    <cellStyle name="Calculation 2 2 5 6 4 2" xfId="5892" xr:uid="{EC44C41F-2B16-4592-9A72-B791618DE537}"/>
    <cellStyle name="Calculation 2 2 5 6 5" xfId="2908" xr:uid="{4848360A-871B-4E87-8130-4C03ED60F3E5}"/>
    <cellStyle name="Calculation 2 2 5 6 5 2" xfId="6060" xr:uid="{8B3F1DE9-80D6-4918-AE42-E339F858AEB1}"/>
    <cellStyle name="Calculation 2 2 5 6 6" xfId="3321" xr:uid="{19EFBF39-F0EC-4497-BD52-FBC417ACB73E}"/>
    <cellStyle name="Calculation 2 2 5 6 7" xfId="4121" xr:uid="{32D47A36-5B44-4A08-BA6E-36FF8D724423}"/>
    <cellStyle name="Calculation 2 2 5 7" xfId="539" xr:uid="{392F68B2-12F3-4526-BBF2-167247C92BC1}"/>
    <cellStyle name="Calculation 2 2 5 7 2" xfId="3708" xr:uid="{5E83E9B8-8D8A-4541-B988-449C464486D3}"/>
    <cellStyle name="Calculation 2 2 5 8" xfId="1137" xr:uid="{44BF5347-AB5E-449F-9451-908353801A0A}"/>
    <cellStyle name="Calculation 2 2 5 8 2" xfId="4295" xr:uid="{56B9513B-1A38-481E-BF5D-ABA48219A4D9}"/>
    <cellStyle name="Calculation 2 2 5 9" xfId="1674" xr:uid="{68E2ABDB-E6E5-49B6-B7AC-056337612E76}"/>
    <cellStyle name="Calculation 2 2 5 9 2" xfId="4826" xr:uid="{1C26A2A2-7184-4F76-A84E-65D8DCF32BD7}"/>
    <cellStyle name="Calculation 2 2 6" xfId="120" xr:uid="{610DC089-0879-487B-B6CE-F9578E8B92E8}"/>
    <cellStyle name="Calculation 2 2 6 2" xfId="386" xr:uid="{1673DD94-2949-46E6-BCF6-DF842FA6DAF3}"/>
    <cellStyle name="Calculation 2 2 6 2 2" xfId="682" xr:uid="{1DEB7973-CA26-46B3-9957-0B7C064BDA70}"/>
    <cellStyle name="Calculation 2 2 6 2 2 2" xfId="3845" xr:uid="{5351C3F1-57D7-48F9-8003-A98179A44C90}"/>
    <cellStyle name="Calculation 2 2 6 2 3" xfId="1281" xr:uid="{4C07868D-8664-4DE5-A056-4BD29FF85BF8}"/>
    <cellStyle name="Calculation 2 2 6 2 3 2" xfId="4433" xr:uid="{B7A8137B-9490-4AA8-AA1B-77B30923DFC1}"/>
    <cellStyle name="Calculation 2 2 6 2 4" xfId="1815" xr:uid="{D114E553-8A4A-4CD1-BA34-41B213A13261}"/>
    <cellStyle name="Calculation 2 2 6 2 4 2" xfId="4967" xr:uid="{12E98213-562F-44E6-863B-FBC04EE3C423}"/>
    <cellStyle name="Calculation 2 2 6 2 5" xfId="2290" xr:uid="{3B379FC7-ABF4-41D5-9EBC-57E7EFDF916E}"/>
    <cellStyle name="Calculation 2 2 6 2 5 2" xfId="5442" xr:uid="{9036ADE2-0883-4457-A8D2-21491AE471E9}"/>
    <cellStyle name="Calculation 2 2 6 2 6" xfId="2550" xr:uid="{6A0B7C69-D238-4A08-BC1C-9AC795925C6D}"/>
    <cellStyle name="Calculation 2 2 6 2 6 2" xfId="5702" xr:uid="{54FE3CCC-6377-42C8-853D-351067DFBC95}"/>
    <cellStyle name="Calculation 2 2 6 2 7" xfId="3045" xr:uid="{AF3C83A8-2010-4C2B-81A9-F30633DBC5B8}"/>
    <cellStyle name="Calculation 2 2 6 2 7 2" xfId="6197" xr:uid="{14A2ABC2-E0CC-444C-AB4A-D5C40508E3B8}"/>
    <cellStyle name="Calculation 2 2 6 2 8" xfId="3567" xr:uid="{B89D3F14-1D9C-45F4-B7CB-B8CF12F60D26}"/>
    <cellStyle name="Calculation 2 2 6 3" xfId="744" xr:uid="{3B2DD852-6EF6-437B-8ED4-8C4B53FEB144}"/>
    <cellStyle name="Calculation 2 2 6 3 2" xfId="1343" xr:uid="{1068A09E-ADE1-4BCB-B463-1EB74D9DE5C2}"/>
    <cellStyle name="Calculation 2 2 6 3 2 2" xfId="4495" xr:uid="{B7D0FFD1-7953-4891-8C7E-0C9B0F94C759}"/>
    <cellStyle name="Calculation 2 2 6 3 3" xfId="1877" xr:uid="{5139E8F8-7D97-4F26-9C70-8BA5480EDBB0}"/>
    <cellStyle name="Calculation 2 2 6 3 3 2" xfId="5029" xr:uid="{9CC1DE08-F709-4411-9C1B-D85EAF81BA96}"/>
    <cellStyle name="Calculation 2 2 6 3 4" xfId="2352" xr:uid="{EF80996A-AC32-4574-9483-EF89FDDE0451}"/>
    <cellStyle name="Calculation 2 2 6 3 4 2" xfId="5504" xr:uid="{011FD1E8-9C32-4DD5-8BBD-6F112DA2C770}"/>
    <cellStyle name="Calculation 2 2 6 3 5" xfId="1019" xr:uid="{339A3EEF-8468-4E41-8745-86B2BE7318B5}"/>
    <cellStyle name="Calculation 2 2 6 3 5 2" xfId="4182" xr:uid="{DE032A6F-656C-4811-B4D9-4FAA489D63BF}"/>
    <cellStyle name="Calculation 2 2 6 3 6" xfId="3107" xr:uid="{7BC5792C-5F68-42F0-B131-752A78CB1B8D}"/>
    <cellStyle name="Calculation 2 2 6 3 6 2" xfId="6259" xr:uid="{0184003C-4481-41EE-98FB-F96338E86AAC}"/>
    <cellStyle name="Calculation 2 2 6 3 7" xfId="3907" xr:uid="{9EC63A2E-993B-466F-A3EE-46ABB7AA4F2B}"/>
    <cellStyle name="Calculation 2 2 6 4" xfId="817" xr:uid="{2F51D99C-B8AD-477C-8DC3-30C04082673E}"/>
    <cellStyle name="Calculation 2 2 6 4 2" xfId="1416" xr:uid="{3E87E01D-460D-4D57-9D99-903D8459BDC3}"/>
    <cellStyle name="Calculation 2 2 6 4 2 2" xfId="4568" xr:uid="{399E47A5-2C8D-484B-88B2-6330F1BC7A51}"/>
    <cellStyle name="Calculation 2 2 6 4 3" xfId="1950" xr:uid="{489B2237-F083-4A73-90B2-4AADB4128048}"/>
    <cellStyle name="Calculation 2 2 6 4 3 2" xfId="5102" xr:uid="{A4B684F6-C148-4EB4-B3C1-683ECE3A2B0A}"/>
    <cellStyle name="Calculation 2 2 6 4 4" xfId="2425" xr:uid="{57678CA6-10DA-4583-83F3-5456B9EE3400}"/>
    <cellStyle name="Calculation 2 2 6 4 4 2" xfId="5577" xr:uid="{966ACEBD-6B04-4F41-9C01-254AB1D99121}"/>
    <cellStyle name="Calculation 2 2 6 4 5" xfId="2536" xr:uid="{2DA167DA-E534-400F-956D-84C22F1007C7}"/>
    <cellStyle name="Calculation 2 2 6 4 5 2" xfId="5688" xr:uid="{35174AF7-FAE2-48F3-A12A-D0D737A1B771}"/>
    <cellStyle name="Calculation 2 2 6 4 6" xfId="3180" xr:uid="{DAE1FFD2-F17F-4D91-93E7-72714188FBE8}"/>
    <cellStyle name="Calculation 2 2 6 4 6 2" xfId="6332" xr:uid="{921D0F7F-1734-4774-B04F-3FEA60152C71}"/>
    <cellStyle name="Calculation 2 2 6 4 7" xfId="3980" xr:uid="{00003F07-6370-4E5C-AF12-7830832F1FCC}"/>
    <cellStyle name="Calculation 2 2 6 5" xfId="936" xr:uid="{00CA55B6-3766-40A5-BCB5-5C828A606419}"/>
    <cellStyle name="Calculation 2 2 6 5 2" xfId="1535" xr:uid="{2F980DD9-21DC-4F4F-80A9-5F1B1E3521A2}"/>
    <cellStyle name="Calculation 2 2 6 5 2 2" xfId="4687" xr:uid="{937E79F2-FF2B-411A-B11A-DD14DE765972}"/>
    <cellStyle name="Calculation 2 2 6 5 3" xfId="2069" xr:uid="{CA131456-DA10-472C-A0AE-E7033C3A5A00}"/>
    <cellStyle name="Calculation 2 2 6 5 3 2" xfId="5221" xr:uid="{E296EB24-45F5-4383-9B6C-E87299F31A80}"/>
    <cellStyle name="Calculation 2 2 6 5 4" xfId="2718" xr:uid="{DD27B029-685A-4F3D-A555-3FEDCE8DD66C}"/>
    <cellStyle name="Calculation 2 2 6 5 4 2" xfId="5870" xr:uid="{1335AE1C-10CC-4EE3-AD43-FA6D33ABB2D2}"/>
    <cellStyle name="Calculation 2 2 6 5 5" xfId="2886" xr:uid="{45C953F2-9F91-4780-AFCA-DD3E86529749}"/>
    <cellStyle name="Calculation 2 2 6 5 5 2" xfId="6038" xr:uid="{8D6A991A-015D-497E-88B6-ECCE64A6DAE6}"/>
    <cellStyle name="Calculation 2 2 6 5 6" xfId="3299" xr:uid="{4F8B3A31-9E91-4E85-88B6-F3379F812CFE}"/>
    <cellStyle name="Calculation 2 2 6 5 7" xfId="4099" xr:uid="{AD40602D-37E1-44E3-9690-8FB5F9CA14C6}"/>
    <cellStyle name="Calculation 2 2 6 6" xfId="517" xr:uid="{EEC3036F-ABF1-4DE9-AFBA-C52AE3DF9F79}"/>
    <cellStyle name="Calculation 2 2 6 6 2" xfId="3686" xr:uid="{CE470AAB-93A0-447E-AB62-00372027809B}"/>
    <cellStyle name="Calculation 2 2 6 7" xfId="1115" xr:uid="{0579C498-9561-4A59-91EC-C75D06084A90}"/>
    <cellStyle name="Calculation 2 2 6 7 2" xfId="4273" xr:uid="{2E945686-E54C-4ADF-81B3-DB7E66DAFCF5}"/>
    <cellStyle name="Calculation 2 2 6 8" xfId="1652" xr:uid="{7CA72B66-4AB5-4CB3-A656-132B812B1ADF}"/>
    <cellStyle name="Calculation 2 2 6 8 2" xfId="4804" xr:uid="{B8E76633-7484-439E-9B97-01B46BF01566}"/>
    <cellStyle name="Calculation 2 2 6 9" xfId="3442" xr:uid="{45F9ADA7-D27C-4F89-96B6-CC0DEABAFE83}"/>
    <cellStyle name="Calculation 2 2 7" xfId="131" xr:uid="{484A4F8B-6C0C-447A-B390-D70A7B97FBE4}"/>
    <cellStyle name="Calculation 2 2 7 2" xfId="446" xr:uid="{82DE197C-8CCD-422E-8724-F4E225BF154E}"/>
    <cellStyle name="Calculation 2 2 7 2 2" xfId="615" xr:uid="{F9F45C48-CD9B-41E2-BCE3-665E0A218460}"/>
    <cellStyle name="Calculation 2 2 7 2 2 2" xfId="3778" xr:uid="{E15D81A1-6B7D-406C-9D64-A142DFB0DE9B}"/>
    <cellStyle name="Calculation 2 2 7 2 3" xfId="1214" xr:uid="{DA1984EB-EC28-44C9-92EF-D09ED79648E5}"/>
    <cellStyle name="Calculation 2 2 7 2 3 2" xfId="4366" xr:uid="{F4319204-F5EE-45D0-AA2C-D57B93AFA786}"/>
    <cellStyle name="Calculation 2 2 7 2 4" xfId="1748" xr:uid="{63AA0AAC-A79F-4470-9F72-9B766BC54869}"/>
    <cellStyle name="Calculation 2 2 7 2 4 2" xfId="4900" xr:uid="{E13AB265-7E2F-4B5A-8BEE-12BFE1FB8493}"/>
    <cellStyle name="Calculation 2 2 7 2 5" xfId="2223" xr:uid="{9D2329ED-22C2-4FE3-B551-0E177C187C0B}"/>
    <cellStyle name="Calculation 2 2 7 2 5 2" xfId="5375" xr:uid="{B66EC88D-DA21-4BAD-A0DE-AD0BF8BC747C}"/>
    <cellStyle name="Calculation 2 2 7 2 6" xfId="2593" xr:uid="{7A45DB66-2666-4798-9DA9-775685D150F6}"/>
    <cellStyle name="Calculation 2 2 7 2 6 2" xfId="5745" xr:uid="{F9967324-0979-43C9-A9BC-8E5DD7F357F6}"/>
    <cellStyle name="Calculation 2 2 7 2 7" xfId="2978" xr:uid="{638A7F86-3A80-4C90-BAE6-ED98EE261B83}"/>
    <cellStyle name="Calculation 2 2 7 2 7 2" xfId="6130" xr:uid="{E01427B3-55B1-4D98-A809-D3FE6A5F1B65}"/>
    <cellStyle name="Calculation 2 2 7 2 8" xfId="3621" xr:uid="{8F654534-867E-48C6-A377-D75FE7DBA5EC}"/>
    <cellStyle name="Calculation 2 2 7 3" xfId="765" xr:uid="{2CB614D3-70F5-4E84-A60D-3CDD368A736D}"/>
    <cellStyle name="Calculation 2 2 7 3 2" xfId="1364" xr:uid="{CB93CA9A-EFD6-4A9E-A1B4-8BAA4A93142B}"/>
    <cellStyle name="Calculation 2 2 7 3 2 2" xfId="4516" xr:uid="{7CF7054C-2FAC-4AF1-9E37-EAAF68BDD9F6}"/>
    <cellStyle name="Calculation 2 2 7 3 3" xfId="1898" xr:uid="{D6E4D196-D174-44CB-99BF-5862AB59EF34}"/>
    <cellStyle name="Calculation 2 2 7 3 3 2" xfId="5050" xr:uid="{D11C6BD0-774B-4991-8703-94FA954C62EE}"/>
    <cellStyle name="Calculation 2 2 7 3 4" xfId="2373" xr:uid="{8BD5BDC6-1E07-4F3B-9FFB-951AF4A5AD8F}"/>
    <cellStyle name="Calculation 2 2 7 3 4 2" xfId="5525" xr:uid="{B5D4169A-5644-48D6-B071-54CAFC529042}"/>
    <cellStyle name="Calculation 2 2 7 3 5" xfId="1055" xr:uid="{1C529788-4C3C-4ABD-8F61-75381B928BB2}"/>
    <cellStyle name="Calculation 2 2 7 3 5 2" xfId="4217" xr:uid="{84D0385E-F8F0-4404-AD83-FC23F310C6C7}"/>
    <cellStyle name="Calculation 2 2 7 3 6" xfId="3128" xr:uid="{17B1726F-B1BD-48F0-82B3-325595B9ADFB}"/>
    <cellStyle name="Calculation 2 2 7 3 6 2" xfId="6280" xr:uid="{F7C784E8-CC49-4868-AB7F-5B58574F7443}"/>
    <cellStyle name="Calculation 2 2 7 3 7" xfId="3928" xr:uid="{FF2F2C1B-B116-44C8-8327-B30E8556EDB8}"/>
    <cellStyle name="Calculation 2 2 7 4" xfId="871" xr:uid="{FB8FAE91-6303-411D-BB67-D6574BB7A6F5}"/>
    <cellStyle name="Calculation 2 2 7 4 2" xfId="1470" xr:uid="{FA5D5BB1-7682-4F68-BA6E-017206E87546}"/>
    <cellStyle name="Calculation 2 2 7 4 2 2" xfId="4622" xr:uid="{3A0FFE7A-DBD1-41FD-8DAD-64565A25D514}"/>
    <cellStyle name="Calculation 2 2 7 4 3" xfId="2004" xr:uid="{C832F6C0-D9AA-4EE8-B15A-227CA6C07412}"/>
    <cellStyle name="Calculation 2 2 7 4 3 2" xfId="5156" xr:uid="{B6538767-8F53-42AD-959A-3CBAD7225391}"/>
    <cellStyle name="Calculation 2 2 7 4 4" xfId="2479" xr:uid="{DECF0E87-C9C9-4D79-B88B-3D07E1278034}"/>
    <cellStyle name="Calculation 2 2 7 4 4 2" xfId="5631" xr:uid="{3977E600-9D48-48AE-A993-9AF6E6FED8D7}"/>
    <cellStyle name="Calculation 2 2 7 4 5" xfId="2821" xr:uid="{29CD49EE-FD09-4884-B556-874F2F88E285}"/>
    <cellStyle name="Calculation 2 2 7 4 5 2" xfId="5973" xr:uid="{CA1BD070-AA54-4383-B837-1DB0C30C92C7}"/>
    <cellStyle name="Calculation 2 2 7 4 6" xfId="3234" xr:uid="{B2729039-B19B-47BA-87D6-A03B0CF470CB}"/>
    <cellStyle name="Calculation 2 2 7 4 6 2" xfId="6386" xr:uid="{174B95D8-C8DD-4E09-8F01-9ACA0A1CFDE8}"/>
    <cellStyle name="Calculation 2 2 7 4 7" xfId="4034" xr:uid="{8774808D-DBED-4682-9158-DB6D386918A2}"/>
    <cellStyle name="Calculation 2 2 7 5" xfId="990" xr:uid="{6525EEB9-A575-40EC-99C6-CE5EB11D170B}"/>
    <cellStyle name="Calculation 2 2 7 5 2" xfId="1589" xr:uid="{3630B7C3-C042-4D3B-942E-729D5B2D3F31}"/>
    <cellStyle name="Calculation 2 2 7 5 2 2" xfId="4741" xr:uid="{7F8CD4EE-60E7-435D-A378-FFEFCB73F82F}"/>
    <cellStyle name="Calculation 2 2 7 5 3" xfId="2123" xr:uid="{DB576D06-EADD-4AF9-ABDD-39D1261F84D0}"/>
    <cellStyle name="Calculation 2 2 7 5 3 2" xfId="5275" xr:uid="{82200D87-B38B-47B6-92F3-9611FB274C93}"/>
    <cellStyle name="Calculation 2 2 7 5 4" xfId="2772" xr:uid="{E2878C08-66F4-46D7-9633-627BCC2A6082}"/>
    <cellStyle name="Calculation 2 2 7 5 4 2" xfId="5924" xr:uid="{684EBE7E-6CC8-4574-A444-0FBB37914B4F}"/>
    <cellStyle name="Calculation 2 2 7 5 5" xfId="2940" xr:uid="{6FC5A069-8989-4FD8-9CD0-F0F0196AB2BB}"/>
    <cellStyle name="Calculation 2 2 7 5 5 2" xfId="6092" xr:uid="{E20A6B2D-281D-4F3E-A618-3BA84D41DE07}"/>
    <cellStyle name="Calculation 2 2 7 5 6" xfId="3353" xr:uid="{2C8D6009-95E1-4287-B1F5-A32BB9329555}"/>
    <cellStyle name="Calculation 2 2 7 5 7" xfId="4153" xr:uid="{635E3938-4BD8-4ACE-9D24-E9A8877AEA28}"/>
    <cellStyle name="Calculation 2 2 7 6" xfId="576" xr:uid="{EEBE3EB4-0E26-4F79-8BB6-5A6C5B35F9B5}"/>
    <cellStyle name="Calculation 2 2 7 6 2" xfId="3740" xr:uid="{0A9882E2-0D1C-486A-81D2-09AF0CFC57C1}"/>
    <cellStyle name="Calculation 2 2 7 7" xfId="1175" xr:uid="{CD80AF27-BE89-4745-8FC4-B46176262725}"/>
    <cellStyle name="Calculation 2 2 7 7 2" xfId="4328" xr:uid="{6204B0D7-7E82-45EC-A9A1-B30E2D9370A3}"/>
    <cellStyle name="Calculation 2 2 7 8" xfId="1710" xr:uid="{6192301E-6D95-4EC3-A56D-F3E24BFE2074}"/>
    <cellStyle name="Calculation 2 2 7 8 2" xfId="4862" xr:uid="{F3996266-F790-43A5-A8DA-7842CCD8E846}"/>
    <cellStyle name="Calculation 2 2 7 9" xfId="3451" xr:uid="{B80B6045-5957-46DF-B238-9C246B41DBB2}"/>
    <cellStyle name="Calculation 2 2 8" xfId="206" xr:uid="{62B47EC1-7DDD-4991-9D1D-AD7D1C32BC6E}"/>
    <cellStyle name="Calculation 2 2 8 2" xfId="3514" xr:uid="{E9B01997-7C7E-412A-9A01-D12ABFC5694A}"/>
    <cellStyle name="Calculation 2 2 9" xfId="218" xr:uid="{9CDDBC8C-D4E4-41D1-9510-66A24AAFBBE7}"/>
    <cellStyle name="Calculation 2 2 9 2" xfId="3524" xr:uid="{D2618486-5ED7-43B3-8AA6-7427772B3735}"/>
    <cellStyle name="Calculation 2 3" xfId="65" xr:uid="{851CEA9A-BF3D-43AB-9739-57CFE4704B2B}"/>
    <cellStyle name="Calculation 2 3 10" xfId="475" xr:uid="{8D5CD8F3-82A8-463B-9CD7-DB803F40F841}"/>
    <cellStyle name="Calculation 2 3 10 2" xfId="3648" xr:uid="{26BE2327-FAC9-49CD-808C-220847D36C04}"/>
    <cellStyle name="Calculation 2 3 11" xfId="1065" xr:uid="{6C6137BF-499F-4BC6-8262-9E79E659EC36}"/>
    <cellStyle name="Calculation 2 3 11 2" xfId="4227" xr:uid="{8CD08459-F055-407F-9AF0-E2CCDA671ABF}"/>
    <cellStyle name="Calculation 2 3 12" xfId="1026" xr:uid="{A7952213-7D4A-4645-B6E7-DFDD60C43BB1}"/>
    <cellStyle name="Calculation 2 3 12 2" xfId="4189" xr:uid="{D750C4F7-BB90-477D-A40F-C3069DE31368}"/>
    <cellStyle name="Calculation 2 3 13" xfId="3398" xr:uid="{C3DCFF89-D095-459B-BD2C-B2D8FD961A11}"/>
    <cellStyle name="Calculation 2 3 2" xfId="150" xr:uid="{D3D8B870-7815-4E92-9C57-D0CFE1674D65}"/>
    <cellStyle name="Calculation 2 3 2 2" xfId="373" xr:uid="{A7850292-C58E-4F51-B1BA-0EB6CFED4480}"/>
    <cellStyle name="Calculation 2 3 2 2 2" xfId="635" xr:uid="{A0F4F7D8-71B8-491C-8CF7-6502DCC9EC1F}"/>
    <cellStyle name="Calculation 2 3 2 2 2 2" xfId="3798" xr:uid="{A908323D-7C7F-4433-B0F9-CDA3A49DF1E6}"/>
    <cellStyle name="Calculation 2 3 2 2 3" xfId="1234" xr:uid="{4EDEBBF4-AAEE-4CB0-AC82-75FEE6A99973}"/>
    <cellStyle name="Calculation 2 3 2 2 3 2" xfId="4386" xr:uid="{921030E8-5705-495D-B198-3368FE85FA07}"/>
    <cellStyle name="Calculation 2 3 2 2 4" xfId="1768" xr:uid="{313F78B7-7527-42CA-99EF-B0439012C142}"/>
    <cellStyle name="Calculation 2 3 2 2 4 2" xfId="4920" xr:uid="{B0EE64EE-3F2B-4F8F-A2D1-2CEFDA4CDFE7}"/>
    <cellStyle name="Calculation 2 3 2 2 5" xfId="2243" xr:uid="{83F0F2B2-3D54-4541-AA62-32313161E5C5}"/>
    <cellStyle name="Calculation 2 3 2 2 5 2" xfId="5395" xr:uid="{F8E9B7E9-EB9D-4CFA-84CD-91843ED086FA}"/>
    <cellStyle name="Calculation 2 3 2 2 6" xfId="2597" xr:uid="{D53553C8-10B1-4902-A060-8E0D289E050D}"/>
    <cellStyle name="Calculation 2 3 2 2 6 2" xfId="5749" xr:uid="{C162252B-CB35-445C-9AD6-2DB857CAD103}"/>
    <cellStyle name="Calculation 2 3 2 2 7" xfId="2998" xr:uid="{7BCE7FB7-6FAB-4EF8-B3D3-F40BAD06DEAB}"/>
    <cellStyle name="Calculation 2 3 2 2 7 2" xfId="6150" xr:uid="{C21038CB-B336-4A54-B7D3-C05FC1241DE7}"/>
    <cellStyle name="Calculation 2 3 2 2 8" xfId="3555" xr:uid="{4A70A0F0-4E1D-4899-AA41-F592BBFD2620}"/>
    <cellStyle name="Calculation 2 3 2 3" xfId="740" xr:uid="{E132E7C9-CCC4-4384-A291-C9E96E8697E5}"/>
    <cellStyle name="Calculation 2 3 2 3 2" xfId="1339" xr:uid="{DC5273DD-DB74-4611-ABC2-C17C3F5CB45C}"/>
    <cellStyle name="Calculation 2 3 2 3 2 2" xfId="4491" xr:uid="{0B5A76D8-0369-4DFC-9B4E-AABE9359E0A8}"/>
    <cellStyle name="Calculation 2 3 2 3 3" xfId="1873" xr:uid="{5B52E54C-1101-49BC-8333-858E03B75A0C}"/>
    <cellStyle name="Calculation 2 3 2 3 3 2" xfId="5025" xr:uid="{D2302759-409A-43C5-86CD-D9EA3B363B53}"/>
    <cellStyle name="Calculation 2 3 2 3 4" xfId="2348" xr:uid="{968E41A0-6C15-451B-89E3-0297EE955E31}"/>
    <cellStyle name="Calculation 2 3 2 3 4 2" xfId="5500" xr:uid="{5C0197FD-00C8-40DA-AD91-D7DCE759F2D5}"/>
    <cellStyle name="Calculation 2 3 2 3 5" xfId="2551" xr:uid="{58BAF6B1-F79E-4FE4-B440-9814024164F9}"/>
    <cellStyle name="Calculation 2 3 2 3 5 2" xfId="5703" xr:uid="{161BED62-DFA0-4750-9DFC-1A3A0B5CDFAA}"/>
    <cellStyle name="Calculation 2 3 2 3 6" xfId="3103" xr:uid="{99709F2E-C740-444D-973C-A694E6ABEDEE}"/>
    <cellStyle name="Calculation 2 3 2 3 6 2" xfId="6255" xr:uid="{1BE3584E-3CFB-495F-8B85-DBC188118D49}"/>
    <cellStyle name="Calculation 2 3 2 3 7" xfId="3903" xr:uid="{0D666E6A-703C-4ED9-B4D4-A8392EDA8103}"/>
    <cellStyle name="Calculation 2 3 2 4" xfId="805" xr:uid="{F5B668F2-7E9A-402A-B556-A3E0C89F789D}"/>
    <cellStyle name="Calculation 2 3 2 4 2" xfId="1404" xr:uid="{A24D0DEE-3E89-4CC3-847D-627B05F2E97E}"/>
    <cellStyle name="Calculation 2 3 2 4 2 2" xfId="4556" xr:uid="{EED8849F-B82F-4B0A-977D-879199FB80A2}"/>
    <cellStyle name="Calculation 2 3 2 4 3" xfId="1938" xr:uid="{2F8C9C90-A49B-4B12-A07B-D82D3086FFE9}"/>
    <cellStyle name="Calculation 2 3 2 4 3 2" xfId="5090" xr:uid="{ACE9E822-1397-47A5-85D0-476723F421B9}"/>
    <cellStyle name="Calculation 2 3 2 4 4" xfId="2413" xr:uid="{702198A0-D066-4F03-8E3E-3DAAD4D697C4}"/>
    <cellStyle name="Calculation 2 3 2 4 4 2" xfId="5565" xr:uid="{2E250F6D-EFCE-4A7B-9230-698940FF0492}"/>
    <cellStyle name="Calculation 2 3 2 4 5" xfId="2203" xr:uid="{699764B0-C9F6-49B9-8963-6E7C72472262}"/>
    <cellStyle name="Calculation 2 3 2 4 5 2" xfId="5355" xr:uid="{71AFAFC5-A343-49D0-B2DA-54152594CCB6}"/>
    <cellStyle name="Calculation 2 3 2 4 6" xfId="3168" xr:uid="{B7BFA68D-3F55-467B-94D7-E56B204710F3}"/>
    <cellStyle name="Calculation 2 3 2 4 6 2" xfId="6320" xr:uid="{FF23B4F9-17E4-489B-BB88-A45B2149525C}"/>
    <cellStyle name="Calculation 2 3 2 4 7" xfId="3968" xr:uid="{FE8CC43D-2E7F-40AC-A5DA-65B12CF1AD57}"/>
    <cellStyle name="Calculation 2 3 2 5" xfId="924" xr:uid="{9BB31451-C929-4ADE-BDD7-022FB1E0B7EF}"/>
    <cellStyle name="Calculation 2 3 2 5 2" xfId="1523" xr:uid="{54C6E968-9AFE-4481-9D47-3CACC2983CE5}"/>
    <cellStyle name="Calculation 2 3 2 5 2 2" xfId="4675" xr:uid="{E2F5D0B6-94EC-4FAE-950E-4394A1EF8181}"/>
    <cellStyle name="Calculation 2 3 2 5 3" xfId="2057" xr:uid="{D968778E-A236-4CFF-B9D5-0B5B751ED304}"/>
    <cellStyle name="Calculation 2 3 2 5 3 2" xfId="5209" xr:uid="{53A8E3B9-FB53-4C87-A272-A4D2EA2CC8AF}"/>
    <cellStyle name="Calculation 2 3 2 5 4" xfId="2706" xr:uid="{18A0239C-BD8E-473E-88A5-D23364886509}"/>
    <cellStyle name="Calculation 2 3 2 5 4 2" xfId="5858" xr:uid="{DDEFB3B9-5620-405B-A36B-29114D7C993C}"/>
    <cellStyle name="Calculation 2 3 2 5 5" xfId="2874" xr:uid="{4058237E-895A-461B-BD17-1A31E371CC1D}"/>
    <cellStyle name="Calculation 2 3 2 5 5 2" xfId="6026" xr:uid="{E6F419FF-AA12-42CD-8B34-E8AE288900B6}"/>
    <cellStyle name="Calculation 2 3 2 5 6" xfId="3287" xr:uid="{D336235E-EAF5-4EF1-A41D-D29C9D891113}"/>
    <cellStyle name="Calculation 2 3 2 5 7" xfId="4087" xr:uid="{0447CFC4-37A5-4FFE-92AD-DBB008C21B15}"/>
    <cellStyle name="Calculation 2 3 2 6" xfId="504" xr:uid="{DAF25AFE-1F54-4E97-AD61-254D17571B07}"/>
    <cellStyle name="Calculation 2 3 2 6 2" xfId="3674" xr:uid="{7CA8930F-CF7F-4725-A0BB-8203DBC082FE}"/>
    <cellStyle name="Calculation 2 3 2 7" xfId="1102" xr:uid="{E8DD4CFF-71DC-4B8A-87F4-E02FF995047F}"/>
    <cellStyle name="Calculation 2 3 2 7 2" xfId="4261" xr:uid="{B439781F-CBCD-4903-BB29-212F9AF38E25}"/>
    <cellStyle name="Calculation 2 3 2 8" xfId="1639" xr:uid="{A73E5144-42E6-4A1E-8623-496D97EAEA46}"/>
    <cellStyle name="Calculation 2 3 2 8 2" xfId="4791" xr:uid="{69F939EE-DD92-4EA1-89F5-E9347A6FE858}"/>
    <cellStyle name="Calculation 2 3 2 9" xfId="3468" xr:uid="{FF486AB1-D979-49EE-876B-7FEB4C70E16D}"/>
    <cellStyle name="Calculation 2 3 3" xfId="434" xr:uid="{EF17FA5E-C50E-49E4-9AEA-01B5B497EA76}"/>
    <cellStyle name="Calculation 2 3 3 2" xfId="621" xr:uid="{B2E300BE-02C8-4780-9142-9AB25816E3DC}"/>
    <cellStyle name="Calculation 2 3 3 2 2" xfId="1220" xr:uid="{127F9116-0FC3-44A1-932E-DA32CE64FD24}"/>
    <cellStyle name="Calculation 2 3 3 2 2 2" xfId="4372" xr:uid="{9990BF58-9B4E-413B-BBB5-5423B452B78F}"/>
    <cellStyle name="Calculation 2 3 3 2 3" xfId="1754" xr:uid="{44F96F43-E97F-4FE8-B1A2-1A173A1B4A7A}"/>
    <cellStyle name="Calculation 2 3 3 2 3 2" xfId="4906" xr:uid="{FE015E40-7601-4E2A-82F9-EC06FC2E93E8}"/>
    <cellStyle name="Calculation 2 3 3 2 4" xfId="2229" xr:uid="{21255900-6DF8-47A9-876C-105916383EE2}"/>
    <cellStyle name="Calculation 2 3 3 2 4 2" xfId="5381" xr:uid="{09B717E4-7481-4D8D-8587-CF7F3EC26D91}"/>
    <cellStyle name="Calculation 2 3 3 2 5" xfId="2678" xr:uid="{28E68F64-D725-4C78-AAB1-1F3DF5BF5300}"/>
    <cellStyle name="Calculation 2 3 3 2 5 2" xfId="5830" xr:uid="{360883EF-9ADE-4FCC-B6EF-AB0034CA6C23}"/>
    <cellStyle name="Calculation 2 3 3 2 6" xfId="2984" xr:uid="{5AD3158D-02E8-4942-81F8-F25968A4FD1F}"/>
    <cellStyle name="Calculation 2 3 3 2 6 2" xfId="6136" xr:uid="{02F08F7B-3B52-4E0A-B751-F4B765D40A63}"/>
    <cellStyle name="Calculation 2 3 3 2 7" xfId="3784" xr:uid="{5988D6DD-84E3-4F65-B102-5B7CE126F1D4}"/>
    <cellStyle name="Calculation 2 3 3 3" xfId="761" xr:uid="{5B04C33B-7E2B-446B-B5BA-4DE5FFAF249B}"/>
    <cellStyle name="Calculation 2 3 3 3 2" xfId="1360" xr:uid="{B94C9FD8-BE87-460C-8A42-A57AFD0017E0}"/>
    <cellStyle name="Calculation 2 3 3 3 2 2" xfId="4512" xr:uid="{FB0EE194-F771-4518-85F2-FADE0DC1AB7D}"/>
    <cellStyle name="Calculation 2 3 3 3 3" xfId="1894" xr:uid="{361C0883-3850-4CE5-9E71-910D6BCD7EBC}"/>
    <cellStyle name="Calculation 2 3 3 3 3 2" xfId="5046" xr:uid="{FB8C006F-573C-43F9-A1E5-02EF6D79EC5B}"/>
    <cellStyle name="Calculation 2 3 3 3 4" xfId="2369" xr:uid="{A8BEFDA3-FC7A-4E44-AAB6-EF6681B528B6}"/>
    <cellStyle name="Calculation 2 3 3 3 4 2" xfId="5521" xr:uid="{21EE76AF-9585-48B9-A3ED-9662912D185D}"/>
    <cellStyle name="Calculation 2 3 3 3 5" xfId="1027" xr:uid="{69AE5EE6-8146-4669-81EE-4BA6285DD8FE}"/>
    <cellStyle name="Calculation 2 3 3 3 5 2" xfId="4190" xr:uid="{9B1A583C-E89C-4CBA-889E-97A39E6ACD43}"/>
    <cellStyle name="Calculation 2 3 3 3 6" xfId="3124" xr:uid="{6CCEB57C-300D-4B59-A874-1F00D39ED1DA}"/>
    <cellStyle name="Calculation 2 3 3 3 6 2" xfId="6276" xr:uid="{06971761-EA17-4B22-A004-5862C72B8D08}"/>
    <cellStyle name="Calculation 2 3 3 3 7" xfId="3924" xr:uid="{F13C53C8-C2C5-47DE-B32E-602FD73F81F0}"/>
    <cellStyle name="Calculation 2 3 3 4" xfId="859" xr:uid="{65D4FCF1-26C3-4030-A7CA-B99B42ADB3EE}"/>
    <cellStyle name="Calculation 2 3 3 4 2" xfId="1458" xr:uid="{689B0EB1-1C8D-48EB-BD27-EA91EF147518}"/>
    <cellStyle name="Calculation 2 3 3 4 2 2" xfId="4610" xr:uid="{C4CEEE87-D2EC-4DA6-86B8-33A14BDABA5B}"/>
    <cellStyle name="Calculation 2 3 3 4 3" xfId="1992" xr:uid="{6E88B882-C036-4082-89B9-066C0C53DBB7}"/>
    <cellStyle name="Calculation 2 3 3 4 3 2" xfId="5144" xr:uid="{36A2CF05-FD84-4450-A7C5-42FB9D82860D}"/>
    <cellStyle name="Calculation 2 3 3 4 4" xfId="2467" xr:uid="{F4567824-4D27-4B01-8B9B-374630C118B9}"/>
    <cellStyle name="Calculation 2 3 3 4 4 2" xfId="5619" xr:uid="{6618379F-8F4D-495E-85E7-58147A5D0D09}"/>
    <cellStyle name="Calculation 2 3 3 4 5" xfId="2809" xr:uid="{5BC6DC97-0630-45A5-9965-C8B92CD56043}"/>
    <cellStyle name="Calculation 2 3 3 4 5 2" xfId="5961" xr:uid="{2E630005-C715-49E0-AA77-D39BE8B4C643}"/>
    <cellStyle name="Calculation 2 3 3 4 6" xfId="3222" xr:uid="{A688565A-CC66-4A97-B792-6A25A626F1CD}"/>
    <cellStyle name="Calculation 2 3 3 4 6 2" xfId="6374" xr:uid="{11C0FF62-2C14-4038-AB72-50B93D423A3D}"/>
    <cellStyle name="Calculation 2 3 3 4 7" xfId="4022" xr:uid="{CCAF954B-D638-4A00-9E9A-5E6E825613B5}"/>
    <cellStyle name="Calculation 2 3 3 5" xfId="978" xr:uid="{21597FF3-A350-4954-BD44-8987E59A318B}"/>
    <cellStyle name="Calculation 2 3 3 5 2" xfId="1577" xr:uid="{34A5A630-CF14-4C69-9416-B5BDCDCF61BE}"/>
    <cellStyle name="Calculation 2 3 3 5 2 2" xfId="4729" xr:uid="{65FEA6CD-866D-4E4E-83EF-71945E1F7E78}"/>
    <cellStyle name="Calculation 2 3 3 5 3" xfId="2111" xr:uid="{4A47D177-007D-4191-AF64-118177077BB5}"/>
    <cellStyle name="Calculation 2 3 3 5 3 2" xfId="5263" xr:uid="{C926084A-71C6-44E1-B04D-A438DCDDAE8C}"/>
    <cellStyle name="Calculation 2 3 3 5 4" xfId="2760" xr:uid="{644DEFE7-9ABB-4C23-878F-2C56F98B68F3}"/>
    <cellStyle name="Calculation 2 3 3 5 4 2" xfId="5912" xr:uid="{9707AEB7-7070-4F11-98D1-5F79A901135E}"/>
    <cellStyle name="Calculation 2 3 3 5 5" xfId="2928" xr:uid="{47B2CE71-910D-46FB-B7E8-76E5963B886B}"/>
    <cellStyle name="Calculation 2 3 3 5 5 2" xfId="6080" xr:uid="{60A67985-CEE5-4C3C-A694-DD764B1E512D}"/>
    <cellStyle name="Calculation 2 3 3 5 6" xfId="3341" xr:uid="{D9469134-E17A-4770-9CB3-ADF155C2A533}"/>
    <cellStyle name="Calculation 2 3 3 5 7" xfId="4141" xr:uid="{E420F386-4EA1-4AAA-8F62-25B1F5924565}"/>
    <cellStyle name="Calculation 2 3 3 6" xfId="564" xr:uid="{5B8ABD9B-9EF9-44BC-8CAB-E87E311470E0}"/>
    <cellStyle name="Calculation 2 3 3 6 2" xfId="3728" xr:uid="{6CBE201A-986D-4E04-9F3C-B0DA6AD9C7C1}"/>
    <cellStyle name="Calculation 2 3 3 7" xfId="1163" xr:uid="{129AE5B4-127E-4D44-88D7-CA6B431DEF17}"/>
    <cellStyle name="Calculation 2 3 3 7 2" xfId="4316" xr:uid="{5A673F26-C07B-47BF-B886-87260E27B56E}"/>
    <cellStyle name="Calculation 2 3 3 8" xfId="1698" xr:uid="{47DFC74F-5E68-46F8-9E75-183E19028C27}"/>
    <cellStyle name="Calculation 2 3 3 8 2" xfId="4850" xr:uid="{C14CEF75-77EB-4BDB-9DD7-AE63B4007EA0}"/>
    <cellStyle name="Calculation 2 3 3 9" xfId="3609" xr:uid="{85858228-0163-4415-8953-9BD56ED26B7F}"/>
    <cellStyle name="Calculation 2 3 4" xfId="321" xr:uid="{B30AD2BB-D942-4A23-B843-B1EFBAA822DC}"/>
    <cellStyle name="Calculation 2 3 4 2" xfId="671" xr:uid="{FB7D561F-3A01-40A6-96B7-468ECBA22528}"/>
    <cellStyle name="Calculation 2 3 4 2 2" xfId="3834" xr:uid="{55719859-839B-4250-9CB7-77E3C8351C3C}"/>
    <cellStyle name="Calculation 2 3 4 3" xfId="1270" xr:uid="{A4F15FEE-13F2-4797-A916-6D22D8143A79}"/>
    <cellStyle name="Calculation 2 3 4 3 2" xfId="4422" xr:uid="{B2F3CD53-D934-4545-BF5A-59C36A7C2DE2}"/>
    <cellStyle name="Calculation 2 3 4 4" xfId="1804" xr:uid="{FF7A4667-36EC-4507-9DAF-2292088BE8C3}"/>
    <cellStyle name="Calculation 2 3 4 4 2" xfId="4956" xr:uid="{960DC662-39E2-4018-B9FA-2E30D0B451F4}"/>
    <cellStyle name="Calculation 2 3 4 5" xfId="2279" xr:uid="{39557A6E-D05B-4C37-ABF0-210113CF288D}"/>
    <cellStyle name="Calculation 2 3 4 5 2" xfId="5431" xr:uid="{734F88A8-CCF0-47CF-AC13-54D94B01190A}"/>
    <cellStyle name="Calculation 2 3 4 6" xfId="1033" xr:uid="{1CC4508D-0381-42CA-9603-E12045CBD706}"/>
    <cellStyle name="Calculation 2 3 4 6 2" xfId="4196" xr:uid="{816594C5-166C-4B07-B8E4-007446D6E64D}"/>
    <cellStyle name="Calculation 2 3 4 7" xfId="3034" xr:uid="{59D3D227-F0E3-434C-8510-56C97B23EF89}"/>
    <cellStyle name="Calculation 2 3 4 7 2" xfId="6186" xr:uid="{D71DFC21-1F90-4FE6-88FE-2AF0A75049EC}"/>
    <cellStyle name="Calculation 2 3 4 8" xfId="3529" xr:uid="{9B687F53-811D-4439-8CC6-720EC8DC6DF7}"/>
    <cellStyle name="Calculation 2 3 5" xfId="644" xr:uid="{CAB3C14C-BDA1-4FB4-90C2-5719BA4D78B7}"/>
    <cellStyle name="Calculation 2 3 5 2" xfId="1243" xr:uid="{9B77B1A4-C29D-4061-9DB5-D3034F4EB39A}"/>
    <cellStyle name="Calculation 2 3 5 2 2" xfId="4395" xr:uid="{77A16519-4F37-4BD6-8381-A1BC5AC466F7}"/>
    <cellStyle name="Calculation 2 3 5 3" xfId="1777" xr:uid="{8AAFF96F-3E4B-40F9-8C77-F07638F28141}"/>
    <cellStyle name="Calculation 2 3 5 3 2" xfId="4929" xr:uid="{8E100E45-0C16-4B3B-B729-90196E053D4B}"/>
    <cellStyle name="Calculation 2 3 5 4" xfId="2252" xr:uid="{1CE06639-8696-4E9C-A981-A462F0544872}"/>
    <cellStyle name="Calculation 2 3 5 4 2" xfId="5404" xr:uid="{27F34648-9217-4C26-8F15-A680EB7B09D6}"/>
    <cellStyle name="Calculation 2 3 5 5" xfId="1059" xr:uid="{7C752BC8-AAA0-4919-8E86-67734FB82559}"/>
    <cellStyle name="Calculation 2 3 5 5 2" xfId="4221" xr:uid="{DB4E3BB3-734A-4205-9B4E-BE3ED3E5E979}"/>
    <cellStyle name="Calculation 2 3 5 6" xfId="3007" xr:uid="{43F4621E-2F74-4B04-AAAE-9E7231D3DE85}"/>
    <cellStyle name="Calculation 2 3 5 6 2" xfId="6159" xr:uid="{3712FBD3-866C-405B-BAFE-163087FEB31C}"/>
    <cellStyle name="Calculation 2 3 5 7" xfId="3807" xr:uid="{6CE4B3B7-0D1B-49AA-ACE0-D9BECF72973D}"/>
    <cellStyle name="Calculation 2 3 6" xfId="689" xr:uid="{E92F4A68-B3E2-484E-B34D-115DDABD1162}"/>
    <cellStyle name="Calculation 2 3 6 2" xfId="1288" xr:uid="{DCB9BF14-CDD0-423B-B859-D105A28B7E93}"/>
    <cellStyle name="Calculation 2 3 6 2 2" xfId="4440" xr:uid="{3A1273DF-1F9B-4A0F-ADAA-29BC4D5A9694}"/>
    <cellStyle name="Calculation 2 3 6 3" xfId="1822" xr:uid="{D0C6DDC5-800F-4813-9B3C-33AFAB77E74E}"/>
    <cellStyle name="Calculation 2 3 6 3 2" xfId="4974" xr:uid="{97FF397B-6C19-4E90-9C7C-6FAB56C7DF95}"/>
    <cellStyle name="Calculation 2 3 6 4" xfId="2297" xr:uid="{8AB9A271-3358-43CF-B59F-867FFDC07BFB}"/>
    <cellStyle name="Calculation 2 3 6 4 2" xfId="5449" xr:uid="{5379CC24-6A04-41C1-BC23-3599BD70E049}"/>
    <cellStyle name="Calculation 2 3 6 5" xfId="1042" xr:uid="{6D888882-B462-4B5D-9A34-F2D243347F6C}"/>
    <cellStyle name="Calculation 2 3 6 5 2" xfId="4205" xr:uid="{7B103EDF-750E-49CE-82E1-0145D304BD77}"/>
    <cellStyle name="Calculation 2 3 6 6" xfId="3052" xr:uid="{ACADE051-E0E4-4A9E-A31C-FEE596C03A9B}"/>
    <cellStyle name="Calculation 2 3 6 6 2" xfId="6204" xr:uid="{2692F525-C314-489D-9B9C-43199489CB92}"/>
    <cellStyle name="Calculation 2 3 6 7" xfId="3852" xr:uid="{0D5E3947-73D1-43FB-BFC2-173FB429824A}"/>
    <cellStyle name="Calculation 2 3 7" xfId="775" xr:uid="{84B94324-AA90-4054-BCFA-4A9D57BDF260}"/>
    <cellStyle name="Calculation 2 3 7 2" xfId="1374" xr:uid="{932E43EE-FB21-4814-A8B5-6CFEBB361E0B}"/>
    <cellStyle name="Calculation 2 3 7 2 2" xfId="4526" xr:uid="{75B56BB9-3B29-4646-A0CB-8591192DC931}"/>
    <cellStyle name="Calculation 2 3 7 3" xfId="1908" xr:uid="{B5C03099-0FF2-4A12-8C6A-851A79082BE4}"/>
    <cellStyle name="Calculation 2 3 7 3 2" xfId="5060" xr:uid="{A574809B-93E9-4CF9-A855-39D33E19D656}"/>
    <cellStyle name="Calculation 2 3 7 4" xfId="2383" xr:uid="{996A0A9B-0792-48C8-A42D-6689CBBA5B08}"/>
    <cellStyle name="Calculation 2 3 7 4 2" xfId="5535" xr:uid="{C7FFF4A5-2E3D-40F0-94D2-6FB47D3F1CC1}"/>
    <cellStyle name="Calculation 2 3 7 5" xfId="2645" xr:uid="{3AC9B1C5-FD6D-49B1-936A-DD9976F9ECBD}"/>
    <cellStyle name="Calculation 2 3 7 5 2" xfId="5797" xr:uid="{ACDC325C-79EA-4385-A22C-46181632089F}"/>
    <cellStyle name="Calculation 2 3 7 6" xfId="3138" xr:uid="{FD79AF92-89C0-49C4-9763-19E818857B0D}"/>
    <cellStyle name="Calculation 2 3 7 6 2" xfId="6290" xr:uid="{8AB9934D-1CB6-40D9-96D1-61D98B5ABFE4}"/>
    <cellStyle name="Calculation 2 3 7 7" xfId="3938" xr:uid="{FDA6F8A0-7737-4160-8101-4E50C9CF6270}"/>
    <cellStyle name="Calculation 2 3 8" xfId="779" xr:uid="{A4587409-4A0B-4C61-A7AD-35901F2C9176}"/>
    <cellStyle name="Calculation 2 3 8 2" xfId="1378" xr:uid="{9AA29B7D-AC34-40CC-99C2-B8B25D24D620}"/>
    <cellStyle name="Calculation 2 3 8 2 2" xfId="4530" xr:uid="{1242FC05-A6CA-47EF-BA77-71DE166D065A}"/>
    <cellStyle name="Calculation 2 3 8 3" xfId="1912" xr:uid="{CCA11C8E-C1C6-4D64-962D-7BB94205A70D}"/>
    <cellStyle name="Calculation 2 3 8 3 2" xfId="5064" xr:uid="{038F0F22-1785-40D2-BEA4-02739E5ED459}"/>
    <cellStyle name="Calculation 2 3 8 4" xfId="2387" xr:uid="{F23E816C-945D-4EEC-BF60-3D81E8177BEF}"/>
    <cellStyle name="Calculation 2 3 8 4 2" xfId="5539" xr:uid="{73FB6EC4-331B-4664-B22C-5E2235379C84}"/>
    <cellStyle name="Calculation 2 3 8 5" xfId="2611" xr:uid="{EE82227B-6099-4CF9-9E41-109BE50D0AC0}"/>
    <cellStyle name="Calculation 2 3 8 5 2" xfId="5763" xr:uid="{3CBEC957-1C46-427A-898B-3B3CA4C5DDE1}"/>
    <cellStyle name="Calculation 2 3 8 6" xfId="3142" xr:uid="{783B5231-D242-4448-8550-05FB74073F07}"/>
    <cellStyle name="Calculation 2 3 8 6 2" xfId="6294" xr:uid="{DC4B1866-B9BB-4FC0-9D72-F1B680BC6613}"/>
    <cellStyle name="Calculation 2 3 8 7" xfId="3942" xr:uid="{B0D04143-C6B1-4CBD-B168-2BCB95EC5A44}"/>
    <cellStyle name="Calculation 2 3 9" xfId="898" xr:uid="{2A28AD1E-B460-4A48-8B78-E567FF0B7A84}"/>
    <cellStyle name="Calculation 2 3 9 2" xfId="1497" xr:uid="{9879E70E-2F1B-4067-B866-A37218ED7D46}"/>
    <cellStyle name="Calculation 2 3 9 2 2" xfId="4649" xr:uid="{8E9B3C32-D865-4FF7-8324-F8B6C61D8AB3}"/>
    <cellStyle name="Calculation 2 3 9 3" xfId="2031" xr:uid="{1E497084-1E79-4D15-B69D-6792783D0EFA}"/>
    <cellStyle name="Calculation 2 3 9 3 2" xfId="5183" xr:uid="{7D1AA8F3-56C4-4A4F-A9F6-0DD49DA53427}"/>
    <cellStyle name="Calculation 2 3 9 4" xfId="2680" xr:uid="{8629729D-9E63-4C5D-952C-A68D2DBD14F0}"/>
    <cellStyle name="Calculation 2 3 9 4 2" xfId="5832" xr:uid="{124D90CA-48EC-4724-8018-E28CF8C12CDB}"/>
    <cellStyle name="Calculation 2 3 9 5" xfId="2848" xr:uid="{5D5517AD-D4A5-4267-A437-4A6D188E5FE7}"/>
    <cellStyle name="Calculation 2 3 9 5 2" xfId="6000" xr:uid="{0A56D5E2-BA4A-4FCD-BC7D-2D53E39E8923}"/>
    <cellStyle name="Calculation 2 3 9 6" xfId="3261" xr:uid="{76469970-8272-4A99-B3F0-5AA39BFFCF6F}"/>
    <cellStyle name="Calculation 2 3 9 7" xfId="4061" xr:uid="{347BECB6-B8E9-4819-AAC0-EEAF7B2E4F29}"/>
    <cellStyle name="Calculation 2 4" xfId="88" xr:uid="{DFD4DCD7-F95D-4293-9BC2-90D1FA211AC7}"/>
    <cellStyle name="Calculation 2 4 10" xfId="3418" xr:uid="{B8A94672-A1EB-4B57-B278-D15AFFE65E37}"/>
    <cellStyle name="Calculation 2 4 2" xfId="168" xr:uid="{2C09973F-1615-419B-81BE-F0DF08B340B6}"/>
    <cellStyle name="Calculation 2 4 2 2" xfId="454" xr:uid="{F1A6C9C7-AEB1-4699-8650-56A1768DF4C9}"/>
    <cellStyle name="Calculation 2 4 2 2 2" xfId="611" xr:uid="{FD2DD632-D41F-43C9-B609-2BD4BCE6FA3A}"/>
    <cellStyle name="Calculation 2 4 2 2 2 2" xfId="3774" xr:uid="{54FFC3A4-1CE0-4BE5-BFE3-CEDD2B385C4F}"/>
    <cellStyle name="Calculation 2 4 2 2 3" xfId="1210" xr:uid="{1417947F-BFBB-407A-8CE2-E3DAD7EC7476}"/>
    <cellStyle name="Calculation 2 4 2 2 3 2" xfId="4362" xr:uid="{29AED1C9-E825-45FA-95B8-A2040EA283E4}"/>
    <cellStyle name="Calculation 2 4 2 2 4" xfId="1744" xr:uid="{17A912DF-D75F-4683-A8CB-AFDC8B061474}"/>
    <cellStyle name="Calculation 2 4 2 2 4 2" xfId="4896" xr:uid="{8E684EE0-AAE0-4D7A-BC35-14B3F26D7B95}"/>
    <cellStyle name="Calculation 2 4 2 2 5" xfId="2219" xr:uid="{1F7161BD-308B-4D7A-80C1-31F324EDD92A}"/>
    <cellStyle name="Calculation 2 4 2 2 5 2" xfId="5371" xr:uid="{714500EB-527C-4437-B7BA-FC2914FD6408}"/>
    <cellStyle name="Calculation 2 4 2 2 6" xfId="2608" xr:uid="{2B5F6A1B-1CC5-45E9-A3E5-FC74D9720CE1}"/>
    <cellStyle name="Calculation 2 4 2 2 6 2" xfId="5760" xr:uid="{C09C4378-ABAF-4E70-BB8D-F1D413D61F29}"/>
    <cellStyle name="Calculation 2 4 2 2 7" xfId="2974" xr:uid="{73977C19-F30B-4746-B499-E02164C90988}"/>
    <cellStyle name="Calculation 2 4 2 2 7 2" xfId="6126" xr:uid="{ECD6176E-01BF-487E-A089-B209B8467356}"/>
    <cellStyle name="Calculation 2 4 2 2 8" xfId="3629" xr:uid="{0A39BAA9-DF2C-475C-BE4C-B1067DAEDD6D}"/>
    <cellStyle name="Calculation 2 4 2 3" xfId="767" xr:uid="{75C505CD-D3EC-4063-A373-CC0DF1157A4D}"/>
    <cellStyle name="Calculation 2 4 2 3 2" xfId="1366" xr:uid="{6AAF66AE-CE99-4B50-AC39-2E46D1352F5C}"/>
    <cellStyle name="Calculation 2 4 2 3 2 2" xfId="4518" xr:uid="{12486F8C-32B0-483F-B9C2-D8F1A0215260}"/>
    <cellStyle name="Calculation 2 4 2 3 3" xfId="1900" xr:uid="{C4C31103-03D6-476B-BF6E-E61B1E3763F6}"/>
    <cellStyle name="Calculation 2 4 2 3 3 2" xfId="5052" xr:uid="{D4F26BBE-BBB7-4915-B980-BFFFB58ACE76}"/>
    <cellStyle name="Calculation 2 4 2 3 4" xfId="2375" xr:uid="{B7A21304-0CA6-4A9B-8190-DB0B55A250E2}"/>
    <cellStyle name="Calculation 2 4 2 3 4 2" xfId="5527" xr:uid="{8B4AE59A-3D87-4E05-9494-4059B3B05669}"/>
    <cellStyle name="Calculation 2 4 2 3 5" xfId="2648" xr:uid="{A4C84890-1479-44CE-89E6-474179B55A11}"/>
    <cellStyle name="Calculation 2 4 2 3 5 2" xfId="5800" xr:uid="{BD7C0F5C-2153-4291-9EC5-A5783FE1B63D}"/>
    <cellStyle name="Calculation 2 4 2 3 6" xfId="3130" xr:uid="{CF3993D7-F688-4C3C-AB75-D637C7914723}"/>
    <cellStyle name="Calculation 2 4 2 3 6 2" xfId="6282" xr:uid="{1399B058-F576-4AD1-847B-C55842B444A8}"/>
    <cellStyle name="Calculation 2 4 2 3 7" xfId="3930" xr:uid="{40122C5B-E761-4409-A537-8C819B4D711D}"/>
    <cellStyle name="Calculation 2 4 2 4" xfId="879" xr:uid="{1B85A75D-71A9-474A-9DD4-4DDBF618DBFD}"/>
    <cellStyle name="Calculation 2 4 2 4 2" xfId="1478" xr:uid="{398D17E5-315D-4124-B804-F4D8D4F44F27}"/>
    <cellStyle name="Calculation 2 4 2 4 2 2" xfId="4630" xr:uid="{8162C7A9-492D-4621-9DD6-D78CB0FEEB51}"/>
    <cellStyle name="Calculation 2 4 2 4 3" xfId="2012" xr:uid="{09436B6C-76EF-4740-8C3F-95E875B0EE78}"/>
    <cellStyle name="Calculation 2 4 2 4 3 2" xfId="5164" xr:uid="{274CAF1C-8ADD-41B3-BA89-ACC0F0237A94}"/>
    <cellStyle name="Calculation 2 4 2 4 4" xfId="2487" xr:uid="{BD4E201B-B22E-4DDD-B93F-A9AA225213E5}"/>
    <cellStyle name="Calculation 2 4 2 4 4 2" xfId="5639" xr:uid="{E52051E3-109B-494D-B47F-574A08DA7E9E}"/>
    <cellStyle name="Calculation 2 4 2 4 5" xfId="2829" xr:uid="{F88E8EB8-A5A7-4405-AF35-556C25F5C907}"/>
    <cellStyle name="Calculation 2 4 2 4 5 2" xfId="5981" xr:uid="{C14224F0-E792-4657-84A8-9223AEB9D2D2}"/>
    <cellStyle name="Calculation 2 4 2 4 6" xfId="3242" xr:uid="{CFBC0F47-0DCD-4B5F-AA94-636F96CD0A7F}"/>
    <cellStyle name="Calculation 2 4 2 4 6 2" xfId="6394" xr:uid="{1F161FD5-D341-4F26-A194-4366FC7B6FB1}"/>
    <cellStyle name="Calculation 2 4 2 4 7" xfId="4042" xr:uid="{9A6C1899-F73F-410F-888A-5371351AD35E}"/>
    <cellStyle name="Calculation 2 4 2 5" xfId="998" xr:uid="{C3BA0D8C-E2D4-4EDB-8DAA-B1707A0988FB}"/>
    <cellStyle name="Calculation 2 4 2 5 2" xfId="1597" xr:uid="{998660E5-9BC4-4F23-BC8F-04EBC33CD27F}"/>
    <cellStyle name="Calculation 2 4 2 5 2 2" xfId="4749" xr:uid="{B55DCAEC-CD66-467B-BAB6-60BC3868A804}"/>
    <cellStyle name="Calculation 2 4 2 5 3" xfId="2131" xr:uid="{55DFCF81-945F-4F28-8384-590A93D4CC44}"/>
    <cellStyle name="Calculation 2 4 2 5 3 2" xfId="5283" xr:uid="{002FBF69-C16A-45C6-97E8-401A167CAAB8}"/>
    <cellStyle name="Calculation 2 4 2 5 4" xfId="2780" xr:uid="{46C5B095-549A-4FEF-BFAF-44B0B22D0D02}"/>
    <cellStyle name="Calculation 2 4 2 5 4 2" xfId="5932" xr:uid="{03BD836B-D9AB-48BD-A80E-A3017C2093F6}"/>
    <cellStyle name="Calculation 2 4 2 5 5" xfId="2948" xr:uid="{F4FBFB1A-19DC-4854-B667-AC11538BC01A}"/>
    <cellStyle name="Calculation 2 4 2 5 5 2" xfId="6100" xr:uid="{8E4D923C-E5CD-4E52-A92D-D9E44B399AC3}"/>
    <cellStyle name="Calculation 2 4 2 5 6" xfId="3361" xr:uid="{FE02A62A-51D5-43E6-999B-F55F6E083175}"/>
    <cellStyle name="Calculation 2 4 2 5 7" xfId="4161" xr:uid="{C86F44CE-E124-4373-8A55-34C4B4946386}"/>
    <cellStyle name="Calculation 2 4 2 6" xfId="584" xr:uid="{E60EF936-CAA1-4162-951F-76A0849A5CFB}"/>
    <cellStyle name="Calculation 2 4 2 6 2" xfId="3748" xr:uid="{14019402-6D98-49F1-B6AF-459F3F452449}"/>
    <cellStyle name="Calculation 2 4 2 7" xfId="1183" xr:uid="{916FED51-C162-4B6E-9B5F-06D5AC8F4E96}"/>
    <cellStyle name="Calculation 2 4 2 7 2" xfId="4336" xr:uid="{B67C4B86-C71F-464B-8F3B-6DE3919CC220}"/>
    <cellStyle name="Calculation 2 4 2 8" xfId="1718" xr:uid="{14DF6238-DBFA-4F37-905A-21C8DA2A997A}"/>
    <cellStyle name="Calculation 2 4 2 8 2" xfId="4870" xr:uid="{DA477596-353E-4C15-9461-63F8F398E8F5}"/>
    <cellStyle name="Calculation 2 4 2 9" xfId="3485" xr:uid="{C06DB798-C3E1-4E4A-A440-9A6F304E2BDF}"/>
    <cellStyle name="Calculation 2 4 3" xfId="395" xr:uid="{4D5A9C99-1730-44CF-A990-39639F7A2626}"/>
    <cellStyle name="Calculation 2 4 3 2" xfId="629" xr:uid="{88578DF4-5798-44DE-A017-356786A09667}"/>
    <cellStyle name="Calculation 2 4 3 2 2" xfId="3792" xr:uid="{B52342E6-DCDA-407C-A868-DDD7CC7DA17E}"/>
    <cellStyle name="Calculation 2 4 3 3" xfId="1228" xr:uid="{B9D3EC2F-89D4-4F02-A597-3A6C952C1B6D}"/>
    <cellStyle name="Calculation 2 4 3 3 2" xfId="4380" xr:uid="{5833EC74-4C5D-4EE6-B6CC-E56D0B8D687A}"/>
    <cellStyle name="Calculation 2 4 3 4" xfId="1762" xr:uid="{05D553E3-0985-4AEC-8D83-84EBB862A69F}"/>
    <cellStyle name="Calculation 2 4 3 4 2" xfId="4914" xr:uid="{FBB28C1E-9412-4955-8044-DCEBEDB3F962}"/>
    <cellStyle name="Calculation 2 4 3 5" xfId="2237" xr:uid="{8FA49B0F-0815-404B-A458-37A70542A5CF}"/>
    <cellStyle name="Calculation 2 4 3 5 2" xfId="5389" xr:uid="{0DE1F271-9F18-4374-81FD-B703D44BF493}"/>
    <cellStyle name="Calculation 2 4 3 6" xfId="2675" xr:uid="{E03770A3-7201-4F51-B6A1-2E290526C8B8}"/>
    <cellStyle name="Calculation 2 4 3 6 2" xfId="5827" xr:uid="{EDDF264E-A1A0-4C13-8E35-B79033451F89}"/>
    <cellStyle name="Calculation 2 4 3 7" xfId="2992" xr:uid="{295CAE01-0F6D-4B5D-BDFB-6D33AA71CB06}"/>
    <cellStyle name="Calculation 2 4 3 7 2" xfId="6144" xr:uid="{8E20D410-95D7-48C3-A7F4-4CB480AC7D28}"/>
    <cellStyle name="Calculation 2 4 3 8" xfId="3575" xr:uid="{94882AEB-EFD2-459A-854E-A35245AA1BDA}"/>
    <cellStyle name="Calculation 2 4 4" xfId="746" xr:uid="{E4CC187C-89F6-4FF7-AE7A-E7C5883839BB}"/>
    <cellStyle name="Calculation 2 4 4 2" xfId="1345" xr:uid="{5AC14897-BDFA-4028-9F94-9451E321ADF8}"/>
    <cellStyle name="Calculation 2 4 4 2 2" xfId="4497" xr:uid="{EA40CEAA-0C5F-430A-8BC8-4E6EE2D975DF}"/>
    <cellStyle name="Calculation 2 4 4 3" xfId="1879" xr:uid="{21D9B6D3-1129-4E7C-9413-5C68EBBDC955}"/>
    <cellStyle name="Calculation 2 4 4 3 2" xfId="5031" xr:uid="{5F3801CC-F041-4C22-96FF-787368DAD631}"/>
    <cellStyle name="Calculation 2 4 4 4" xfId="2354" xr:uid="{B35BA207-C861-4D64-9918-601CCD0A9589}"/>
    <cellStyle name="Calculation 2 4 4 4 2" xfId="5506" xr:uid="{0F54C69B-42C8-4E8F-91CD-C9EBBCF8D7D2}"/>
    <cellStyle name="Calculation 2 4 4 5" xfId="2633" xr:uid="{C57C6C81-6D30-4181-88AF-29E200EC8A61}"/>
    <cellStyle name="Calculation 2 4 4 5 2" xfId="5785" xr:uid="{1D536EFA-48D3-47BC-BE67-9C502550B80B}"/>
    <cellStyle name="Calculation 2 4 4 6" xfId="3109" xr:uid="{88054C6C-6D0A-4745-86AE-11870125DAAC}"/>
    <cellStyle name="Calculation 2 4 4 6 2" xfId="6261" xr:uid="{85899988-DCEA-4911-81D4-3016F87B1572}"/>
    <cellStyle name="Calculation 2 4 4 7" xfId="3909" xr:uid="{A1277F2A-310C-408D-A4A0-F4106ED1DEC4}"/>
    <cellStyle name="Calculation 2 4 5" xfId="825" xr:uid="{9BAD1F5E-C3C5-4CF6-834B-984D286233A5}"/>
    <cellStyle name="Calculation 2 4 5 2" xfId="1424" xr:uid="{56D2BECD-3B0B-498C-996F-423E7FF7ECF0}"/>
    <cellStyle name="Calculation 2 4 5 2 2" xfId="4576" xr:uid="{D29CC41C-E4E8-48F2-9D51-0F1B1FF0300B}"/>
    <cellStyle name="Calculation 2 4 5 3" xfId="1958" xr:uid="{7090CB16-2A7E-4BA1-A602-CFCEF6B8BE6F}"/>
    <cellStyle name="Calculation 2 4 5 3 2" xfId="5110" xr:uid="{FB486B70-10B0-4D4C-A47C-EFF5D1D28DD9}"/>
    <cellStyle name="Calculation 2 4 5 4" xfId="2433" xr:uid="{1FEF9EC1-BB40-4FAD-8725-AAC5B2D95430}"/>
    <cellStyle name="Calculation 2 4 5 4 2" xfId="5585" xr:uid="{5F439677-97A8-42B5-9C13-9DF8E9CF93A8}"/>
    <cellStyle name="Calculation 2 4 5 5" xfId="2540" xr:uid="{3E4CDE8D-8D4C-4F86-9421-8009D28C91EE}"/>
    <cellStyle name="Calculation 2 4 5 5 2" xfId="5692" xr:uid="{241058C8-455A-4013-BADD-40A7F16192AC}"/>
    <cellStyle name="Calculation 2 4 5 6" xfId="3188" xr:uid="{F7C5F5C8-7EA6-4108-9364-8AB998D9A269}"/>
    <cellStyle name="Calculation 2 4 5 6 2" xfId="6340" xr:uid="{5FB2AE2D-C3DB-4A92-935E-110E796FF799}"/>
    <cellStyle name="Calculation 2 4 5 7" xfId="3988" xr:uid="{B6F67FF4-7B66-4A8F-B946-003DD690715D}"/>
    <cellStyle name="Calculation 2 4 6" xfId="944" xr:uid="{0C7584D6-6064-4DD5-9ED7-D858BF5A8C47}"/>
    <cellStyle name="Calculation 2 4 6 2" xfId="1543" xr:uid="{1DCF7D57-633E-447C-ABBB-D0E1F3DCC448}"/>
    <cellStyle name="Calculation 2 4 6 2 2" xfId="4695" xr:uid="{8D461E0F-5299-4257-87EF-A3C415E9C939}"/>
    <cellStyle name="Calculation 2 4 6 3" xfId="2077" xr:uid="{E5D1FD43-E282-4E07-B8E1-116798837A34}"/>
    <cellStyle name="Calculation 2 4 6 3 2" xfId="5229" xr:uid="{6ECD767F-DE5B-4712-9981-5D184FCB6856}"/>
    <cellStyle name="Calculation 2 4 6 4" xfId="2726" xr:uid="{62B458E3-0C85-4AB6-A994-48A756B03F6D}"/>
    <cellStyle name="Calculation 2 4 6 4 2" xfId="5878" xr:uid="{1BFD8E7F-3E17-4A35-BA7C-83D5523AC4C4}"/>
    <cellStyle name="Calculation 2 4 6 5" xfId="2894" xr:uid="{4AA1147C-4AB8-4906-970C-D3918E53E088}"/>
    <cellStyle name="Calculation 2 4 6 5 2" xfId="6046" xr:uid="{ACF4F8BD-4D2A-4029-8A6D-B7D78465B742}"/>
    <cellStyle name="Calculation 2 4 6 6" xfId="3307" xr:uid="{1C6751B2-0EC7-4087-A040-E17F682A8E87}"/>
    <cellStyle name="Calculation 2 4 6 7" xfId="4107" xr:uid="{994C2C05-7E9C-44FC-8404-5BD0371643D5}"/>
    <cellStyle name="Calculation 2 4 7" xfId="525" xr:uid="{583BE9F4-95C4-4D9F-B334-68D59BAA2220}"/>
    <cellStyle name="Calculation 2 4 7 2" xfId="3694" xr:uid="{98D1E0B8-0F45-4383-93CA-D83BDCA1DB66}"/>
    <cellStyle name="Calculation 2 4 8" xfId="1123" xr:uid="{FCC062AD-55DE-43D6-9010-36776193BEBD}"/>
    <cellStyle name="Calculation 2 4 8 2" xfId="4281" xr:uid="{426C990E-B63E-49FF-A8ED-C37E6BE2FE5D}"/>
    <cellStyle name="Calculation 2 4 9" xfId="1660" xr:uid="{C829C17B-F6C9-4656-8148-D6DB5CB332CD}"/>
    <cellStyle name="Calculation 2 4 9 2" xfId="4812" xr:uid="{5B188A88-132A-4212-BD1C-A59F577487C8}"/>
    <cellStyle name="Calculation 2 5" xfId="58" xr:uid="{8CE18629-7EF4-40D5-9F1B-45DD36A62303}"/>
    <cellStyle name="Calculation 2 5 10" xfId="3391" xr:uid="{FABD8EE5-9B50-4EB9-B492-538995072D3C}"/>
    <cellStyle name="Calculation 2 5 2" xfId="143" xr:uid="{20AF13E5-E7BF-4050-9FC6-99C195ED5FC1}"/>
    <cellStyle name="Calculation 2 5 2 2" xfId="427" xr:uid="{0B36D655-A14B-4435-AC37-F90B3FDA1D77}"/>
    <cellStyle name="Calculation 2 5 2 2 2" xfId="666" xr:uid="{ACC32EBA-C5FD-40D1-80CE-F8BFDEC03996}"/>
    <cellStyle name="Calculation 2 5 2 2 2 2" xfId="3829" xr:uid="{387CAF60-23AE-4CD3-9924-8FA43E959419}"/>
    <cellStyle name="Calculation 2 5 2 2 3" xfId="1265" xr:uid="{1A88D801-3B64-4F00-990B-BF66165CED11}"/>
    <cellStyle name="Calculation 2 5 2 2 3 2" xfId="4417" xr:uid="{F836426D-CDF8-4691-BB4F-04BE671AC42C}"/>
    <cellStyle name="Calculation 2 5 2 2 4" xfId="1799" xr:uid="{BDE134D2-382A-4E93-932A-C21F266FD7BD}"/>
    <cellStyle name="Calculation 2 5 2 2 4 2" xfId="4951" xr:uid="{7F6E12AC-6C83-46F8-AE2F-428B1E4689E5}"/>
    <cellStyle name="Calculation 2 5 2 2 5" xfId="2274" xr:uid="{4FB3B63D-D2D1-46A3-9342-986CCDE24C53}"/>
    <cellStyle name="Calculation 2 5 2 2 5 2" xfId="5426" xr:uid="{1270B0C6-349D-40B7-8D0D-7F3D28EB2431}"/>
    <cellStyle name="Calculation 2 5 2 2 6" xfId="2571" xr:uid="{2B6E33C9-A796-4356-8C98-FBFDA46329FD}"/>
    <cellStyle name="Calculation 2 5 2 2 6 2" xfId="5723" xr:uid="{D5106B18-4464-4DB3-A14A-C587DA7E3C89}"/>
    <cellStyle name="Calculation 2 5 2 2 7" xfId="3029" xr:uid="{1F307AAD-1168-4E54-BDBF-1604D1A482DB}"/>
    <cellStyle name="Calculation 2 5 2 2 7 2" xfId="6181" xr:uid="{3855BC53-40F5-4533-8D5B-0FA6CB53574C}"/>
    <cellStyle name="Calculation 2 5 2 2 8" xfId="3602" xr:uid="{337C6AF7-DF67-44AB-956B-BE0066879915}"/>
    <cellStyle name="Calculation 2 5 2 3" xfId="758" xr:uid="{E609ED79-B0C4-4168-825C-EAB9DA51FCD3}"/>
    <cellStyle name="Calculation 2 5 2 3 2" xfId="1357" xr:uid="{301B4A82-F581-45CB-9AC4-D854E0B96A4D}"/>
    <cellStyle name="Calculation 2 5 2 3 2 2" xfId="4509" xr:uid="{710972DE-6559-45D9-B37F-B4ABD9EB14BF}"/>
    <cellStyle name="Calculation 2 5 2 3 3" xfId="1891" xr:uid="{A4609F8E-B1A4-46DA-92B8-7288629277FB}"/>
    <cellStyle name="Calculation 2 5 2 3 3 2" xfId="5043" xr:uid="{F07D6625-C5EE-4E0C-8B9C-14BD8B492569}"/>
    <cellStyle name="Calculation 2 5 2 3 4" xfId="2366" xr:uid="{4BB4093B-F3D9-40A7-805E-6A4E412EAB55}"/>
    <cellStyle name="Calculation 2 5 2 3 4 2" xfId="5518" xr:uid="{12AD7277-3BCD-4D64-81D9-BDFB5835C8AB}"/>
    <cellStyle name="Calculation 2 5 2 3 5" xfId="1058" xr:uid="{6B41811C-BE7D-42F7-965B-FC5CD7D77FD2}"/>
    <cellStyle name="Calculation 2 5 2 3 5 2" xfId="4220" xr:uid="{AE3518EF-C8AE-4EEB-A126-5EF19344654A}"/>
    <cellStyle name="Calculation 2 5 2 3 6" xfId="3121" xr:uid="{516C96CC-007B-4149-BEE4-8FA271C741BE}"/>
    <cellStyle name="Calculation 2 5 2 3 6 2" xfId="6273" xr:uid="{151F3CA7-8E5D-4378-B81B-5DE3EF256693}"/>
    <cellStyle name="Calculation 2 5 2 3 7" xfId="3921" xr:uid="{068A0FCF-5921-4B9B-B1B3-45DE34D38DDC}"/>
    <cellStyle name="Calculation 2 5 2 4" xfId="852" xr:uid="{64E348D2-152E-495A-9A9C-23EF78295926}"/>
    <cellStyle name="Calculation 2 5 2 4 2" xfId="1451" xr:uid="{6908C13B-65A4-4F1A-8056-59331A5B1F61}"/>
    <cellStyle name="Calculation 2 5 2 4 2 2" xfId="4603" xr:uid="{8AB3FDAD-186A-4835-A9F5-0177A6CF68A7}"/>
    <cellStyle name="Calculation 2 5 2 4 3" xfId="1985" xr:uid="{C185D9A8-3DD8-48EE-906D-C08EBE1DAC63}"/>
    <cellStyle name="Calculation 2 5 2 4 3 2" xfId="5137" xr:uid="{BCF20792-A924-4D76-8AD3-3A0DF7808E60}"/>
    <cellStyle name="Calculation 2 5 2 4 4" xfId="2460" xr:uid="{5E55FE60-39BA-4836-BD36-B11A8FE33EA2}"/>
    <cellStyle name="Calculation 2 5 2 4 4 2" xfId="5612" xr:uid="{9501D8A0-F85F-4864-B1F6-2A8E768949A3}"/>
    <cellStyle name="Calculation 2 5 2 4 5" xfId="2802" xr:uid="{A050E611-396E-49C8-B336-35BE2B166EE8}"/>
    <cellStyle name="Calculation 2 5 2 4 5 2" xfId="5954" xr:uid="{AC6F6975-C6E8-4F20-ABAF-6EC614C2E999}"/>
    <cellStyle name="Calculation 2 5 2 4 6" xfId="3215" xr:uid="{CAB2A68F-E983-4C44-8B52-0CB64596C97F}"/>
    <cellStyle name="Calculation 2 5 2 4 6 2" xfId="6367" xr:uid="{63362156-2C34-4F03-9BEF-9749511B8E25}"/>
    <cellStyle name="Calculation 2 5 2 4 7" xfId="4015" xr:uid="{5A55D85B-EF26-466A-BC34-47A6E1EC866C}"/>
    <cellStyle name="Calculation 2 5 2 5" xfId="971" xr:uid="{E188DF07-F479-4551-BCDA-B95BFB4C3608}"/>
    <cellStyle name="Calculation 2 5 2 5 2" xfId="1570" xr:uid="{5301F2C3-1595-4B2A-913A-9DF1E6202C66}"/>
    <cellStyle name="Calculation 2 5 2 5 2 2" xfId="4722" xr:uid="{B1D7C019-DD62-446C-85B4-FE2908CCCE18}"/>
    <cellStyle name="Calculation 2 5 2 5 3" xfId="2104" xr:uid="{2EACFDAC-D3ED-42C8-80AE-23E13AD8C5A5}"/>
    <cellStyle name="Calculation 2 5 2 5 3 2" xfId="5256" xr:uid="{94D40B35-EB70-47F8-A9A9-F636EC7D9117}"/>
    <cellStyle name="Calculation 2 5 2 5 4" xfId="2753" xr:uid="{7A27DF1D-1146-41F0-827C-3E95946CA415}"/>
    <cellStyle name="Calculation 2 5 2 5 4 2" xfId="5905" xr:uid="{35AE6B0E-C642-4556-8E07-DC7B96B0D922}"/>
    <cellStyle name="Calculation 2 5 2 5 5" xfId="2921" xr:uid="{8EA2E20A-0DE1-426F-99D2-8E32D0B842CF}"/>
    <cellStyle name="Calculation 2 5 2 5 5 2" xfId="6073" xr:uid="{43612702-F8BD-4F47-9EBD-A2D20CCC6BDA}"/>
    <cellStyle name="Calculation 2 5 2 5 6" xfId="3334" xr:uid="{5E20E54D-3581-4816-BA11-84643C90365E}"/>
    <cellStyle name="Calculation 2 5 2 5 7" xfId="4134" xr:uid="{463520C8-BC00-4EF3-8B55-CB6E991C1A26}"/>
    <cellStyle name="Calculation 2 5 2 6" xfId="557" xr:uid="{74945301-5C80-406B-9E42-BDD31B778C68}"/>
    <cellStyle name="Calculation 2 5 2 6 2" xfId="3721" xr:uid="{F332A5AD-9F84-42D5-93ED-D59999E0DC2C}"/>
    <cellStyle name="Calculation 2 5 2 7" xfId="1156" xr:uid="{F7355885-88D8-48CC-8DF0-C2B15BC6BFFD}"/>
    <cellStyle name="Calculation 2 5 2 7 2" xfId="4309" xr:uid="{4BB8A120-33F3-49F7-9479-B21FF869571A}"/>
    <cellStyle name="Calculation 2 5 2 8" xfId="1691" xr:uid="{EA545C82-0DAE-4016-9DC0-949B423E2346}"/>
    <cellStyle name="Calculation 2 5 2 8 2" xfId="4843" xr:uid="{643D0B77-46D3-4E5D-AF32-E746F34AF7F2}"/>
    <cellStyle name="Calculation 2 5 2 9" xfId="3461" xr:uid="{47042D55-BE1A-4072-A596-166D398B9ED0}"/>
    <cellStyle name="Calculation 2 5 3" xfId="366" xr:uid="{CE2E2707-BACF-4D84-99E4-69278E3E4A00}"/>
    <cellStyle name="Calculation 2 5 3 2" xfId="676" xr:uid="{F172CB09-9A22-4636-A9CE-6C632A25CA22}"/>
    <cellStyle name="Calculation 2 5 3 2 2" xfId="3839" xr:uid="{0D14D375-783B-4B10-8634-839E30C4FAD4}"/>
    <cellStyle name="Calculation 2 5 3 3" xfId="1275" xr:uid="{EC5BB49B-7144-49C5-9504-BCD2DEDE7D9C}"/>
    <cellStyle name="Calculation 2 5 3 3 2" xfId="4427" xr:uid="{A3F6715B-EB76-482F-9448-ED4C5F7B88E3}"/>
    <cellStyle name="Calculation 2 5 3 4" xfId="1809" xr:uid="{FDC44E7F-340A-4E2E-AF13-1472BFD3D1D0}"/>
    <cellStyle name="Calculation 2 5 3 4 2" xfId="4961" xr:uid="{9B1620CE-4784-4633-8D18-90BC0346C699}"/>
    <cellStyle name="Calculation 2 5 3 5" xfId="2284" xr:uid="{9F98DC99-7B78-4127-ACB5-539BB0DD1809}"/>
    <cellStyle name="Calculation 2 5 3 5 2" xfId="5436" xr:uid="{7BFF16DF-1537-4748-8A39-B11E5346966D}"/>
    <cellStyle name="Calculation 2 5 3 6" xfId="2186" xr:uid="{365B0076-7B21-4FFC-BE28-466676E83F3B}"/>
    <cellStyle name="Calculation 2 5 3 6 2" xfId="5338" xr:uid="{EE6C2ABD-0651-4149-BCE0-135E2B2FE593}"/>
    <cellStyle name="Calculation 2 5 3 7" xfId="3039" xr:uid="{A2D3103F-AE3A-4E21-9B75-773CC18B8864}"/>
    <cellStyle name="Calculation 2 5 3 7 2" xfId="6191" xr:uid="{64F48D41-DBAA-4124-9398-891E343C8557}"/>
    <cellStyle name="Calculation 2 5 3 8" xfId="3548" xr:uid="{D32D0F3F-C509-4D6F-B91E-ED65201AE1BE}"/>
    <cellStyle name="Calculation 2 5 4" xfId="737" xr:uid="{579147FD-48EE-4004-842D-75C0F7A24BA7}"/>
    <cellStyle name="Calculation 2 5 4 2" xfId="1336" xr:uid="{4650CA94-DD90-4154-B4CB-A0F657EB6E08}"/>
    <cellStyle name="Calculation 2 5 4 2 2" xfId="4488" xr:uid="{1E21860C-633A-4A72-AB1A-8DCA98BBEC70}"/>
    <cellStyle name="Calculation 2 5 4 3" xfId="1870" xr:uid="{A640A951-491A-4CB3-B092-DAE30DBCDA77}"/>
    <cellStyle name="Calculation 2 5 4 3 2" xfId="5022" xr:uid="{1F841AEF-72A4-44B1-9444-41F7E88C216E}"/>
    <cellStyle name="Calculation 2 5 4 4" xfId="2345" xr:uid="{EA4D2E38-695C-457A-9B5D-911CEF8C3DD7}"/>
    <cellStyle name="Calculation 2 5 4 4 2" xfId="5497" xr:uid="{74621DEF-C311-4B33-8164-E215383706BA}"/>
    <cellStyle name="Calculation 2 5 4 5" xfId="2620" xr:uid="{7129A9E8-2B4A-430D-8402-42E40831C682}"/>
    <cellStyle name="Calculation 2 5 4 5 2" xfId="5772" xr:uid="{ED326F97-E502-42A0-AD80-3695092F8B7E}"/>
    <cellStyle name="Calculation 2 5 4 6" xfId="3100" xr:uid="{DAA48B46-0AB6-40A6-B526-76F64CFFDA3E}"/>
    <cellStyle name="Calculation 2 5 4 6 2" xfId="6252" xr:uid="{FEB9B2DB-4FB8-4329-88BF-31A1F47066FB}"/>
    <cellStyle name="Calculation 2 5 4 7" xfId="3900" xr:uid="{9016773E-A73D-42A6-9F2D-B8E54CE6B2CA}"/>
    <cellStyle name="Calculation 2 5 5" xfId="798" xr:uid="{CB77B75E-20DE-4B50-9A46-FA92044F3D3F}"/>
    <cellStyle name="Calculation 2 5 5 2" xfId="1397" xr:uid="{07D003FE-DDD8-4BA9-92B6-86D11819DE5E}"/>
    <cellStyle name="Calculation 2 5 5 2 2" xfId="4549" xr:uid="{29B3BAEE-1086-4FFD-B0B6-F48F6128461B}"/>
    <cellStyle name="Calculation 2 5 5 3" xfId="1931" xr:uid="{7008AD70-B01C-4429-8587-DC48161788DF}"/>
    <cellStyle name="Calculation 2 5 5 3 2" xfId="5083" xr:uid="{A92D277E-C948-4D5F-AAD1-CAE7327D4568}"/>
    <cellStyle name="Calculation 2 5 5 4" xfId="2406" xr:uid="{10961F2D-022A-4272-8E9C-35ACEDC6AE6F}"/>
    <cellStyle name="Calculation 2 5 5 4 2" xfId="5558" xr:uid="{C7813789-6346-4FB6-AD32-12B0DC8FBBF9}"/>
    <cellStyle name="Calculation 2 5 5 5" xfId="2198" xr:uid="{536ACA41-B05F-4244-9956-40ABE1C7629F}"/>
    <cellStyle name="Calculation 2 5 5 5 2" xfId="5350" xr:uid="{31CD35FB-07CD-4456-B599-B8B018037274}"/>
    <cellStyle name="Calculation 2 5 5 6" xfId="3161" xr:uid="{9F1FBEE4-3404-4B34-9AE7-BC7E045DE99D}"/>
    <cellStyle name="Calculation 2 5 5 6 2" xfId="6313" xr:uid="{30CDC55D-AA8B-4BE6-A8F4-81E2D9C6863B}"/>
    <cellStyle name="Calculation 2 5 5 7" xfId="3961" xr:uid="{74B734D8-495C-47CE-A9BF-BBD063E08428}"/>
    <cellStyle name="Calculation 2 5 6" xfId="917" xr:uid="{553B03B3-DD22-40CF-B836-ABAB115AF1A0}"/>
    <cellStyle name="Calculation 2 5 6 2" xfId="1516" xr:uid="{7095A132-614E-49A6-A4B2-0659709A32A8}"/>
    <cellStyle name="Calculation 2 5 6 2 2" xfId="4668" xr:uid="{4F0F3EA4-5725-4A34-B504-47C71C7B02E8}"/>
    <cellStyle name="Calculation 2 5 6 3" xfId="2050" xr:uid="{D44F2D05-4B69-43DD-92E0-E0E897EA6612}"/>
    <cellStyle name="Calculation 2 5 6 3 2" xfId="5202" xr:uid="{09DBB9AA-621D-46F8-B702-CEAAAFE86388}"/>
    <cellStyle name="Calculation 2 5 6 4" xfId="2699" xr:uid="{133B3C62-641F-4B57-8040-41BF94659B7C}"/>
    <cellStyle name="Calculation 2 5 6 4 2" xfId="5851" xr:uid="{E19BFCAC-10AF-4DB2-94FE-9D193B747D64}"/>
    <cellStyle name="Calculation 2 5 6 5" xfId="2867" xr:uid="{8A43B3EB-5D55-4888-B9EE-8654CC653F0D}"/>
    <cellStyle name="Calculation 2 5 6 5 2" xfId="6019" xr:uid="{54DB766F-2B53-4810-B77C-0BC28C1A492B}"/>
    <cellStyle name="Calculation 2 5 6 6" xfId="3280" xr:uid="{92BB6351-DBDB-42B3-B95F-3F038F8236D3}"/>
    <cellStyle name="Calculation 2 5 6 7" xfId="4080" xr:uid="{B9B26D04-496A-4A54-A8DF-8F3E1B7AF8AD}"/>
    <cellStyle name="Calculation 2 5 7" xfId="497" xr:uid="{623A5F31-1583-42BB-8201-383DC48CA01C}"/>
    <cellStyle name="Calculation 2 5 7 2" xfId="3667" xr:uid="{4FDC4174-EA61-42FE-B9D7-B1B8E8139484}"/>
    <cellStyle name="Calculation 2 5 8" xfId="1095" xr:uid="{CD817D37-402B-4273-87D4-50F855C5C17F}"/>
    <cellStyle name="Calculation 2 5 8 2" xfId="4254" xr:uid="{2327F34B-9798-4696-8038-106A16A77C71}"/>
    <cellStyle name="Calculation 2 5 9" xfId="1632" xr:uid="{A1AA16E3-A61D-43B9-9345-1EC72AA20D0B}"/>
    <cellStyle name="Calculation 2 5 9 2" xfId="4784" xr:uid="{2C40B837-8649-40E1-8B88-68259F7DFDF5}"/>
    <cellStyle name="Calculation 2 6" xfId="90" xr:uid="{DFD92860-FE4D-49DD-8EEB-0A5ABF5DB608}"/>
    <cellStyle name="Calculation 2 6 10" xfId="3420" xr:uid="{BF31C56C-D421-49E5-8310-A4FCC726CE54}"/>
    <cellStyle name="Calculation 2 6 2" xfId="170" xr:uid="{C946C0C2-D755-4775-B0BB-EBADF3BB626F}"/>
    <cellStyle name="Calculation 2 6 2 2" xfId="456" xr:uid="{B025AE9A-F466-4D71-A954-551C3C5D675B}"/>
    <cellStyle name="Calculation 2 6 2 2 2" xfId="610" xr:uid="{23CD35FC-BB8D-4307-BA9A-021A10C1E9DE}"/>
    <cellStyle name="Calculation 2 6 2 2 2 2" xfId="3773" xr:uid="{54FE1342-9F59-48A9-9E5B-71AAD6D91C5F}"/>
    <cellStyle name="Calculation 2 6 2 2 3" xfId="1209" xr:uid="{02C90BB2-4E22-43F2-99B0-60A38C9335D2}"/>
    <cellStyle name="Calculation 2 6 2 2 3 2" xfId="4361" xr:uid="{E37DBA7F-AA30-412F-910D-43BFCB671089}"/>
    <cellStyle name="Calculation 2 6 2 2 4" xfId="1743" xr:uid="{8687EC09-51A3-462A-BF81-491675392686}"/>
    <cellStyle name="Calculation 2 6 2 2 4 2" xfId="4895" xr:uid="{F8D78E36-7589-4B49-B6EB-586355A87CD3}"/>
    <cellStyle name="Calculation 2 6 2 2 5" xfId="2218" xr:uid="{2B22C2A0-86F2-49BF-A281-1F957778173C}"/>
    <cellStyle name="Calculation 2 6 2 2 5 2" xfId="5370" xr:uid="{EC8DCA7E-763F-44AA-86ED-EF3B69BA5D0D}"/>
    <cellStyle name="Calculation 2 6 2 2 6" xfId="2665" xr:uid="{C2009957-EEDA-446F-B8B1-2C59D1568321}"/>
    <cellStyle name="Calculation 2 6 2 2 6 2" xfId="5817" xr:uid="{50C74EBC-D860-4FA7-B85A-E6D02A20C3CF}"/>
    <cellStyle name="Calculation 2 6 2 2 7" xfId="2973" xr:uid="{949D2767-B7AE-4647-8F0D-CDEF23308B54}"/>
    <cellStyle name="Calculation 2 6 2 2 7 2" xfId="6125" xr:uid="{DB6A67C6-FF66-4E4D-9139-332E7A5585A2}"/>
    <cellStyle name="Calculation 2 6 2 2 8" xfId="3631" xr:uid="{A2FBC59A-56F2-4F8F-BF2F-473652732993}"/>
    <cellStyle name="Calculation 2 6 2 3" xfId="768" xr:uid="{B48C0198-286A-411B-9E83-6BE233BE9952}"/>
    <cellStyle name="Calculation 2 6 2 3 2" xfId="1367" xr:uid="{0D44BB18-0C4D-457F-AA75-63F4BFFBEFC1}"/>
    <cellStyle name="Calculation 2 6 2 3 2 2" xfId="4519" xr:uid="{6E76D6FE-D695-4ACE-8095-90F2F266D050}"/>
    <cellStyle name="Calculation 2 6 2 3 3" xfId="1901" xr:uid="{CAD70458-859F-4A9B-8F6C-74EA522EB2C2}"/>
    <cellStyle name="Calculation 2 6 2 3 3 2" xfId="5053" xr:uid="{9DB68572-3B86-440F-B77D-A409E6E493BA}"/>
    <cellStyle name="Calculation 2 6 2 3 4" xfId="2376" xr:uid="{F60F7C14-9BC6-40A9-9185-8E4C59C2B38B}"/>
    <cellStyle name="Calculation 2 6 2 3 4 2" xfId="5528" xr:uid="{D9F29E51-EB0A-495C-968C-569FE64CA5C2}"/>
    <cellStyle name="Calculation 2 6 2 3 5" xfId="2598" xr:uid="{53C00DE7-2A35-44BA-8900-FC613C37FB88}"/>
    <cellStyle name="Calculation 2 6 2 3 5 2" xfId="5750" xr:uid="{CCD62035-4E37-411C-BC5A-5BA9E8FCA817}"/>
    <cellStyle name="Calculation 2 6 2 3 6" xfId="3131" xr:uid="{F21A9A0A-83D9-466B-AD55-BA6DFE3D7875}"/>
    <cellStyle name="Calculation 2 6 2 3 6 2" xfId="6283" xr:uid="{665FD7CA-BF43-4353-B6F1-AFB6EA1DD0D1}"/>
    <cellStyle name="Calculation 2 6 2 3 7" xfId="3931" xr:uid="{48F85375-BF96-45F3-9AAE-8E76DA594ECC}"/>
    <cellStyle name="Calculation 2 6 2 4" xfId="881" xr:uid="{3CAE4545-F27C-4420-A752-1521FE1B77F2}"/>
    <cellStyle name="Calculation 2 6 2 4 2" xfId="1480" xr:uid="{BE55DA6E-38C4-4CD1-8C73-BD0AA63C7000}"/>
    <cellStyle name="Calculation 2 6 2 4 2 2" xfId="4632" xr:uid="{E928FA6B-A50F-49D8-9387-66D61659A61A}"/>
    <cellStyle name="Calculation 2 6 2 4 3" xfId="2014" xr:uid="{610CC328-7868-4D2A-A93B-D0F8B70AFB9F}"/>
    <cellStyle name="Calculation 2 6 2 4 3 2" xfId="5166" xr:uid="{BC52FC7A-7120-4E4B-9063-5978E608CE0B}"/>
    <cellStyle name="Calculation 2 6 2 4 4" xfId="2489" xr:uid="{5A825928-A7BD-4122-BC80-9756E4F135F6}"/>
    <cellStyle name="Calculation 2 6 2 4 4 2" xfId="5641" xr:uid="{B970991E-D3B5-469B-B8B5-F1F9FDC5334E}"/>
    <cellStyle name="Calculation 2 6 2 4 5" xfId="2831" xr:uid="{CC3195B8-63CD-422A-8E1B-2C716AC1EF84}"/>
    <cellStyle name="Calculation 2 6 2 4 5 2" xfId="5983" xr:uid="{B03D6F87-D212-4549-A1AD-F366B8E9E1C5}"/>
    <cellStyle name="Calculation 2 6 2 4 6" xfId="3244" xr:uid="{C08FE1FC-8EC3-4602-8383-1E3C914664C9}"/>
    <cellStyle name="Calculation 2 6 2 4 6 2" xfId="6396" xr:uid="{50B85653-CB3B-4CB4-9452-1A80593B8EE0}"/>
    <cellStyle name="Calculation 2 6 2 4 7" xfId="4044" xr:uid="{C91F14D7-0935-44ED-8B39-0145500BB646}"/>
    <cellStyle name="Calculation 2 6 2 5" xfId="1000" xr:uid="{53BBC87A-0D1E-45BD-BA7E-2F6C5CC369E3}"/>
    <cellStyle name="Calculation 2 6 2 5 2" xfId="1599" xr:uid="{07E37CAB-8EA5-4D4C-A825-FE9575E59881}"/>
    <cellStyle name="Calculation 2 6 2 5 2 2" xfId="4751" xr:uid="{0E1891EE-EDCF-4809-86E6-D95E88787EA7}"/>
    <cellStyle name="Calculation 2 6 2 5 3" xfId="2133" xr:uid="{99695B94-F61C-449D-AF0B-2535FE9137D8}"/>
    <cellStyle name="Calculation 2 6 2 5 3 2" xfId="5285" xr:uid="{50690D34-AA41-44B8-924B-DDB380F22A51}"/>
    <cellStyle name="Calculation 2 6 2 5 4" xfId="2782" xr:uid="{83F96F46-CA29-4D67-B351-0598990B5DB4}"/>
    <cellStyle name="Calculation 2 6 2 5 4 2" xfId="5934" xr:uid="{E611B1D4-F0A0-4095-8684-A82E77ED73A8}"/>
    <cellStyle name="Calculation 2 6 2 5 5" xfId="2950" xr:uid="{8A742D08-214E-4ABC-89D6-50CC07C4AF36}"/>
    <cellStyle name="Calculation 2 6 2 5 5 2" xfId="6102" xr:uid="{8690ECD2-46D4-4E2D-9F78-09F350BFC539}"/>
    <cellStyle name="Calculation 2 6 2 5 6" xfId="3363" xr:uid="{52302323-08DC-4E5C-9EA7-890A9210BD0E}"/>
    <cellStyle name="Calculation 2 6 2 5 7" xfId="4163" xr:uid="{D5B8F344-F027-4077-80C8-1F7696F64A92}"/>
    <cellStyle name="Calculation 2 6 2 6" xfId="586" xr:uid="{BEA1E210-A543-4B70-B3A6-F4F2C2FA05EF}"/>
    <cellStyle name="Calculation 2 6 2 6 2" xfId="3750" xr:uid="{9DE9E62D-E70C-4CBE-88B4-4F50FDA7EE3E}"/>
    <cellStyle name="Calculation 2 6 2 7" xfId="1185" xr:uid="{D19B7FE9-59C3-4563-9573-261F58DC9CC0}"/>
    <cellStyle name="Calculation 2 6 2 7 2" xfId="4338" xr:uid="{C84AD0A4-9796-466B-A052-26DC02181685}"/>
    <cellStyle name="Calculation 2 6 2 8" xfId="1720" xr:uid="{1372DC6D-400A-47A3-B7E7-B914C1087562}"/>
    <cellStyle name="Calculation 2 6 2 8 2" xfId="4872" xr:uid="{47BC522A-AE36-42F5-8FC1-E0C92E30352B}"/>
    <cellStyle name="Calculation 2 6 2 9" xfId="3487" xr:uid="{56DE4C90-B176-4D3C-8A06-4D2F6FAE8381}"/>
    <cellStyle name="Calculation 2 6 3" xfId="397" xr:uid="{B16D9C95-C7D3-43A3-B1C0-BD106CBABAB0}"/>
    <cellStyle name="Calculation 2 6 3 2" xfId="687" xr:uid="{1A94201C-9562-47E6-827B-ACC1980CA133}"/>
    <cellStyle name="Calculation 2 6 3 2 2" xfId="3850" xr:uid="{04212997-D7CF-4A58-B263-D6EC76342E22}"/>
    <cellStyle name="Calculation 2 6 3 3" xfId="1286" xr:uid="{17610D53-4A64-4B74-B36E-9341D25119FB}"/>
    <cellStyle name="Calculation 2 6 3 3 2" xfId="4438" xr:uid="{14BAC975-CEAD-45BF-AC8C-25103F08036E}"/>
    <cellStyle name="Calculation 2 6 3 4" xfId="1820" xr:uid="{B122F3A4-62A6-4ABB-8C17-35ABF2788BF0}"/>
    <cellStyle name="Calculation 2 6 3 4 2" xfId="4972" xr:uid="{649308C6-6820-48EC-9326-BE558331371D}"/>
    <cellStyle name="Calculation 2 6 3 5" xfId="2295" xr:uid="{F761FF65-7E07-4D2A-8470-FD434BB9857E}"/>
    <cellStyle name="Calculation 2 6 3 5 2" xfId="5447" xr:uid="{0AB43AD2-BDAF-4BED-BE93-5B66CA8B8B17}"/>
    <cellStyle name="Calculation 2 6 3 6" xfId="2556" xr:uid="{2C98DDB2-B52A-4423-A149-3507E668C303}"/>
    <cellStyle name="Calculation 2 6 3 6 2" xfId="5708" xr:uid="{0F0FD51A-7F60-456C-ACBC-625589A7F149}"/>
    <cellStyle name="Calculation 2 6 3 7" xfId="3050" xr:uid="{2D7763AC-DFFD-441C-B83C-0C6C290A2DC9}"/>
    <cellStyle name="Calculation 2 6 3 7 2" xfId="6202" xr:uid="{5A940C11-3DB0-46A7-A44A-8DDD086A23FB}"/>
    <cellStyle name="Calculation 2 6 3 8" xfId="3577" xr:uid="{92454360-D575-4305-8627-2EF410706F3F}"/>
    <cellStyle name="Calculation 2 6 4" xfId="747" xr:uid="{DCBBA60B-344D-47F9-ABBB-F7D8929BCC63}"/>
    <cellStyle name="Calculation 2 6 4 2" xfId="1346" xr:uid="{B4B129CA-24ED-4574-93F6-1D40967B2125}"/>
    <cellStyle name="Calculation 2 6 4 2 2" xfId="4498" xr:uid="{C1D25D80-F54D-413C-A50A-E19901649387}"/>
    <cellStyle name="Calculation 2 6 4 3" xfId="1880" xr:uid="{536AC081-230D-408E-A50F-F66F89F54C67}"/>
    <cellStyle name="Calculation 2 6 4 3 2" xfId="5032" xr:uid="{9954600B-4D40-4733-93DC-84D367FF1769}"/>
    <cellStyle name="Calculation 2 6 4 4" xfId="2355" xr:uid="{BB5A0F81-711C-4D52-962E-5EBE30100BFC}"/>
    <cellStyle name="Calculation 2 6 4 4 2" xfId="5507" xr:uid="{8E0ED546-F8A1-4CD3-95A2-AE036AF6B292}"/>
    <cellStyle name="Calculation 2 6 4 5" xfId="2589" xr:uid="{CDA1A6FC-0C6F-40C3-A383-7BEB5260F65F}"/>
    <cellStyle name="Calculation 2 6 4 5 2" xfId="5741" xr:uid="{032FCB37-7F25-4BD0-BC5A-66E2CA73EB47}"/>
    <cellStyle name="Calculation 2 6 4 6" xfId="3110" xr:uid="{37BA9C53-E8B6-40D6-9439-050245A9CFDA}"/>
    <cellStyle name="Calculation 2 6 4 6 2" xfId="6262" xr:uid="{7CD5F47C-2BDA-4C27-A2B6-3CA0554EDF69}"/>
    <cellStyle name="Calculation 2 6 4 7" xfId="3910" xr:uid="{831CA25F-E82F-406C-807D-F305972A54E4}"/>
    <cellStyle name="Calculation 2 6 5" xfId="827" xr:uid="{BFD7013D-C0E6-4500-B00C-0E1D64F03380}"/>
    <cellStyle name="Calculation 2 6 5 2" xfId="1426" xr:uid="{F5989731-28DC-4A27-B0BA-56C051797860}"/>
    <cellStyle name="Calculation 2 6 5 2 2" xfId="4578" xr:uid="{1A99E4EE-9762-4211-B3DB-71D406F37E9F}"/>
    <cellStyle name="Calculation 2 6 5 3" xfId="1960" xr:uid="{9B6E8FC7-7BD6-4FB4-A6F7-AFF9304A0048}"/>
    <cellStyle name="Calculation 2 6 5 3 2" xfId="5112" xr:uid="{3DE1E187-825B-4312-8456-3806C7E2F471}"/>
    <cellStyle name="Calculation 2 6 5 4" xfId="2435" xr:uid="{BA842384-5CC0-4FE4-AD7C-662F32981967}"/>
    <cellStyle name="Calculation 2 6 5 4 2" xfId="5587" xr:uid="{79640272-6A4D-4150-8EAB-08CEF19D8D65}"/>
    <cellStyle name="Calculation 2 6 5 5" xfId="2166" xr:uid="{B0A62D80-8555-4A99-BB82-EDBD98E779BC}"/>
    <cellStyle name="Calculation 2 6 5 5 2" xfId="5318" xr:uid="{ADEE680D-5DAB-4F18-93D2-0DEB0042165A}"/>
    <cellStyle name="Calculation 2 6 5 6" xfId="3190" xr:uid="{5CF59AC3-6A96-4B10-B4E2-88321B576D31}"/>
    <cellStyle name="Calculation 2 6 5 6 2" xfId="6342" xr:uid="{2B1AB4EF-AB2D-4CBF-9B50-A85DE9601111}"/>
    <cellStyle name="Calculation 2 6 5 7" xfId="3990" xr:uid="{81E4974C-FF9A-4CF9-AF8E-499C9C0D5EAD}"/>
    <cellStyle name="Calculation 2 6 6" xfId="946" xr:uid="{7016DB7D-E6C8-422E-9D7D-95A221755946}"/>
    <cellStyle name="Calculation 2 6 6 2" xfId="1545" xr:uid="{36CB3A90-8649-46D5-9C6C-260EE6867AC9}"/>
    <cellStyle name="Calculation 2 6 6 2 2" xfId="4697" xr:uid="{7C5AC53D-44EC-489D-8ECA-880DE140FEA2}"/>
    <cellStyle name="Calculation 2 6 6 3" xfId="2079" xr:uid="{0DB9024A-2E6A-43E1-A42A-090686DE3FB3}"/>
    <cellStyle name="Calculation 2 6 6 3 2" xfId="5231" xr:uid="{3005176F-0453-4C3E-BDF6-AABF21ECDA40}"/>
    <cellStyle name="Calculation 2 6 6 4" xfId="2728" xr:uid="{5EC70BDD-24DA-4E56-BECD-A55482871B5A}"/>
    <cellStyle name="Calculation 2 6 6 4 2" xfId="5880" xr:uid="{EF13D518-5265-4269-82DE-E5A9A469DCB6}"/>
    <cellStyle name="Calculation 2 6 6 5" xfId="2896" xr:uid="{8C58F1E3-DF7E-4E1D-A268-410E6847FECE}"/>
    <cellStyle name="Calculation 2 6 6 5 2" xfId="6048" xr:uid="{F3FD86FC-37E0-43A2-B850-3EDC3C25E519}"/>
    <cellStyle name="Calculation 2 6 6 6" xfId="3309" xr:uid="{F20CF74D-3E66-455D-9366-E1FF0AD2380C}"/>
    <cellStyle name="Calculation 2 6 6 7" xfId="4109" xr:uid="{13AAF15E-C08F-4269-B4C9-4F417D5A2A01}"/>
    <cellStyle name="Calculation 2 6 7" xfId="527" xr:uid="{26A7343E-AE70-4CF8-9840-AA3F9721FB2E}"/>
    <cellStyle name="Calculation 2 6 7 2" xfId="3696" xr:uid="{84086474-75F0-42AF-9E68-DE6449F62691}"/>
    <cellStyle name="Calculation 2 6 8" xfId="1125" xr:uid="{35C901CC-ADEF-4646-A173-3E3E3B472F81}"/>
    <cellStyle name="Calculation 2 6 8 2" xfId="4283" xr:uid="{C78067F9-BD27-4A14-AFEB-402D49478014}"/>
    <cellStyle name="Calculation 2 6 9" xfId="1662" xr:uid="{B66E1600-EFA0-45D5-97E8-2860F2872715}"/>
    <cellStyle name="Calculation 2 6 9 2" xfId="4814" xr:uid="{6AB35B3B-9A62-40DF-9C52-C5889EC04BA9}"/>
    <cellStyle name="Calculation 2 7" xfId="57" xr:uid="{0DAE1001-0505-44CC-AA5B-5B387F186FE3}"/>
    <cellStyle name="Calculation 2 7 10" xfId="3390" xr:uid="{D331EEA8-E48B-411A-86F2-6507E83F77B6}"/>
    <cellStyle name="Calculation 2 7 2" xfId="142" xr:uid="{3DD8CE79-249B-4588-AD38-0B778B0563A4}"/>
    <cellStyle name="Calculation 2 7 2 2" xfId="426" xr:uid="{807E5BA7-DC17-41D2-97D4-D8C77655983C}"/>
    <cellStyle name="Calculation 2 7 2 2 2" xfId="625" xr:uid="{4D1C3FF6-5F89-4295-96A4-F06846AC975E}"/>
    <cellStyle name="Calculation 2 7 2 2 2 2" xfId="3788" xr:uid="{2A51DBB0-3DE2-4DBC-808C-5CF25709E9C3}"/>
    <cellStyle name="Calculation 2 7 2 2 3" xfId="1224" xr:uid="{1608E6AB-184B-47CE-818E-CAE1DC968433}"/>
    <cellStyle name="Calculation 2 7 2 2 3 2" xfId="4376" xr:uid="{A3771B46-11EB-492C-9FC2-E0439F611F2C}"/>
    <cellStyle name="Calculation 2 7 2 2 4" xfId="1758" xr:uid="{BEEF323E-F014-4151-BBA9-BC4861566F7C}"/>
    <cellStyle name="Calculation 2 7 2 2 4 2" xfId="4910" xr:uid="{EE441B96-BC47-41DC-9E07-A243AA82EB1A}"/>
    <cellStyle name="Calculation 2 7 2 2 5" xfId="2233" xr:uid="{6872C8C1-3CBB-4AE0-BA44-16EA42842E01}"/>
    <cellStyle name="Calculation 2 7 2 2 5 2" xfId="5385" xr:uid="{B2F3CF8F-8EA8-47D0-846A-39955C23105D}"/>
    <cellStyle name="Calculation 2 7 2 2 6" xfId="2546" xr:uid="{E083520E-266C-4FA4-8676-F92605E58EA1}"/>
    <cellStyle name="Calculation 2 7 2 2 6 2" xfId="5698" xr:uid="{FC932BCA-65FD-47D4-B8E1-4AA3D395B613}"/>
    <cellStyle name="Calculation 2 7 2 2 7" xfId="2988" xr:uid="{B71022BB-A6A5-4B6F-98A6-AFE5EBE811B8}"/>
    <cellStyle name="Calculation 2 7 2 2 7 2" xfId="6140" xr:uid="{74DF86F7-E4BD-4738-AF5C-40D03F8C4995}"/>
    <cellStyle name="Calculation 2 7 2 2 8" xfId="3601" xr:uid="{1C892DA2-3027-4E47-8605-915265E6831C}"/>
    <cellStyle name="Calculation 2 7 2 3" xfId="757" xr:uid="{ABBDC08B-25D0-4779-AF92-28D0755AD7CF}"/>
    <cellStyle name="Calculation 2 7 2 3 2" xfId="1356" xr:uid="{CF824B91-6F56-49A7-889D-794A166C3AFA}"/>
    <cellStyle name="Calculation 2 7 2 3 2 2" xfId="4508" xr:uid="{0932898B-7220-4F26-9BE3-684AF3176187}"/>
    <cellStyle name="Calculation 2 7 2 3 3" xfId="1890" xr:uid="{C3A9A769-D800-4E6C-94F8-8FAD7D0F6F5F}"/>
    <cellStyle name="Calculation 2 7 2 3 3 2" xfId="5042" xr:uid="{1F1351B2-1454-498F-9F37-B41E4F6E3E81}"/>
    <cellStyle name="Calculation 2 7 2 3 4" xfId="2365" xr:uid="{4FE623F7-DC99-4C10-AD60-39B43A26FB6F}"/>
    <cellStyle name="Calculation 2 7 2 3 4 2" xfId="5517" xr:uid="{74CBFB75-1402-439A-9839-61BF2D2620E6}"/>
    <cellStyle name="Calculation 2 7 2 3 5" xfId="1034" xr:uid="{193B69AE-4708-4F63-BBBB-13292BE022D3}"/>
    <cellStyle name="Calculation 2 7 2 3 5 2" xfId="4197" xr:uid="{D9893CB0-4FFC-4138-8C9E-AA2E2F94288D}"/>
    <cellStyle name="Calculation 2 7 2 3 6" xfId="3120" xr:uid="{A495F86B-4328-47EA-A712-AEFCE234E815}"/>
    <cellStyle name="Calculation 2 7 2 3 6 2" xfId="6272" xr:uid="{3AD29D7F-2429-45A8-8834-8C886B4D875C}"/>
    <cellStyle name="Calculation 2 7 2 3 7" xfId="3920" xr:uid="{5FC38394-9787-4B7C-ABEE-93C32C5E7B88}"/>
    <cellStyle name="Calculation 2 7 2 4" xfId="851" xr:uid="{4CDD4E52-82AE-41BA-A6FB-B71CF576DED5}"/>
    <cellStyle name="Calculation 2 7 2 4 2" xfId="1450" xr:uid="{96E2FADD-7933-44FD-B8A8-11563126BE17}"/>
    <cellStyle name="Calculation 2 7 2 4 2 2" xfId="4602" xr:uid="{22B63479-B5EE-450A-9C6B-7D55F07DEF77}"/>
    <cellStyle name="Calculation 2 7 2 4 3" xfId="1984" xr:uid="{A23C5118-8405-4411-BF17-FA7E19BA5492}"/>
    <cellStyle name="Calculation 2 7 2 4 3 2" xfId="5136" xr:uid="{64ACA367-FEA0-4AB7-BB40-0C101BC6503A}"/>
    <cellStyle name="Calculation 2 7 2 4 4" xfId="2459" xr:uid="{D940EED5-33B2-4052-B162-04F3BB34D4C4}"/>
    <cellStyle name="Calculation 2 7 2 4 4 2" xfId="5611" xr:uid="{618658A0-7C01-40DE-8BD2-9E98C6D565B7}"/>
    <cellStyle name="Calculation 2 7 2 4 5" xfId="2801" xr:uid="{1B7D69EC-65E6-4F33-8D33-04179CBE3E18}"/>
    <cellStyle name="Calculation 2 7 2 4 5 2" xfId="5953" xr:uid="{78EA26C7-ADB7-426C-A705-9A93AA807E78}"/>
    <cellStyle name="Calculation 2 7 2 4 6" xfId="3214" xr:uid="{9201A52E-E908-42E5-9055-816FAFD9F4FB}"/>
    <cellStyle name="Calculation 2 7 2 4 6 2" xfId="6366" xr:uid="{8145DFAD-CF0D-4BC1-B5D3-D2A8F6C345B7}"/>
    <cellStyle name="Calculation 2 7 2 4 7" xfId="4014" xr:uid="{488EA9A7-8089-4A35-ACD7-52719AC9660A}"/>
    <cellStyle name="Calculation 2 7 2 5" xfId="970" xr:uid="{A16CCE6B-70CE-412D-9D4C-575498D9CD02}"/>
    <cellStyle name="Calculation 2 7 2 5 2" xfId="1569" xr:uid="{C5CBDCFA-3653-46AE-B5DB-97E9D5945AFF}"/>
    <cellStyle name="Calculation 2 7 2 5 2 2" xfId="4721" xr:uid="{3FAE3946-6EC7-42C7-A3E3-AEF8D29B7397}"/>
    <cellStyle name="Calculation 2 7 2 5 3" xfId="2103" xr:uid="{4B01EFF5-12C0-4FC8-B50A-66BDBF3C0F25}"/>
    <cellStyle name="Calculation 2 7 2 5 3 2" xfId="5255" xr:uid="{03FE6B6A-3D50-4DB9-AD59-D8F764EA4AE6}"/>
    <cellStyle name="Calculation 2 7 2 5 4" xfId="2752" xr:uid="{E92017A8-16A1-4F67-8EF3-1F79D9AD0C93}"/>
    <cellStyle name="Calculation 2 7 2 5 4 2" xfId="5904" xr:uid="{7B506D1B-684A-4C06-BDFA-AFA5967C1216}"/>
    <cellStyle name="Calculation 2 7 2 5 5" xfId="2920" xr:uid="{27E68281-957A-4CC9-8175-ABFA0B765807}"/>
    <cellStyle name="Calculation 2 7 2 5 5 2" xfId="6072" xr:uid="{DED27549-A5AE-4046-AE1C-8521EF87557C}"/>
    <cellStyle name="Calculation 2 7 2 5 6" xfId="3333" xr:uid="{17455DD9-BBB9-4C84-9C4C-67EE64B4B3EA}"/>
    <cellStyle name="Calculation 2 7 2 5 7" xfId="4133" xr:uid="{3B4FE962-BC9D-4FA9-BC0C-D3A239669540}"/>
    <cellStyle name="Calculation 2 7 2 6" xfId="556" xr:uid="{E1B71E34-7AE7-4C13-A09F-044F3967B64D}"/>
    <cellStyle name="Calculation 2 7 2 6 2" xfId="3720" xr:uid="{0AEE265D-C470-4599-A8B5-EB0FBC76744F}"/>
    <cellStyle name="Calculation 2 7 2 7" xfId="1155" xr:uid="{93E9E4C4-D7AD-451C-B8AE-CC3277168F8B}"/>
    <cellStyle name="Calculation 2 7 2 7 2" xfId="4308" xr:uid="{AA933149-7DA7-43C8-B4AF-2DA3950E0D72}"/>
    <cellStyle name="Calculation 2 7 2 8" xfId="1690" xr:uid="{183120B6-920D-4F40-8260-B80FB9BBC632}"/>
    <cellStyle name="Calculation 2 7 2 8 2" xfId="4842" xr:uid="{0F8FE133-E4E4-4BF6-99A3-9576C6EE9EE6}"/>
    <cellStyle name="Calculation 2 7 2 9" xfId="3460" xr:uid="{95896B88-6167-4E30-B869-D30428056641}"/>
    <cellStyle name="Calculation 2 7 3" xfId="365" xr:uid="{F017AA05-303E-4EB3-B7D2-7D9CBDF74CFC}"/>
    <cellStyle name="Calculation 2 7 3 2" xfId="639" xr:uid="{0C14D52C-84BA-428C-BBA1-4B9308E8DCE9}"/>
    <cellStyle name="Calculation 2 7 3 2 2" xfId="3802" xr:uid="{3C9BD517-2859-498A-ABDA-35BA1CD63FB5}"/>
    <cellStyle name="Calculation 2 7 3 3" xfId="1238" xr:uid="{0B36ECA5-8E26-4A1F-93D6-0C8A85985B93}"/>
    <cellStyle name="Calculation 2 7 3 3 2" xfId="4390" xr:uid="{FFA49CB5-3B7A-4320-991E-EC9029B7B297}"/>
    <cellStyle name="Calculation 2 7 3 4" xfId="1772" xr:uid="{DA3D8E45-27D4-4363-88EB-C19EA3F76BF3}"/>
    <cellStyle name="Calculation 2 7 3 4 2" xfId="4924" xr:uid="{A97D70C4-81E9-4268-913E-6AFABC15C197}"/>
    <cellStyle name="Calculation 2 7 3 5" xfId="2247" xr:uid="{589F7992-3901-4104-B4EA-F3008E819F3B}"/>
    <cellStyle name="Calculation 2 7 3 5 2" xfId="5399" xr:uid="{9D565135-673A-41FC-8CDA-739638E0FAE6}"/>
    <cellStyle name="Calculation 2 7 3 6" xfId="2195" xr:uid="{1722EC48-F568-4C5A-B379-923CE4E52F89}"/>
    <cellStyle name="Calculation 2 7 3 6 2" xfId="5347" xr:uid="{8E74386D-2556-45F5-B282-BD010AEB7DB8}"/>
    <cellStyle name="Calculation 2 7 3 7" xfId="3002" xr:uid="{B971FCF6-3691-4A30-B2C1-AFA60EF6AC1D}"/>
    <cellStyle name="Calculation 2 7 3 7 2" xfId="6154" xr:uid="{AA0CDB0D-7903-4D27-866F-37D7E17DA484}"/>
    <cellStyle name="Calculation 2 7 3 8" xfId="3547" xr:uid="{236D8291-301E-4515-AF65-E09A2AE7F1CA}"/>
    <cellStyle name="Calculation 2 7 4" xfId="736" xr:uid="{E3F45924-1A3B-42FA-8050-C6DB029C1258}"/>
    <cellStyle name="Calculation 2 7 4 2" xfId="1335" xr:uid="{FE25DC28-129D-4F24-BEF4-82E4B16B6110}"/>
    <cellStyle name="Calculation 2 7 4 2 2" xfId="4487" xr:uid="{E10FD018-FA1D-4FB5-BB85-C9ADEC4D6D2B}"/>
    <cellStyle name="Calculation 2 7 4 3" xfId="1869" xr:uid="{C381B33A-FA78-4C9D-BE6A-DAB7FF874B36}"/>
    <cellStyle name="Calculation 2 7 4 3 2" xfId="5021" xr:uid="{CEA464A0-95C0-4061-990C-FC372245DD7D}"/>
    <cellStyle name="Calculation 2 7 4 4" xfId="2344" xr:uid="{DE746630-D7BB-4F89-ADB2-6E355BF79BB6}"/>
    <cellStyle name="Calculation 2 7 4 4 2" xfId="5496" xr:uid="{C886C2F3-B9B0-4C2D-81FB-B25428498749}"/>
    <cellStyle name="Calculation 2 7 4 5" xfId="1083" xr:uid="{84C1809C-67CC-47C1-8D3D-81E99CB3B430}"/>
    <cellStyle name="Calculation 2 7 4 5 2" xfId="4244" xr:uid="{5E0149D3-730F-4AD5-B951-DBCB85658F58}"/>
    <cellStyle name="Calculation 2 7 4 6" xfId="3099" xr:uid="{32610176-FE0A-4AA6-9BE5-825F2BDF9AF7}"/>
    <cellStyle name="Calculation 2 7 4 6 2" xfId="6251" xr:uid="{1F40FE13-23D9-42CA-9C3C-19D69F8FA17E}"/>
    <cellStyle name="Calculation 2 7 4 7" xfId="3899" xr:uid="{7023F949-5ECF-42CE-8337-FB446BA8F42A}"/>
    <cellStyle name="Calculation 2 7 5" xfId="797" xr:uid="{DACDB080-11C5-4A23-BE33-3D7156C5060E}"/>
    <cellStyle name="Calculation 2 7 5 2" xfId="1396" xr:uid="{642D3206-0295-455C-9F6E-43F6E7A7BEC0}"/>
    <cellStyle name="Calculation 2 7 5 2 2" xfId="4548" xr:uid="{FE5AEDCE-B35B-4398-AFA9-DBD6EFC9C734}"/>
    <cellStyle name="Calculation 2 7 5 3" xfId="1930" xr:uid="{F2E2CA5D-61EA-4CAA-A843-8EF412A135F3}"/>
    <cellStyle name="Calculation 2 7 5 3 2" xfId="5082" xr:uid="{449C37BB-24C6-46D2-8208-F15E4680E225}"/>
    <cellStyle name="Calculation 2 7 5 4" xfId="2405" xr:uid="{71AC45A6-CE52-4591-B950-536556A67E37}"/>
    <cellStyle name="Calculation 2 7 5 4 2" xfId="5557" xr:uid="{3BDD6106-0EDD-48E9-8D58-3C86BD060EDD}"/>
    <cellStyle name="Calculation 2 7 5 5" xfId="2526" xr:uid="{43B857C2-BDFF-4554-A77D-0723DB531ABD}"/>
    <cellStyle name="Calculation 2 7 5 5 2" xfId="5678" xr:uid="{D7A6C4E6-4C93-4CEA-BE9C-54DDFB012297}"/>
    <cellStyle name="Calculation 2 7 5 6" xfId="3160" xr:uid="{56CC8331-8A78-493B-9CFC-4B3C10FB71BC}"/>
    <cellStyle name="Calculation 2 7 5 6 2" xfId="6312" xr:uid="{D3C71FD6-8D74-4E3D-AEA3-948C5AE56FB7}"/>
    <cellStyle name="Calculation 2 7 5 7" xfId="3960" xr:uid="{C8B11ACA-49E5-4945-A154-1BCAC91C988C}"/>
    <cellStyle name="Calculation 2 7 6" xfId="916" xr:uid="{E8D852A9-A709-4134-8C3B-E8AAD6E3B9A1}"/>
    <cellStyle name="Calculation 2 7 6 2" xfId="1515" xr:uid="{B509F1CA-A358-4615-8F03-A5824284D2D9}"/>
    <cellStyle name="Calculation 2 7 6 2 2" xfId="4667" xr:uid="{5367496E-BCF9-4702-B6CB-B68F41DEB98F}"/>
    <cellStyle name="Calculation 2 7 6 3" xfId="2049" xr:uid="{199E7F26-6A23-4D62-A4C7-E19CFBE1B7BB}"/>
    <cellStyle name="Calculation 2 7 6 3 2" xfId="5201" xr:uid="{C4C8A651-C244-4C10-9920-929268F272A0}"/>
    <cellStyle name="Calculation 2 7 6 4" xfId="2698" xr:uid="{CACCA0B8-B38F-4BDF-9689-994904C17F31}"/>
    <cellStyle name="Calculation 2 7 6 4 2" xfId="5850" xr:uid="{08AFD355-BC15-49B1-9CFD-1ADB655645DF}"/>
    <cellStyle name="Calculation 2 7 6 5" xfId="2866" xr:uid="{7CBA8ED7-7F05-4D95-BB1D-130E179AA043}"/>
    <cellStyle name="Calculation 2 7 6 5 2" xfId="6018" xr:uid="{AC6B094C-F698-428A-B287-AB43FFF6B997}"/>
    <cellStyle name="Calculation 2 7 6 6" xfId="3279" xr:uid="{574B5CF9-E8BC-4D36-B720-555D9F2A527F}"/>
    <cellStyle name="Calculation 2 7 6 7" xfId="4079" xr:uid="{BD0967B1-4B8A-4000-9FAC-F94201E8916B}"/>
    <cellStyle name="Calculation 2 7 7" xfId="496" xr:uid="{EC7C4558-3872-4541-8B57-6B4A215807E6}"/>
    <cellStyle name="Calculation 2 7 7 2" xfId="3666" xr:uid="{DC648963-C001-42AF-BDF9-CE0938794199}"/>
    <cellStyle name="Calculation 2 7 8" xfId="1094" xr:uid="{20928FF4-2186-47D3-BA68-7438188A2915}"/>
    <cellStyle name="Calculation 2 7 8 2" xfId="4253" xr:uid="{3FB15DF6-4A6E-4C5A-808D-B71C0CC67729}"/>
    <cellStyle name="Calculation 2 7 9" xfId="1631" xr:uid="{44C14CE4-776D-4266-B563-D8560A1693F2}"/>
    <cellStyle name="Calculation 2 7 9 2" xfId="4783" xr:uid="{6B1E8CDA-0C7B-4213-B6AC-D7C43E20894C}"/>
    <cellStyle name="Calculation 2 8" xfId="114" xr:uid="{DC944F2E-ADFB-4342-B42C-F4D1ED2B4ED3}"/>
    <cellStyle name="Calculation 2 8 2" xfId="354" xr:uid="{6B5B6573-3E8B-4F1E-A5E4-6BBFDAD26F56}"/>
    <cellStyle name="Calculation 2 8 2 2" xfId="712" xr:uid="{114447C9-A3C6-490A-AAC9-027DAA9C2929}"/>
    <cellStyle name="Calculation 2 8 2 2 2" xfId="3875" xr:uid="{969FF4ED-6798-4D8D-BD21-3C0AD09F7482}"/>
    <cellStyle name="Calculation 2 8 2 3" xfId="1311" xr:uid="{FD914A9F-84F6-481A-9490-C9246458E1E7}"/>
    <cellStyle name="Calculation 2 8 2 3 2" xfId="4463" xr:uid="{234597F9-EBC6-4B7C-A0D4-9E4764A09CBE}"/>
    <cellStyle name="Calculation 2 8 2 4" xfId="1845" xr:uid="{C13D2EB2-2025-45BD-9FF4-3022EAC24FFB}"/>
    <cellStyle name="Calculation 2 8 2 4 2" xfId="4997" xr:uid="{0D8374D5-781E-4739-8DC7-8342E339D9DA}"/>
    <cellStyle name="Calculation 2 8 2 5" xfId="2320" xr:uid="{F1F34548-F7AA-4850-906A-2BB80EC93008}"/>
    <cellStyle name="Calculation 2 8 2 5 2" xfId="5472" xr:uid="{01A3DFDD-C73A-4916-8336-C31750FD77D1}"/>
    <cellStyle name="Calculation 2 8 2 6" xfId="2202" xr:uid="{838250ED-8512-451E-80CD-B77CE1F692DA}"/>
    <cellStyle name="Calculation 2 8 2 6 2" xfId="5354" xr:uid="{719BA937-3D85-43D9-9FD7-18EAEF5F8656}"/>
    <cellStyle name="Calculation 2 8 2 7" xfId="3075" xr:uid="{169C4218-C03E-441E-B751-35C636F366CF}"/>
    <cellStyle name="Calculation 2 8 2 7 2" xfId="6227" xr:uid="{D081DAED-EA3E-40E6-B2EC-B89AA22AA6AE}"/>
    <cellStyle name="Calculation 2 8 2 8" xfId="3540" xr:uid="{6DF6C53B-8723-433D-BF4F-34721713FCB4}"/>
    <cellStyle name="Calculation 2 8 3" xfId="688" xr:uid="{4C9AFA1B-31B6-4FDC-BD0A-8D98BFAEBB95}"/>
    <cellStyle name="Calculation 2 8 3 2" xfId="1287" xr:uid="{0D972452-DB6F-4173-8FF2-CAD340085CC3}"/>
    <cellStyle name="Calculation 2 8 3 2 2" xfId="4439" xr:uid="{B23EF95E-390D-4D52-90F2-75AB67122CD6}"/>
    <cellStyle name="Calculation 2 8 3 3" xfId="1821" xr:uid="{B7C8E225-3E15-4790-826C-1DBB725675DD}"/>
    <cellStyle name="Calculation 2 8 3 3 2" xfId="4973" xr:uid="{B834EE4A-201F-411E-A604-EF1775F9A084}"/>
    <cellStyle name="Calculation 2 8 3 4" xfId="2296" xr:uid="{0C20FEFF-7552-47B4-ACCC-82CF637FD765}"/>
    <cellStyle name="Calculation 2 8 3 4 2" xfId="5448" xr:uid="{39C26E0B-B1B2-41F5-A04D-90399A6CBF7A}"/>
    <cellStyle name="Calculation 2 8 3 5" xfId="2549" xr:uid="{B1301AB1-1DFA-4999-BCB9-F75C255DF79D}"/>
    <cellStyle name="Calculation 2 8 3 5 2" xfId="5701" xr:uid="{31684225-A948-4433-A474-3F24D4356424}"/>
    <cellStyle name="Calculation 2 8 3 6" xfId="3051" xr:uid="{9DFE8AA2-7306-4E32-8B86-38801AA6A7AD}"/>
    <cellStyle name="Calculation 2 8 3 6 2" xfId="6203" xr:uid="{B42F7AC0-A299-4108-BBD5-C1B944BDAAB5}"/>
    <cellStyle name="Calculation 2 8 3 7" xfId="3851" xr:uid="{D098BAF9-5AC5-44FF-A9EF-B73453ED616A}"/>
    <cellStyle name="Calculation 2 8 4" xfId="790" xr:uid="{A984DB6E-68C5-47A9-82B1-151695F6F2F1}"/>
    <cellStyle name="Calculation 2 8 4 2" xfId="1389" xr:uid="{0A2E6E82-A829-4311-A517-585FAA0D4831}"/>
    <cellStyle name="Calculation 2 8 4 2 2" xfId="4541" xr:uid="{710EADD1-5847-4497-92A8-DB4F27EF07AF}"/>
    <cellStyle name="Calculation 2 8 4 3" xfId="1923" xr:uid="{9655BB60-E02B-406A-AF82-6BE3975E184E}"/>
    <cellStyle name="Calculation 2 8 4 3 2" xfId="5075" xr:uid="{ED4D5AFB-19AB-4014-9A6C-A795CF8E284F}"/>
    <cellStyle name="Calculation 2 8 4 4" xfId="2398" xr:uid="{5130B591-6A1E-41A4-89CD-20325B7C5422}"/>
    <cellStyle name="Calculation 2 8 4 4 2" xfId="5550" xr:uid="{657BB0DA-E674-435A-AA55-CE471768F71D}"/>
    <cellStyle name="Calculation 2 8 4 5" xfId="2531" xr:uid="{FFCBCA6C-E130-4EAB-BDDB-4677A09ACE35}"/>
    <cellStyle name="Calculation 2 8 4 5 2" xfId="5683" xr:uid="{DF50D426-4DE9-453A-8D05-20C1EB31C175}"/>
    <cellStyle name="Calculation 2 8 4 6" xfId="3153" xr:uid="{94287CD8-B9E0-472E-AB97-A69F7E5FF3FD}"/>
    <cellStyle name="Calculation 2 8 4 6 2" xfId="6305" xr:uid="{91C06413-54AB-4EF7-AE6E-071DF92C104A}"/>
    <cellStyle name="Calculation 2 8 4 7" xfId="3953" xr:uid="{A4C0F836-ABF8-4126-A870-6FAC2C4E4580}"/>
    <cellStyle name="Calculation 2 8 5" xfId="909" xr:uid="{A86F7CA3-443E-4049-8B92-6720B6ABBDC2}"/>
    <cellStyle name="Calculation 2 8 5 2" xfId="1508" xr:uid="{D7D510C9-B467-413E-BD43-FE30E5061179}"/>
    <cellStyle name="Calculation 2 8 5 2 2" xfId="4660" xr:uid="{620DD5E0-A0F3-41E4-9105-7A49B39F2E49}"/>
    <cellStyle name="Calculation 2 8 5 3" xfId="2042" xr:uid="{A537B21B-AADF-4AE2-AA06-317FEAEFD34A}"/>
    <cellStyle name="Calculation 2 8 5 3 2" xfId="5194" xr:uid="{DC2126AF-2E5F-43A1-9BA1-C50A7A2CB02F}"/>
    <cellStyle name="Calculation 2 8 5 4" xfId="2691" xr:uid="{7842EFB9-3353-42AB-91F4-8488E6A769CA}"/>
    <cellStyle name="Calculation 2 8 5 4 2" xfId="5843" xr:uid="{578403AF-A251-4A46-AAF2-29C03956B4C8}"/>
    <cellStyle name="Calculation 2 8 5 5" xfId="2859" xr:uid="{2D7E7E2B-DAF7-4379-AAE9-98A5E9766571}"/>
    <cellStyle name="Calculation 2 8 5 5 2" xfId="6011" xr:uid="{B76A645E-EF9A-4D9B-BD6D-BB8D1163FCBC}"/>
    <cellStyle name="Calculation 2 8 5 6" xfId="3272" xr:uid="{6C9C7010-0666-4AA7-AC13-20953FD9C940}"/>
    <cellStyle name="Calculation 2 8 5 7" xfId="4072" xr:uid="{1B7AEDFF-5C80-44B4-8522-91DEDB585EF6}"/>
    <cellStyle name="Calculation 2 8 6" xfId="487" xr:uid="{90F7F336-940B-48EB-A5BC-F423BB63777C}"/>
    <cellStyle name="Calculation 2 8 6 2" xfId="3659" xr:uid="{3FAE8C06-712A-439F-B535-8C1AA45060B9}"/>
    <cellStyle name="Calculation 2 8 7" xfId="1085" xr:uid="{D2B04DCE-963C-40C8-BE8F-55631185884E}"/>
    <cellStyle name="Calculation 2 8 7 2" xfId="4246" xr:uid="{E97FA0EB-CEFC-454B-9F30-D2FE94C87836}"/>
    <cellStyle name="Calculation 2 8 8" xfId="1623" xr:uid="{8ABB54E8-555A-4EAD-9EA6-599DB6716AA9}"/>
    <cellStyle name="Calculation 2 8 8 2" xfId="4775" xr:uid="{450BCD27-3BBB-4CBB-98FD-0FA566ACF376}"/>
    <cellStyle name="Calculation 2 8 9" xfId="3437" xr:uid="{83C37597-CC40-4791-ADE5-BF294C5B3C03}"/>
    <cellStyle name="Calculation 2 9" xfId="188" xr:uid="{1E0660D8-1C34-49EC-A1CA-BEDDCF4B3697}"/>
    <cellStyle name="Calculation 2 9 2" xfId="353" xr:uid="{5C0BE4A4-81C4-4B42-B863-DE5534637B19}"/>
    <cellStyle name="Calculation 2 9 2 2" xfId="702" xr:uid="{B4E11F14-64EB-4330-A948-ACA3EF8B958B}"/>
    <cellStyle name="Calculation 2 9 2 2 2" xfId="3865" xr:uid="{0DE25D25-D5FC-4541-808B-EF1612432DBD}"/>
    <cellStyle name="Calculation 2 9 2 3" xfId="1301" xr:uid="{C87946A4-B298-419C-B3F4-8C74ECBF0AEF}"/>
    <cellStyle name="Calculation 2 9 2 3 2" xfId="4453" xr:uid="{3B2DD046-AC7F-40AA-B09F-EEE0E14DE73F}"/>
    <cellStyle name="Calculation 2 9 2 4" xfId="1835" xr:uid="{39D7151F-FB83-4CCB-9501-9EFE395579D3}"/>
    <cellStyle name="Calculation 2 9 2 4 2" xfId="4987" xr:uid="{86C0A8D0-8DF2-4276-8DD1-5079B3669E98}"/>
    <cellStyle name="Calculation 2 9 2 5" xfId="2310" xr:uid="{795BB975-422E-48B4-85D7-ED2A31688BA8}"/>
    <cellStyle name="Calculation 2 9 2 5 2" xfId="5462" xr:uid="{BAE888C8-B4AF-45A3-9A55-132902058BEA}"/>
    <cellStyle name="Calculation 2 9 2 6" xfId="1051" xr:uid="{0A581511-6757-4F4E-A951-7AE2C5F3E154}"/>
    <cellStyle name="Calculation 2 9 2 6 2" xfId="4213" xr:uid="{8D8473E1-183D-4881-BFA2-7391A98D0297}"/>
    <cellStyle name="Calculation 2 9 2 7" xfId="3065" xr:uid="{52D5FCAF-A556-4A43-A8A7-5D6CDAE863F9}"/>
    <cellStyle name="Calculation 2 9 2 7 2" xfId="6217" xr:uid="{8BB5EE8D-8CD2-42B6-8921-0BED4A0341ED}"/>
    <cellStyle name="Calculation 2 9 2 8" xfId="3539" xr:uid="{A70A5CEC-D39F-4DB4-930C-E7ADDCCAD958}"/>
    <cellStyle name="Calculation 2 9 3" xfId="725" xr:uid="{B9E39A4A-D0B8-4756-808C-0A067D4922C6}"/>
    <cellStyle name="Calculation 2 9 3 2" xfId="1324" xr:uid="{34F784DE-3927-4F93-AFC2-BBE5740F1B35}"/>
    <cellStyle name="Calculation 2 9 3 2 2" xfId="4476" xr:uid="{BA417D3B-BC35-4057-B181-D4AC1724BFAF}"/>
    <cellStyle name="Calculation 2 9 3 3" xfId="1858" xr:uid="{B53831A4-1984-42CC-BDB5-9B70BAC037E6}"/>
    <cellStyle name="Calculation 2 9 3 3 2" xfId="5010" xr:uid="{42D2B83E-4D18-49BC-B466-C2F6E1B78831}"/>
    <cellStyle name="Calculation 2 9 3 4" xfId="2333" xr:uid="{37EB849B-DCBE-4DF2-A775-E41413ADB5B0}"/>
    <cellStyle name="Calculation 2 9 3 4 2" xfId="5485" xr:uid="{46AEFD85-B542-4851-A5FF-56B59201F9A4}"/>
    <cellStyle name="Calculation 2 9 3 5" xfId="2604" xr:uid="{679AD647-0E75-4E3A-9593-9C968BCA5772}"/>
    <cellStyle name="Calculation 2 9 3 5 2" xfId="5756" xr:uid="{81B0B981-985C-48DF-98D2-ACBEF9852EDF}"/>
    <cellStyle name="Calculation 2 9 3 6" xfId="3088" xr:uid="{B51A5AD2-A864-403F-8A9C-0CC975276751}"/>
    <cellStyle name="Calculation 2 9 3 6 2" xfId="6240" xr:uid="{531B9E6F-4B39-470A-9A78-B44A19297FDC}"/>
    <cellStyle name="Calculation 2 9 3 7" xfId="3888" xr:uid="{73833FFB-F72E-4FC8-B88A-FF4B77D4618D}"/>
    <cellStyle name="Calculation 2 9 4" xfId="789" xr:uid="{695C1248-2CAE-40D8-9F4A-5C246E70A8C8}"/>
    <cellStyle name="Calculation 2 9 4 2" xfId="1388" xr:uid="{6446EF3B-C920-4A8A-B742-03E36AFCB21E}"/>
    <cellStyle name="Calculation 2 9 4 2 2" xfId="4540" xr:uid="{A82B23F9-490F-4B33-B83B-62DF308FEECB}"/>
    <cellStyle name="Calculation 2 9 4 3" xfId="1922" xr:uid="{2C79A0C1-8EEC-42FA-84C6-E19E12561084}"/>
    <cellStyle name="Calculation 2 9 4 3 2" xfId="5074" xr:uid="{B87843A0-F053-4822-9099-6BD04A317B50}"/>
    <cellStyle name="Calculation 2 9 4 4" xfId="2397" xr:uid="{67240DB3-7752-4BB4-98F9-BC76C7A6D8B7}"/>
    <cellStyle name="Calculation 2 9 4 4 2" xfId="5549" xr:uid="{20C0A544-EF7D-49AD-B971-C6F0D9B21854}"/>
    <cellStyle name="Calculation 2 9 4 5" xfId="2606" xr:uid="{D27FD567-BB9A-482C-925D-E6BD901E4681}"/>
    <cellStyle name="Calculation 2 9 4 5 2" xfId="5758" xr:uid="{DF569E91-FC72-4424-B5DE-C41FCB2E1285}"/>
    <cellStyle name="Calculation 2 9 4 6" xfId="3152" xr:uid="{C92A7C6B-DD1D-491B-8605-B3DCADF181A0}"/>
    <cellStyle name="Calculation 2 9 4 6 2" xfId="6304" xr:uid="{1645B9EE-7FFA-4758-B32F-7F3C4B902869}"/>
    <cellStyle name="Calculation 2 9 4 7" xfId="3952" xr:uid="{2C85AE56-D2DA-4089-871F-52DEE16A2F4F}"/>
    <cellStyle name="Calculation 2 9 5" xfId="908" xr:uid="{86C813FE-EC7E-49D7-8C0B-69000D7C508D}"/>
    <cellStyle name="Calculation 2 9 5 2" xfId="1507" xr:uid="{11F794DB-33F3-41C4-8B3D-976F58BF2A96}"/>
    <cellStyle name="Calculation 2 9 5 2 2" xfId="4659" xr:uid="{03652967-C1D2-45BF-9041-7E2E6D8DEFBF}"/>
    <cellStyle name="Calculation 2 9 5 3" xfId="2041" xr:uid="{5C807CDD-6DC8-4524-9018-1356E2DC3428}"/>
    <cellStyle name="Calculation 2 9 5 3 2" xfId="5193" xr:uid="{75B16093-E3E3-4EB4-809F-3637ECBD69B2}"/>
    <cellStyle name="Calculation 2 9 5 4" xfId="2690" xr:uid="{CD4BCE31-20AB-48CE-82D8-377A5E6AD1D1}"/>
    <cellStyle name="Calculation 2 9 5 4 2" xfId="5842" xr:uid="{6E4F09B3-92C4-4B35-8679-D192A2799161}"/>
    <cellStyle name="Calculation 2 9 5 5" xfId="2858" xr:uid="{D0B2A2F3-1AF6-4014-8E29-BC91C64FA5F8}"/>
    <cellStyle name="Calculation 2 9 5 5 2" xfId="6010" xr:uid="{BAAE4590-A207-4603-ADC4-9185BBAAEC90}"/>
    <cellStyle name="Calculation 2 9 5 6" xfId="3271" xr:uid="{C815184C-92BF-4532-884E-A15040447C88}"/>
    <cellStyle name="Calculation 2 9 5 7" xfId="4071" xr:uid="{CC011E67-D6EF-4B4B-8B33-EFC6DD742408}"/>
    <cellStyle name="Calculation 2 9 6" xfId="486" xr:uid="{3C59EBD5-EF70-48AA-BFDD-5A2C3BA6B583}"/>
    <cellStyle name="Calculation 2 9 6 2" xfId="3658" xr:uid="{E9D588B8-F21B-462E-B4B6-0F821B529296}"/>
    <cellStyle name="Calculation 2 9 7" xfId="1084" xr:uid="{2BB8553E-0B5C-437F-8CB5-D7B5D5D371B3}"/>
    <cellStyle name="Calculation 2 9 7 2" xfId="4245" xr:uid="{53572129-C275-4092-91BE-501B8453D5FE}"/>
    <cellStyle name="Calculation 2 9 8" xfId="1622" xr:uid="{45F86FE1-766A-423D-90C3-46C50DC6E312}"/>
    <cellStyle name="Calculation 2 9 8 2" xfId="4774" xr:uid="{EBBF15B0-7FF2-431F-826E-CCCDD7AF4A39}"/>
    <cellStyle name="Calculation 2 9 9" xfId="3504" xr:uid="{2C7B89A0-0A95-4475-942A-5D250E6417CF}"/>
    <cellStyle name="Check Cell 2" xfId="31" xr:uid="{42F6D48A-7396-482B-B4CC-F5FD94468564}"/>
    <cellStyle name="Check Cell 2 2" xfId="79" xr:uid="{C99F2E83-F9B7-49C7-9EB6-50AF810CFC98}"/>
    <cellStyle name="Check Cell 2 2 2" xfId="345" xr:uid="{F2B8A759-B26E-4146-92FD-86E9319387F9}"/>
    <cellStyle name="Check Cell 2 2 3" xfId="254" xr:uid="{D28A7025-5108-46FD-B325-BEB53943D6A2}"/>
    <cellStyle name="Check Cell 2 3" xfId="322" xr:uid="{5054DA51-153A-46B9-9BC2-70EFFBDFBF9E}"/>
    <cellStyle name="Check Cell 2 4" xfId="253" xr:uid="{674B7F59-5A89-4FDE-B211-07D1A0AAAE7B}"/>
    <cellStyle name="Comma 2" xfId="51" xr:uid="{BD295F0F-6815-4563-909B-0B6737F08D1D}"/>
    <cellStyle name="Comma 2 10" xfId="255" xr:uid="{3CAFBFD4-9346-42A0-B289-AA5A35713EFA}"/>
    <cellStyle name="Comma 2 11" xfId="3380" xr:uid="{82B08BB3-DF88-40D9-B4C7-127596CCE274}"/>
    <cellStyle name="Comma 2 2" xfId="77" xr:uid="{80BBBA31-B812-4723-A9D2-E9C08A9FD52A}"/>
    <cellStyle name="Comma 2 2 2" xfId="110" xr:uid="{0C3574FB-F620-4175-9DF7-80D056668C83}"/>
    <cellStyle name="Comma 2 2 2 2" xfId="190" xr:uid="{5DF8A7DB-04B7-49BE-88EB-FD3BE818CF3C}"/>
    <cellStyle name="Comma 2 2 2 3" xfId="416" xr:uid="{FE7F12C1-AC0B-474F-A4D0-5A294B7DC839}"/>
    <cellStyle name="Comma 2 2 2 4" xfId="546" xr:uid="{6E1D91D3-5760-4971-827B-90D3BB3330A8}"/>
    <cellStyle name="Comma 2 2 2 5" xfId="1145" xr:uid="{6E9D0851-0701-4852-9975-20F2CD08D210}"/>
    <cellStyle name="Comma 2 2 3" xfId="162" xr:uid="{5B62B801-DDD0-4C3C-B616-00305515E300}"/>
    <cellStyle name="Comma 2 2 3 2" xfId="385" xr:uid="{DB781FBE-30D0-4A95-8F38-BE23D7F661A2}"/>
    <cellStyle name="Comma 2 2 3 3" xfId="516" xr:uid="{20C27B15-29E1-4EBF-96DB-E4A16D3C4166}"/>
    <cellStyle name="Comma 2 2 3 4" xfId="1114" xr:uid="{88DCC9C1-4D38-4D4F-928A-0C32E5E913BF}"/>
    <cellStyle name="Comma 2 2 4" xfId="256" xr:uid="{2938D803-9978-44F9-B44C-307823EA562E}"/>
    <cellStyle name="Comma 2 3" xfId="111" xr:uid="{EB0CB762-84A7-4459-8A90-1AB627C6A23B}"/>
    <cellStyle name="Comma 2 3 2" xfId="191" xr:uid="{7EED7A0C-5C39-43A6-AAFA-8B51D2749152}"/>
    <cellStyle name="Comma 2 3 2 2" xfId="417" xr:uid="{11ABDB34-A189-4C4B-AA58-01F0842485CF}"/>
    <cellStyle name="Comma 2 3 2 3" xfId="547" xr:uid="{797D139F-ABE7-4865-A7F7-29429477E5D8}"/>
    <cellStyle name="Comma 2 3 2 4" xfId="1146" xr:uid="{EF90F592-EC0C-474D-9D85-9E23C1729B9F}"/>
    <cellStyle name="Comma 2 3 3" xfId="342" xr:uid="{97E9B216-EAF3-4AAF-96C9-DE6DCB8C573E}"/>
    <cellStyle name="Comma 2 3 4" xfId="480" xr:uid="{2A31E8D2-C6E2-4A22-8D93-19078D4B63FA}"/>
    <cellStyle name="Comma 2 3 5" xfId="1075" xr:uid="{27462619-EEE7-4542-9BFE-DAD35601F7FB}"/>
    <cellStyle name="Comma 2 4" xfId="109" xr:uid="{57FD4A73-9B66-4702-95D5-B485CA44B6D0}"/>
    <cellStyle name="Comma 2 4 2" xfId="189" xr:uid="{422B59DB-09A6-4008-B1BC-AFE7855429A3}"/>
    <cellStyle name="Comma 2 4 3" xfId="415" xr:uid="{941031AB-A65C-49FC-AA49-E56ACFA81B3C}"/>
    <cellStyle name="Comma 2 4 4" xfId="545" xr:uid="{97A16487-8155-4688-831E-6C29E9F31455}"/>
    <cellStyle name="Comma 2 4 5" xfId="1144" xr:uid="{30489414-8F72-48ED-9700-F5695A8AAD75}"/>
    <cellStyle name="Comma 2 5" xfId="107" xr:uid="{E195B643-761F-4FBB-BDF7-2FC8177D44F4}"/>
    <cellStyle name="Comma 2 5 2" xfId="187" xr:uid="{55CA46B1-B468-4CC3-8A55-0E5D4C80F32B}"/>
    <cellStyle name="Comma 2 5 3" xfId="414" xr:uid="{A3E6E308-D82A-4517-B137-1532F908B850}"/>
    <cellStyle name="Comma 2 5 4" xfId="544" xr:uid="{D6286058-17BB-4CB8-BD92-396E8A37AD62}"/>
    <cellStyle name="Comma 2 5 5" xfId="1142" xr:uid="{546069AD-6D51-4CB7-AC62-BA70F67029EA}"/>
    <cellStyle name="Comma 2 6" xfId="119" xr:uid="{2AFD4E21-907C-49FF-B6BC-98DF555581D2}"/>
    <cellStyle name="Comma 2 6 2" xfId="196" xr:uid="{385CFB91-34F3-46CD-A3C9-89A6DDA0979B}"/>
    <cellStyle name="Comma 2 6 3" xfId="359" xr:uid="{31CB891A-791B-4D3B-9E48-0F0BA2FFA098}"/>
    <cellStyle name="Comma 2 6 4" xfId="491" xr:uid="{6441F0D9-3180-43E6-9919-07C0905C984E}"/>
    <cellStyle name="Comma 2 6 5" xfId="1089" xr:uid="{5F6C7D8C-2FA9-4514-9906-914CF8E1EC5A}"/>
    <cellStyle name="Comma 2 7" xfId="137" xr:uid="{8CE18A10-F5A5-4AC3-A229-57A025FA22C5}"/>
    <cellStyle name="Comma 2 8" xfId="205" xr:uid="{301AB705-F301-4806-A36B-64FD0D78EA86}"/>
    <cellStyle name="Comma 2 9" xfId="217" xr:uid="{C83F86FC-8F0E-4B78-BE09-18DB6EE9BCC4}"/>
    <cellStyle name="Comma 3" xfId="55" xr:uid="{F18AC55D-8ED0-4ADF-8D0B-86C42FC3E41D}"/>
    <cellStyle name="Comma 3 2" xfId="113" xr:uid="{8587756A-C85B-4076-9042-A108C8E724BB}"/>
    <cellStyle name="Comma 3 2 2" xfId="193" xr:uid="{73F33733-C9EA-4F5D-B80C-3A051E9688E1}"/>
    <cellStyle name="Comma 3 2 3" xfId="294" xr:uid="{C89D8ACB-6226-4EB1-B221-47C4551CE3B4}"/>
    <cellStyle name="Comma 3 2 4" xfId="474" xr:uid="{D0FC7384-CF9E-4779-8D5F-6FC760E56DB4}"/>
    <cellStyle name="Comma 3 2 5" xfId="1050" xr:uid="{F17B4C89-A584-468B-A8AC-F160ED6DB91A}"/>
    <cellStyle name="Comma 3 3" xfId="140" xr:uid="{DA5FFF6C-51C4-438A-A455-DD5524B5C42A}"/>
    <cellStyle name="Comma 3 3 2" xfId="363" xr:uid="{120E843C-FB87-4852-A9A2-B51F82F4419C}"/>
    <cellStyle name="Comma 3 3 3" xfId="494" xr:uid="{FA0CDB83-C724-4DB3-8996-8AA16FEEBF62}"/>
    <cellStyle name="Comma 3 3 4" xfId="1092" xr:uid="{668DA8C6-0BF9-480F-A929-3E9B90BC1C46}"/>
    <cellStyle name="Comma 3 4" xfId="199" xr:uid="{BC838818-8A8B-4830-9E80-9AE91A85F38D}"/>
    <cellStyle name="Comma 3 5" xfId="211" xr:uid="{679387A6-8208-485D-B56D-376E57BE5431}"/>
    <cellStyle name="Comma 3 6" xfId="257" xr:uid="{DBEBD97D-3860-4F56-9B71-EA9A297F0BE5}"/>
    <cellStyle name="Comma 4" xfId="224" xr:uid="{D1CE7958-3DB5-4A54-A703-B87DB31E0C12}"/>
    <cellStyle name="Currency" xfId="6413" builtinId="4"/>
    <cellStyle name="Currency 2" xfId="47" xr:uid="{93913510-2DAB-4431-8D6D-3FF49199C2A9}"/>
    <cellStyle name="Currency 2 2" xfId="112" xr:uid="{20E21186-744C-446D-9878-8AD7E7765457}"/>
    <cellStyle name="Currency 2 2 2" xfId="192" xr:uid="{F93DF02C-BD13-4DC2-95BA-CC6FDB17D94E}"/>
    <cellStyle name="Currency 2 2 2 2" xfId="418" xr:uid="{44E624EA-91CF-415D-8A4A-5FB61373DE0C}"/>
    <cellStyle name="Currency 2 2 2 3" xfId="548" xr:uid="{8BABCEB3-664C-446E-BA8F-C485F0E6A0F6}"/>
    <cellStyle name="Currency 2 2 2 4" xfId="1147" xr:uid="{9DF945EC-C17E-47D7-9AEB-20218D2D5268}"/>
    <cellStyle name="Currency 2 2 3" xfId="338" xr:uid="{A10DCA3F-EC34-4FA1-BF53-3F7A5FE16E41}"/>
    <cellStyle name="Currency 2 3" xfId="126" xr:uid="{A826BB3D-CC3D-49E1-937D-3CFAAFECC00F}"/>
    <cellStyle name="Currency 2 4" xfId="258" xr:uid="{6D46EE9C-6D5B-4262-BDA3-00F0582011C0}"/>
    <cellStyle name="Currency 3" xfId="108" xr:uid="{285983A0-4ABE-4546-BD9D-5F965E8DC84E}"/>
    <cellStyle name="Currency 4" xfId="473" xr:uid="{0B5843CC-3176-45B7-8E8E-566EC7749DCF}"/>
    <cellStyle name="Currency 4 2" xfId="603" xr:uid="{7AA94002-24A9-40B6-BE12-D357D0F486DC}"/>
    <cellStyle name="Currency 4 3" xfId="1202" xr:uid="{53B46430-736E-4F7A-AF1D-4C85B5FAB4EC}"/>
    <cellStyle name="Explanatory Text 2" xfId="32" xr:uid="{0D8EE9FA-EA6E-48D6-ABB3-59BB808FAF54}"/>
    <cellStyle name="Explanatory Text 2 2" xfId="323" xr:uid="{F0620E8B-3312-4E88-A579-DB0A283757E9}"/>
    <cellStyle name="Explanatory Text 2 3" xfId="259" xr:uid="{9102173C-5295-4DC0-A0DF-163238C1B9BE}"/>
    <cellStyle name="Good 2" xfId="33" xr:uid="{C530B838-D7D4-47E9-AB0C-BAAD6662FA04}"/>
    <cellStyle name="Good 2 2" xfId="324" xr:uid="{FD4F8B83-4A4D-4C7F-A307-4634A0D70A1B}"/>
    <cellStyle name="Good 2 3" xfId="260" xr:uid="{CF99818D-60F7-4496-BEB1-0B74365D0DF0}"/>
    <cellStyle name="Heading 1 2" xfId="34" xr:uid="{DDD7DC21-C366-4CF6-BBA0-E9B19031E840}"/>
    <cellStyle name="Heading 1 2 2" xfId="325" xr:uid="{2D8C2FBB-4E3E-485E-9931-7F5419305DB8}"/>
    <cellStyle name="Heading 1 2 3" xfId="261" xr:uid="{C5E611AF-E011-4857-A628-332134881757}"/>
    <cellStyle name="Heading 2 2" xfId="35" xr:uid="{D13FFACA-3DC6-451F-A2B9-CCB781F62820}"/>
    <cellStyle name="Heading 2 2 2" xfId="326" xr:uid="{7635830C-6647-474F-9623-20FBFA0D8B5E}"/>
    <cellStyle name="Heading 2 2 3" xfId="262" xr:uid="{B0EA7AAA-57C8-4745-BBD0-85673775A42A}"/>
    <cellStyle name="Heading 3 2" xfId="36" xr:uid="{235B5BDB-2056-406F-8BB7-6E198FC882BA}"/>
    <cellStyle name="Heading 3 2 2" xfId="327" xr:uid="{22EC2DAA-562C-42FF-9E79-E78C7B691EE4}"/>
    <cellStyle name="Heading 3 2 3" xfId="263" xr:uid="{CF4C234E-956E-4353-BAA4-1A88854E5486}"/>
    <cellStyle name="Heading 4 2" xfId="37" xr:uid="{779ECC01-3AE1-4643-B577-D781C94AFECA}"/>
    <cellStyle name="Heading 4 2 2" xfId="328" xr:uid="{049CF4BF-778B-4BFE-9BE0-972B94E8C7B7}"/>
    <cellStyle name="Heading 4 2 3" xfId="264" xr:uid="{35C6D2E2-2156-4C42-950D-DE92D35353CE}"/>
    <cellStyle name="Hyperlink" xfId="3" builtinId="8"/>
    <cellStyle name="Hyperlink 2" xfId="38" xr:uid="{57BC6AC1-C326-4AA8-BBFB-3DFFFE23BA07}"/>
    <cellStyle name="Hyperlink 2 2" xfId="329" xr:uid="{BECF0A8B-605E-4E19-B5E7-642AF174C798}"/>
    <cellStyle name="Hyperlink 2 3" xfId="265" xr:uid="{7089FF59-0EB3-4F8A-A67D-68323AE363D3}"/>
    <cellStyle name="Hyperlink 3" xfId="266" xr:uid="{418432E9-6371-4495-8E08-D4C7D22BE1C1}"/>
    <cellStyle name="Hyperlink 4" xfId="352" xr:uid="{8D51CEF5-459E-4C71-BA1B-72243085455C}"/>
    <cellStyle name="Hyperlink 5" xfId="225" xr:uid="{CBE1008C-D6B4-45B9-A49B-64D7C5E223DA}"/>
    <cellStyle name="Input 2" xfId="39" xr:uid="{5C58F388-B8B7-458C-8C41-0272EB72C4D7}"/>
    <cellStyle name="Input 2 10" xfId="201" xr:uid="{AAE8D659-3602-453B-9113-96B2BAA3FBD8}"/>
    <cellStyle name="Input 2 10 2" xfId="3510" xr:uid="{64AF7A5B-5022-43AE-A7EE-C681412E56D8}"/>
    <cellStyle name="Input 2 11" xfId="213" xr:uid="{ACC952E5-0926-473A-B3B9-1FEC1D1FB90B}"/>
    <cellStyle name="Input 2 11 2" xfId="3520" xr:uid="{93E73AEE-6EAA-4D61-9B6E-C95282725DD0}"/>
    <cellStyle name="Input 2 12" xfId="267" xr:uid="{F6B120E2-ABBF-400A-B526-987F834B2292}"/>
    <cellStyle name="Input 2 13" xfId="3383" xr:uid="{109CF074-2CD7-4518-BC17-F62EDE2C3A2A}"/>
    <cellStyle name="Input 2 2" xfId="80" xr:uid="{2EE61198-D1A9-4FCF-88F5-3F33C81F95A2}"/>
    <cellStyle name="Input 2 2 10" xfId="268" xr:uid="{859A7796-530A-42F4-A7E5-42D14B41A9CF}"/>
    <cellStyle name="Input 2 2 11" xfId="3411" xr:uid="{E4E29F6F-BC40-4BE8-B373-7611AE835547}"/>
    <cellStyle name="Input 2 2 2" xfId="53" xr:uid="{56DE2989-A82B-4335-A25B-737E3299A0AF}"/>
    <cellStyle name="Input 2 2 2 10" xfId="482" xr:uid="{2649EFDD-9A7D-403D-86CF-35121BD56B48}"/>
    <cellStyle name="Input 2 2 2 10 2" xfId="3654" xr:uid="{2BC1F25D-9E8E-42B3-8100-53A495A72AA4}"/>
    <cellStyle name="Input 2 2 2 11" xfId="1079" xr:uid="{33F4B299-5E70-4657-8084-3BC2CD6FFA03}"/>
    <cellStyle name="Input 2 2 2 11 2" xfId="4240" xr:uid="{13AA299A-7655-43DF-9781-4E9EFCA6588C}"/>
    <cellStyle name="Input 2 2 2 12" xfId="1618" xr:uid="{7D90FDDF-5E32-43AB-8C9F-CE79CDFB81C4}"/>
    <cellStyle name="Input 2 2 2 12 2" xfId="4770" xr:uid="{A8DA6EF8-31AD-4477-B86A-58BB838CCE8E}"/>
    <cellStyle name="Input 2 2 2 13" xfId="3387" xr:uid="{C6292748-2128-4871-85E0-159D52456B7D}"/>
    <cellStyle name="Input 2 2 2 2" xfId="138" xr:uid="{CBC3F245-6303-4600-8E49-709314022D83}"/>
    <cellStyle name="Input 2 2 2 2 2" xfId="361" xr:uid="{E44060DC-DCC5-497D-918A-FD07B5050354}"/>
    <cellStyle name="Input 2 2 2 2 2 2" xfId="640" xr:uid="{D00968F3-CF86-4483-9A4D-43BADCD89B3F}"/>
    <cellStyle name="Input 2 2 2 2 2 2 2" xfId="3803" xr:uid="{980A5DCE-AC2D-491C-BAFE-290619F29EC1}"/>
    <cellStyle name="Input 2 2 2 2 2 3" xfId="1239" xr:uid="{2BA9B431-B986-4AD4-AEF9-C02414C3C8D2}"/>
    <cellStyle name="Input 2 2 2 2 2 3 2" xfId="4391" xr:uid="{C602B10F-5339-4E14-A441-1500AB9BE445}"/>
    <cellStyle name="Input 2 2 2 2 2 4" xfId="1773" xr:uid="{B3D142C8-E0FC-4CCD-A90F-56D22CB124B5}"/>
    <cellStyle name="Input 2 2 2 2 2 4 2" xfId="4925" xr:uid="{A2A895B9-1B7D-4F3F-9307-516F21FB9A4C}"/>
    <cellStyle name="Input 2 2 2 2 2 5" xfId="2248" xr:uid="{512B0513-13C4-45F7-A77C-D327127C4A88}"/>
    <cellStyle name="Input 2 2 2 2 2 5 2" xfId="5400" xr:uid="{B713E064-8F43-43E1-B549-A2BF28CD951E}"/>
    <cellStyle name="Input 2 2 2 2 2 6" xfId="1031" xr:uid="{C5A829E5-260D-4851-ACC4-296E545E2A60}"/>
    <cellStyle name="Input 2 2 2 2 2 6 2" xfId="4194" xr:uid="{60B87084-EE37-4188-B293-F6FE111F7CE4}"/>
    <cellStyle name="Input 2 2 2 2 2 7" xfId="3003" xr:uid="{3277008A-0D97-4C5B-A5B2-20E792134975}"/>
    <cellStyle name="Input 2 2 2 2 2 7 2" xfId="6155" xr:uid="{DD1FE83F-EC2B-4321-863C-FE42BD16E74B}"/>
    <cellStyle name="Input 2 2 2 2 2 8" xfId="3544" xr:uid="{177D1261-15D4-4386-B813-00C9AE93EAB2}"/>
    <cellStyle name="Input 2 2 2 2 3" xfId="734" xr:uid="{BA8122DE-94BB-448D-B08A-1E79D5DA4068}"/>
    <cellStyle name="Input 2 2 2 2 3 2" xfId="1333" xr:uid="{5935622D-FD88-4D81-9E93-A0DBB50C578B}"/>
    <cellStyle name="Input 2 2 2 2 3 2 2" xfId="4485" xr:uid="{405A0222-D643-4205-BAF2-820E0AFCFF84}"/>
    <cellStyle name="Input 2 2 2 2 3 3" xfId="1867" xr:uid="{5F945244-82DB-4704-8F2A-5C87EBB8E9A5}"/>
    <cellStyle name="Input 2 2 2 2 3 3 2" xfId="5019" xr:uid="{4F9F2104-C97D-4FC0-9E9F-7D8FBE30DCE8}"/>
    <cellStyle name="Input 2 2 2 2 3 4" xfId="2342" xr:uid="{FEA9C15F-A7B1-4765-9ABA-5B639E64770A}"/>
    <cellStyle name="Input 2 2 2 2 3 4 2" xfId="5494" xr:uid="{B79369DE-E34C-4370-AEDF-D5371215B010}"/>
    <cellStyle name="Input 2 2 2 2 3 5" xfId="2181" xr:uid="{0F3307EA-2F0A-4DBD-9049-AAA13AB53086}"/>
    <cellStyle name="Input 2 2 2 2 3 5 2" xfId="5333" xr:uid="{77AC3478-D2CB-47AC-B55C-725E6AB32062}"/>
    <cellStyle name="Input 2 2 2 2 3 6" xfId="3097" xr:uid="{21BB06DA-779A-4974-A755-323DD4239AEC}"/>
    <cellStyle name="Input 2 2 2 2 3 6 2" xfId="6249" xr:uid="{C3F990A7-9AE9-4C68-B817-6708EEEB6783}"/>
    <cellStyle name="Input 2 2 2 2 3 7" xfId="3897" xr:uid="{AEFB296E-DAA5-4ACD-9EE1-837E6B222371}"/>
    <cellStyle name="Input 2 2 2 2 4" xfId="794" xr:uid="{C32C1AAE-5119-4ED4-8C32-73C95A7F6854}"/>
    <cellStyle name="Input 2 2 2 2 4 2" xfId="1393" xr:uid="{4CF4E244-4B2C-4601-A114-76C85C0CD133}"/>
    <cellStyle name="Input 2 2 2 2 4 2 2" xfId="4545" xr:uid="{E846ECB5-4E69-43A5-B2A0-16A1AB2AF50D}"/>
    <cellStyle name="Input 2 2 2 2 4 3" xfId="1927" xr:uid="{B3AEDA27-46A6-42D0-A624-6A6C9E3A9420}"/>
    <cellStyle name="Input 2 2 2 2 4 3 2" xfId="5079" xr:uid="{B447E164-A656-450D-88C1-2E3C99DA89AD}"/>
    <cellStyle name="Input 2 2 2 2 4 4" xfId="2402" xr:uid="{4CE02154-BB35-4571-B77D-4AA6503F2AB3}"/>
    <cellStyle name="Input 2 2 2 2 4 4 2" xfId="5554" xr:uid="{AEC3C225-8260-43C5-81FB-FD981BED16D8}"/>
    <cellStyle name="Input 2 2 2 2 4 5" xfId="1029" xr:uid="{800DF041-79D0-4908-BBBD-33CDC2C6D0C0}"/>
    <cellStyle name="Input 2 2 2 2 4 5 2" xfId="4192" xr:uid="{8BEADA0C-EC35-4B8E-8D22-981E8164A8C6}"/>
    <cellStyle name="Input 2 2 2 2 4 6" xfId="3157" xr:uid="{40615114-8FE8-4303-A4E7-66CC7E9EE557}"/>
    <cellStyle name="Input 2 2 2 2 4 6 2" xfId="6309" xr:uid="{B2D8A3BD-A6A0-40BE-B4F0-3DBEB93F19FF}"/>
    <cellStyle name="Input 2 2 2 2 4 7" xfId="3957" xr:uid="{1847C921-77BF-4D3B-BFD5-D5536714C131}"/>
    <cellStyle name="Input 2 2 2 2 5" xfId="913" xr:uid="{5C81B842-2110-47C8-AE71-FA37284C63FA}"/>
    <cellStyle name="Input 2 2 2 2 5 2" xfId="1512" xr:uid="{D81DA6B8-7303-4626-BB50-6A12E6D32DFD}"/>
    <cellStyle name="Input 2 2 2 2 5 2 2" xfId="4664" xr:uid="{AF39459A-9AD2-4459-9FD8-93ECEC5D0D38}"/>
    <cellStyle name="Input 2 2 2 2 5 3" xfId="2046" xr:uid="{A395DC29-D31B-409A-B267-616E2DB59B96}"/>
    <cellStyle name="Input 2 2 2 2 5 3 2" xfId="5198" xr:uid="{3E7A0800-3DC3-461B-9076-B18A7C11282B}"/>
    <cellStyle name="Input 2 2 2 2 5 4" xfId="2695" xr:uid="{13A7BEC4-4ED0-40A3-A8E5-595F6104D38A}"/>
    <cellStyle name="Input 2 2 2 2 5 4 2" xfId="5847" xr:uid="{14AA8B26-80B3-4BB0-A276-42297FF509E3}"/>
    <cellStyle name="Input 2 2 2 2 5 5" xfId="2863" xr:uid="{E71272B5-7E4E-4263-AE1C-74093265026D}"/>
    <cellStyle name="Input 2 2 2 2 5 5 2" xfId="6015" xr:uid="{6757346C-9B18-479F-BB19-F593C8135D4F}"/>
    <cellStyle name="Input 2 2 2 2 5 6" xfId="3276" xr:uid="{04E6CC5F-1E1C-476F-BF52-1A21D6F2B4F3}"/>
    <cellStyle name="Input 2 2 2 2 5 7" xfId="4076" xr:uid="{D13476FC-D5B5-4BF7-93FB-A1C337E960DF}"/>
    <cellStyle name="Input 2 2 2 2 6" xfId="492" xr:uid="{7CECE604-2B70-44A3-8470-46BF390095D7}"/>
    <cellStyle name="Input 2 2 2 2 6 2" xfId="3663" xr:uid="{07AAE329-6269-4BC3-8E2E-88E7420DF06F}"/>
    <cellStyle name="Input 2 2 2 2 7" xfId="1090" xr:uid="{8B8E92FC-0A07-4C6B-A98C-102E7736C14B}"/>
    <cellStyle name="Input 2 2 2 2 7 2" xfId="4250" xr:uid="{7B72A799-2C7D-405C-AC68-29FC28B787BB}"/>
    <cellStyle name="Input 2 2 2 2 8" xfId="1628" xr:uid="{3A476FFE-6A05-4019-A205-D95D75ED84D9}"/>
    <cellStyle name="Input 2 2 2 2 8 2" xfId="4780" xr:uid="{2F879B04-385F-40BB-931C-BF3A92C8EF50}"/>
    <cellStyle name="Input 2 2 2 2 9" xfId="3457" xr:uid="{59317BE7-C70F-4653-850B-A7BC2A863FB3}"/>
    <cellStyle name="Input 2 2 2 3" xfId="423" xr:uid="{813D812B-D4E0-4B7B-BD6D-60D13389225F}"/>
    <cellStyle name="Input 2 2 2 3 2" xfId="668" xr:uid="{331F0E33-1E8D-4173-AAA5-83C609CD96E1}"/>
    <cellStyle name="Input 2 2 2 3 2 2" xfId="1267" xr:uid="{E7A8550D-48A8-4649-A7FF-DD4615A72680}"/>
    <cellStyle name="Input 2 2 2 3 2 2 2" xfId="4419" xr:uid="{A552A137-0FDE-4DD3-BA43-F2835471CF46}"/>
    <cellStyle name="Input 2 2 2 3 2 3" xfId="1801" xr:uid="{35A078D7-B0A3-47D2-B189-75A89169E918}"/>
    <cellStyle name="Input 2 2 2 3 2 3 2" xfId="4953" xr:uid="{69C24B9F-055B-40F0-B1A4-F05BC8529556}"/>
    <cellStyle name="Input 2 2 2 3 2 4" xfId="2276" xr:uid="{3FE0A333-FC57-4745-BDAC-CB70AC5C2DD7}"/>
    <cellStyle name="Input 2 2 2 3 2 4 2" xfId="5428" xr:uid="{3A39B662-B422-4CB0-939C-F0C9CC09A2A2}"/>
    <cellStyle name="Input 2 2 2 3 2 5" xfId="2534" xr:uid="{B22A5D8F-02C4-4208-BD3F-6AEF5B7873AB}"/>
    <cellStyle name="Input 2 2 2 3 2 5 2" xfId="5686" xr:uid="{C1FFFC94-9031-4507-829C-B28954B54271}"/>
    <cellStyle name="Input 2 2 2 3 2 6" xfId="3031" xr:uid="{DFC9F66A-B5E7-4191-8BC5-FD26D49DF8C6}"/>
    <cellStyle name="Input 2 2 2 3 2 6 2" xfId="6183" xr:uid="{E429C62F-8307-4660-A4CB-0C195696DB33}"/>
    <cellStyle name="Input 2 2 2 3 2 7" xfId="3831" xr:uid="{E6B2EA21-3B5E-4203-A12B-C2F65F985E27}"/>
    <cellStyle name="Input 2 2 2 3 3" xfId="755" xr:uid="{B39725D2-7A2C-4639-8F48-ADC62A900678}"/>
    <cellStyle name="Input 2 2 2 3 3 2" xfId="1354" xr:uid="{27653AF1-FC67-4E16-9615-1E05CC3330EE}"/>
    <cellStyle name="Input 2 2 2 3 3 2 2" xfId="4506" xr:uid="{ECB3E913-E712-46D4-8F2F-FD203FB649D6}"/>
    <cellStyle name="Input 2 2 2 3 3 3" xfId="1888" xr:uid="{7A7201A4-0E82-443B-8CBC-C735B2B85238}"/>
    <cellStyle name="Input 2 2 2 3 3 3 2" xfId="5040" xr:uid="{720AC564-E578-493A-8ECC-CB6719DEF2FF}"/>
    <cellStyle name="Input 2 2 2 3 3 4" xfId="2363" xr:uid="{82FDEBD9-E8D9-4C1C-975F-64F2EDD7F464}"/>
    <cellStyle name="Input 2 2 2 3 3 4 2" xfId="5515" xr:uid="{C9FF4A1B-6F18-4959-8AB9-47DC0F21F2CE}"/>
    <cellStyle name="Input 2 2 2 3 3 5" xfId="2638" xr:uid="{3A387AEF-27F4-43D0-A622-782F98293602}"/>
    <cellStyle name="Input 2 2 2 3 3 5 2" xfId="5790" xr:uid="{BD845721-6B9A-4D40-BBB1-7C6AC0A634D4}"/>
    <cellStyle name="Input 2 2 2 3 3 6" xfId="3118" xr:uid="{D21F0C6F-F19F-4B7C-959C-EDAA3A61E9E8}"/>
    <cellStyle name="Input 2 2 2 3 3 6 2" xfId="6270" xr:uid="{9A6F0CBC-5734-41D6-87A3-F08B9E13DFF3}"/>
    <cellStyle name="Input 2 2 2 3 3 7" xfId="3918" xr:uid="{63359258-86DF-4F9E-980F-27E8A778A8BD}"/>
    <cellStyle name="Input 2 2 2 3 4" xfId="848" xr:uid="{F721EEC2-8A77-4779-BFA5-07FEC4B147A6}"/>
    <cellStyle name="Input 2 2 2 3 4 2" xfId="1447" xr:uid="{0AFCE1AD-B4FA-469A-B953-A4D04628DC33}"/>
    <cellStyle name="Input 2 2 2 3 4 2 2" xfId="4599" xr:uid="{C3B92F87-0F95-4964-8162-A0959DB40978}"/>
    <cellStyle name="Input 2 2 2 3 4 3" xfId="1981" xr:uid="{F12259E6-B00A-4279-86CB-F38F057E2DA2}"/>
    <cellStyle name="Input 2 2 2 3 4 3 2" xfId="5133" xr:uid="{2A8C5333-A039-409B-96E0-0D93539AC6A2}"/>
    <cellStyle name="Input 2 2 2 3 4 4" xfId="2456" xr:uid="{38E7E85E-4D93-4440-B0C5-962DBB0ADD95}"/>
    <cellStyle name="Input 2 2 2 3 4 4 2" xfId="5608" xr:uid="{001AB5C5-BCE4-43FE-AE88-125A04C482A9}"/>
    <cellStyle name="Input 2 2 2 3 4 5" xfId="2513" xr:uid="{FF4DFA2C-100D-46F8-A2A0-515D4BFC916F}"/>
    <cellStyle name="Input 2 2 2 3 4 5 2" xfId="5665" xr:uid="{1DE4A440-E15C-4DEF-A57E-AE46A0839393}"/>
    <cellStyle name="Input 2 2 2 3 4 6" xfId="3211" xr:uid="{17723B8D-2F58-4159-9898-EB6DD8197F13}"/>
    <cellStyle name="Input 2 2 2 3 4 6 2" xfId="6363" xr:uid="{20377F7A-8250-4C5D-A210-2F858A63A724}"/>
    <cellStyle name="Input 2 2 2 3 4 7" xfId="4011" xr:uid="{0E78DA09-4201-4C02-9B13-06482BB948BB}"/>
    <cellStyle name="Input 2 2 2 3 5" xfId="967" xr:uid="{257160AE-C809-412D-A9D2-0BC8360124CB}"/>
    <cellStyle name="Input 2 2 2 3 5 2" xfId="1566" xr:uid="{5EB28A15-6C79-4E8D-9545-375945D9366D}"/>
    <cellStyle name="Input 2 2 2 3 5 2 2" xfId="4718" xr:uid="{C70D4BF6-AC72-4979-8525-310BEA9C511C}"/>
    <cellStyle name="Input 2 2 2 3 5 3" xfId="2100" xr:uid="{67428779-4196-423C-B1AC-82E4610CF6E9}"/>
    <cellStyle name="Input 2 2 2 3 5 3 2" xfId="5252" xr:uid="{86121913-4D93-45A2-ACF2-ECAFF9FC6FB9}"/>
    <cellStyle name="Input 2 2 2 3 5 4" xfId="2749" xr:uid="{10F813ED-BF10-4149-9A5F-6B9E8D8D3C78}"/>
    <cellStyle name="Input 2 2 2 3 5 4 2" xfId="5901" xr:uid="{D0BE07F8-DD9A-427B-9790-7913D2B2C333}"/>
    <cellStyle name="Input 2 2 2 3 5 5" xfId="2917" xr:uid="{131FFC31-9EA5-46A1-9F7D-3BDC9100040B}"/>
    <cellStyle name="Input 2 2 2 3 5 5 2" xfId="6069" xr:uid="{3EBCA014-5C13-46FF-BAB8-5B0CF175437F}"/>
    <cellStyle name="Input 2 2 2 3 5 6" xfId="3330" xr:uid="{4A811645-1F0F-4F4C-B67F-A3A6FDDB18A1}"/>
    <cellStyle name="Input 2 2 2 3 5 7" xfId="4130" xr:uid="{F13626F5-6258-4931-8A59-235CA272CB25}"/>
    <cellStyle name="Input 2 2 2 3 6" xfId="553" xr:uid="{466D949E-95E9-4F6D-AA49-355F01E4A9A2}"/>
    <cellStyle name="Input 2 2 2 3 6 2" xfId="3717" xr:uid="{A2A395D9-268E-4780-884B-B2922CD3608F}"/>
    <cellStyle name="Input 2 2 2 3 7" xfId="1152" xr:uid="{1D519243-6753-45C1-BE7F-8F1C86834558}"/>
    <cellStyle name="Input 2 2 2 3 7 2" xfId="4305" xr:uid="{F8A4A0C4-85BA-427F-85E2-0BA1CDF9B67E}"/>
    <cellStyle name="Input 2 2 2 3 8" xfId="1687" xr:uid="{F0A0B88D-EFB9-4CEF-98CE-E5E8AF11E38E}"/>
    <cellStyle name="Input 2 2 2 3 8 2" xfId="4839" xr:uid="{41DA24E8-2BF6-471B-897B-1FBAD3506633}"/>
    <cellStyle name="Input 2 2 2 3 9" xfId="3598" xr:uid="{574671D8-7503-47E6-ADAF-8BA83764B0DC}"/>
    <cellStyle name="Input 2 2 2 4" xfId="346" xr:uid="{5D1E0628-23B9-4701-80CF-8D6E65C14A1A}"/>
    <cellStyle name="Input 2 2 2 4 2" xfId="685" xr:uid="{6CD30107-52CB-41D7-9FE8-A9D265FDDB5B}"/>
    <cellStyle name="Input 2 2 2 4 2 2" xfId="3848" xr:uid="{8FA1C8AC-0FA8-4E9E-A16E-A540A7BEDF13}"/>
    <cellStyle name="Input 2 2 2 4 3" xfId="1284" xr:uid="{49603A47-0FAF-405B-9D5B-0CB310A95DD7}"/>
    <cellStyle name="Input 2 2 2 4 3 2" xfId="4436" xr:uid="{000B4CD1-42B4-4AE9-A7BE-C64C9DBFB92E}"/>
    <cellStyle name="Input 2 2 2 4 4" xfId="1818" xr:uid="{A56E7A7D-04E1-410E-99BA-191DE0D245FE}"/>
    <cellStyle name="Input 2 2 2 4 4 2" xfId="4970" xr:uid="{EB2D7065-F2CD-4B57-B635-BE2DB23039B5}"/>
    <cellStyle name="Input 2 2 2 4 5" xfId="2293" xr:uid="{7F228522-D004-4679-8D3E-8A4F73BFEB77}"/>
    <cellStyle name="Input 2 2 2 4 5 2" xfId="5445" xr:uid="{6F334B0B-6674-487B-87BB-E309BF20EB78}"/>
    <cellStyle name="Input 2 2 2 4 6" xfId="2547" xr:uid="{8EE70793-89A1-4A5F-9EB7-6137DAF6D225}"/>
    <cellStyle name="Input 2 2 2 4 6 2" xfId="5699" xr:uid="{3B916D68-18C8-46F8-B142-A2FC0332A49C}"/>
    <cellStyle name="Input 2 2 2 4 7" xfId="3048" xr:uid="{81843198-EA22-4A40-8C7E-41B6BDAC590A}"/>
    <cellStyle name="Input 2 2 2 4 7 2" xfId="6200" xr:uid="{8DC4F428-9CE2-41B6-9D1E-B108007E227E}"/>
    <cellStyle name="Input 2 2 2 4 8" xfId="3535" xr:uid="{F5B4AE75-1D1C-48DC-A6C8-963DCEE2F43A}"/>
    <cellStyle name="Input 2 2 2 5" xfId="719" xr:uid="{E29E2006-E6C0-4C71-A4D3-716C5CAB0C9F}"/>
    <cellStyle name="Input 2 2 2 5 2" xfId="1318" xr:uid="{17EE4F6C-D448-470E-9C43-6F68D20B8442}"/>
    <cellStyle name="Input 2 2 2 5 2 2" xfId="4470" xr:uid="{E6071A69-76C0-48D9-AD7F-65C281A1AAE7}"/>
    <cellStyle name="Input 2 2 2 5 3" xfId="1852" xr:uid="{693E7C6D-D945-4B98-A9B7-4A6BE29C7261}"/>
    <cellStyle name="Input 2 2 2 5 3 2" xfId="5004" xr:uid="{DAC4FFD9-4804-49DA-9260-5892D2636C33}"/>
    <cellStyle name="Input 2 2 2 5 4" xfId="2327" xr:uid="{740530D0-C3C8-45ED-9505-0405C81CE84C}"/>
    <cellStyle name="Input 2 2 2 5 4 2" xfId="5479" xr:uid="{C33B32FD-10A3-4B3C-AF92-B25E69F7150F}"/>
    <cellStyle name="Input 2 2 2 5 5" xfId="1072" xr:uid="{79ED54A5-17C0-46E2-9FED-DBF61E7E4EF2}"/>
    <cellStyle name="Input 2 2 2 5 5 2" xfId="4234" xr:uid="{FB36BC68-ABCC-475C-A5E2-68A09BF240D6}"/>
    <cellStyle name="Input 2 2 2 5 6" xfId="3082" xr:uid="{2C2A5144-3C4B-4F17-9962-CE4488EE196D}"/>
    <cellStyle name="Input 2 2 2 5 6 2" xfId="6234" xr:uid="{9D774E03-7DCA-4159-A111-8FB76C60823C}"/>
    <cellStyle name="Input 2 2 2 5 7" xfId="3882" xr:uid="{780ACB38-42EF-4A8F-A5A6-ECB78B84F145}"/>
    <cellStyle name="Input 2 2 2 6" xfId="701" xr:uid="{B7B512A4-0620-404E-9A1C-5B8471AE1A97}"/>
    <cellStyle name="Input 2 2 2 6 2" xfId="1300" xr:uid="{BB7FB99E-6A64-4336-AA11-C1B8B3664E14}"/>
    <cellStyle name="Input 2 2 2 6 2 2" xfId="4452" xr:uid="{55FC454B-6DF2-46E0-8F0F-D92C665C2896}"/>
    <cellStyle name="Input 2 2 2 6 3" xfId="1834" xr:uid="{B1CFC432-5549-4351-8404-281F54426E13}"/>
    <cellStyle name="Input 2 2 2 6 3 2" xfId="4986" xr:uid="{536A84FD-5690-4A7C-9596-65254BE8C4EA}"/>
    <cellStyle name="Input 2 2 2 6 4" xfId="2309" xr:uid="{8D4151B5-AE14-4268-9812-5DDF2AA4EAFC}"/>
    <cellStyle name="Input 2 2 2 6 4 2" xfId="5461" xr:uid="{618A463E-57F9-43E2-9063-BF3F3D9090AF}"/>
    <cellStyle name="Input 2 2 2 6 5" xfId="2626" xr:uid="{ABDA26A0-A74C-4815-8553-498380FE475A}"/>
    <cellStyle name="Input 2 2 2 6 5 2" xfId="5778" xr:uid="{1FC350FB-E46C-4414-8060-6CE414B942F7}"/>
    <cellStyle name="Input 2 2 2 6 6" xfId="3064" xr:uid="{FDA6A8D6-C02B-4E95-8544-C1B8613F9F6A}"/>
    <cellStyle name="Input 2 2 2 6 6 2" xfId="6216" xr:uid="{6E1F9845-BCEA-40FD-957C-98D6616DEE7A}"/>
    <cellStyle name="Input 2 2 2 6 7" xfId="3864" xr:uid="{B2D323CE-64F6-4AEE-A4E0-BB28A5551AFC}"/>
    <cellStyle name="Input 2 2 2 7" xfId="778" xr:uid="{B6C5A3CC-B079-46FD-A3F3-24207FE057E0}"/>
    <cellStyle name="Input 2 2 2 7 2" xfId="1377" xr:uid="{302792E7-F9D9-495A-9BC8-36E8E11719D6}"/>
    <cellStyle name="Input 2 2 2 7 2 2" xfId="4529" xr:uid="{923630A9-4DEC-406C-8B01-698B29A22666}"/>
    <cellStyle name="Input 2 2 2 7 3" xfId="1911" xr:uid="{19403568-97EB-4FA2-8BDC-B43ABEC313D4}"/>
    <cellStyle name="Input 2 2 2 7 3 2" xfId="5063" xr:uid="{1CAA2A86-3CE1-49BA-9023-D6F98A734DEC}"/>
    <cellStyle name="Input 2 2 2 7 4" xfId="2386" xr:uid="{00168794-A198-476B-A83E-4F003461C7FA}"/>
    <cellStyle name="Input 2 2 2 7 4 2" xfId="5538" xr:uid="{4A183B18-342F-4095-8B06-E9DFAAC1899C}"/>
    <cellStyle name="Input 2 2 2 7 5" xfId="2671" xr:uid="{0CA499BA-5BA2-4951-8F3D-005E2D4DB6C5}"/>
    <cellStyle name="Input 2 2 2 7 5 2" xfId="5823" xr:uid="{B1154E68-A0D2-4292-8C45-ACA8C404FF90}"/>
    <cellStyle name="Input 2 2 2 7 6" xfId="3141" xr:uid="{74CA2907-5822-42CB-BF39-5DBE1654CB1E}"/>
    <cellStyle name="Input 2 2 2 7 6 2" xfId="6293" xr:uid="{734E6290-9C05-4AC8-8E40-820699B3EEFD}"/>
    <cellStyle name="Input 2 2 2 7 7" xfId="3941" xr:uid="{5C6A4B61-F004-4070-AC10-8666F51B4773}"/>
    <cellStyle name="Input 2 2 2 8" xfId="785" xr:uid="{7C1481DA-DEB4-495D-BC81-BB8AFD36A827}"/>
    <cellStyle name="Input 2 2 2 8 2" xfId="1384" xr:uid="{C0721B95-E53B-4310-B5CE-92F0BCD79C91}"/>
    <cellStyle name="Input 2 2 2 8 2 2" xfId="4536" xr:uid="{73425711-1EDE-45AC-BA81-471354CD2F68}"/>
    <cellStyle name="Input 2 2 2 8 3" xfId="1918" xr:uid="{5EF07E46-FE87-4146-BB11-9FDF8C55A887}"/>
    <cellStyle name="Input 2 2 2 8 3 2" xfId="5070" xr:uid="{4CB0251A-264D-42F0-9080-98AB0ECED454}"/>
    <cellStyle name="Input 2 2 2 8 4" xfId="2393" xr:uid="{DB553489-3532-4594-A4B7-A9E215A22C41}"/>
    <cellStyle name="Input 2 2 2 8 4 2" xfId="5545" xr:uid="{18FB9E85-B36A-4E26-A0C0-4C898381D915}"/>
    <cellStyle name="Input 2 2 2 8 5" xfId="1651" xr:uid="{0EACEDE6-7618-4D5C-B5A3-8BBB517B2DFB}"/>
    <cellStyle name="Input 2 2 2 8 5 2" xfId="4803" xr:uid="{5B8940A8-4CE0-456D-9D7A-1347A45869B1}"/>
    <cellStyle name="Input 2 2 2 8 6" xfId="3148" xr:uid="{B4DB3752-BC8E-4AF9-BB6C-29A5D8B515E0}"/>
    <cellStyle name="Input 2 2 2 8 6 2" xfId="6300" xr:uid="{8F95BE5C-EA98-4D9C-9A95-62ED549E787A}"/>
    <cellStyle name="Input 2 2 2 8 7" xfId="3948" xr:uid="{0D6F9222-19A3-48AD-B488-CC1D597C4A88}"/>
    <cellStyle name="Input 2 2 2 9" xfId="904" xr:uid="{9F5894A2-24E8-4CED-8AD3-91692E0251F0}"/>
    <cellStyle name="Input 2 2 2 9 2" xfId="1503" xr:uid="{8F74C107-A217-4617-BEC0-CA62550774CA}"/>
    <cellStyle name="Input 2 2 2 9 2 2" xfId="4655" xr:uid="{69A0E462-207D-41B2-A741-E7A416609DD8}"/>
    <cellStyle name="Input 2 2 2 9 3" xfId="2037" xr:uid="{6F9D4BF1-0A9A-4A56-87AB-4E4827A29AB9}"/>
    <cellStyle name="Input 2 2 2 9 3 2" xfId="5189" xr:uid="{9F3500AF-CBF1-44A6-A603-4ACA4374AF1E}"/>
    <cellStyle name="Input 2 2 2 9 4" xfId="2686" xr:uid="{457D9258-8D3F-44EA-80AC-130488C15EA8}"/>
    <cellStyle name="Input 2 2 2 9 4 2" xfId="5838" xr:uid="{2A528AFC-2E03-4670-8706-F85BA7CCD224}"/>
    <cellStyle name="Input 2 2 2 9 5" xfId="2854" xr:uid="{B0328274-E1B3-470A-9DC1-554C94703841}"/>
    <cellStyle name="Input 2 2 2 9 5 2" xfId="6006" xr:uid="{6B086717-A0E6-44E7-86EC-837274EC6BA2}"/>
    <cellStyle name="Input 2 2 2 9 6" xfId="3267" xr:uid="{640AAA69-19DF-4E1F-BC7E-0FAD4FB0B905}"/>
    <cellStyle name="Input 2 2 2 9 7" xfId="4067" xr:uid="{7C7251C2-3EBC-4CBF-841F-A0FD647DEFDE}"/>
    <cellStyle name="Input 2 2 3" xfId="93" xr:uid="{CD462D00-6F04-439F-A174-301A41F43C5B}"/>
    <cellStyle name="Input 2 2 3 10" xfId="3423" xr:uid="{23AD830E-8E64-4643-A7B9-19BF4CE78B64}"/>
    <cellStyle name="Input 2 2 3 2" xfId="173" xr:uid="{E9339254-F67A-4EAF-A492-E62FD5F8CC28}"/>
    <cellStyle name="Input 2 2 3 2 2" xfId="459" xr:uid="{74CDEE36-61F4-4BD1-BC8F-CFA4E1F5A915}"/>
    <cellStyle name="Input 2 2 3 2 2 2" xfId="650" xr:uid="{93D3BA53-74E1-48A2-8754-7DB70FB1B937}"/>
    <cellStyle name="Input 2 2 3 2 2 2 2" xfId="3813" xr:uid="{C8655FCD-E5CB-4887-BCA5-90562E044420}"/>
    <cellStyle name="Input 2 2 3 2 2 3" xfId="1249" xr:uid="{44C98866-C123-470B-B486-028E18569697}"/>
    <cellStyle name="Input 2 2 3 2 2 3 2" xfId="4401" xr:uid="{790D8467-F92C-42F4-AF68-0207C21F54AF}"/>
    <cellStyle name="Input 2 2 3 2 2 4" xfId="1783" xr:uid="{C228442F-BDD7-42FC-817D-08C3FEEBDFE5}"/>
    <cellStyle name="Input 2 2 3 2 2 4 2" xfId="4935" xr:uid="{160A259B-01D3-474D-9A30-2BA411A90DB2}"/>
    <cellStyle name="Input 2 2 3 2 2 5" xfId="2258" xr:uid="{F45943DF-F756-46DE-AA6F-D83F8006DA7F}"/>
    <cellStyle name="Input 2 2 3 2 2 5 2" xfId="5410" xr:uid="{A5D5BE51-8B53-45DF-8844-49494AC41688}"/>
    <cellStyle name="Input 2 2 3 2 2 6" xfId="2154" xr:uid="{1A37D34F-A155-477F-BD25-ED495758D9D7}"/>
    <cellStyle name="Input 2 2 3 2 2 6 2" xfId="5306" xr:uid="{FD39DFAF-F374-4253-ACD1-DB7024A59FF1}"/>
    <cellStyle name="Input 2 2 3 2 2 7" xfId="3013" xr:uid="{044B306B-B945-4521-8FD4-624BAA2070C5}"/>
    <cellStyle name="Input 2 2 3 2 2 7 2" xfId="6165" xr:uid="{1600DC9F-343E-4D61-8A28-E6D14203DC3A}"/>
    <cellStyle name="Input 2 2 3 2 2 8" xfId="3634" xr:uid="{A65CF40C-7D36-4B97-BCB0-C31A2C02025D}"/>
    <cellStyle name="Input 2 2 3 2 3" xfId="770" xr:uid="{A631F2DE-346B-4926-A6F3-056579BBDE24}"/>
    <cellStyle name="Input 2 2 3 2 3 2" xfId="1369" xr:uid="{B724555A-87B1-45D0-9DFE-7A9D48FF74B4}"/>
    <cellStyle name="Input 2 2 3 2 3 2 2" xfId="4521" xr:uid="{D96CEDBF-494A-4E74-932A-56BF3D1E6902}"/>
    <cellStyle name="Input 2 2 3 2 3 3" xfId="1903" xr:uid="{7BDE23C3-8D74-419B-BDD0-5A8B206C4503}"/>
    <cellStyle name="Input 2 2 3 2 3 3 2" xfId="5055" xr:uid="{77894CC8-9AEC-404E-BC83-A970ABDC8521}"/>
    <cellStyle name="Input 2 2 3 2 3 4" xfId="2378" xr:uid="{837B1158-709E-4A5A-9664-F991088522BF}"/>
    <cellStyle name="Input 2 2 3 2 3 4 2" xfId="5530" xr:uid="{CCD1AE56-6830-40FB-846A-BF119E32D44D}"/>
    <cellStyle name="Input 2 2 3 2 3 5" xfId="2674" xr:uid="{E1327C15-9923-4D7E-AEBC-1280300D929F}"/>
    <cellStyle name="Input 2 2 3 2 3 5 2" xfId="5826" xr:uid="{F60E0108-5518-45EC-9038-D69C7E2E1056}"/>
    <cellStyle name="Input 2 2 3 2 3 6" xfId="3133" xr:uid="{19005451-08AD-4598-89C8-D52931369BBF}"/>
    <cellStyle name="Input 2 2 3 2 3 6 2" xfId="6285" xr:uid="{1B7CA8A5-22B8-45B1-9556-F4A3FA4B6D25}"/>
    <cellStyle name="Input 2 2 3 2 3 7" xfId="3933" xr:uid="{109A334C-3BCF-4846-A100-129D6E6380DB}"/>
    <cellStyle name="Input 2 2 3 2 4" xfId="884" xr:uid="{F779C052-1A0F-4A5E-BD08-C8A2CA40EA88}"/>
    <cellStyle name="Input 2 2 3 2 4 2" xfId="1483" xr:uid="{FC64311B-30BA-45B2-8654-ABDDE208881D}"/>
    <cellStyle name="Input 2 2 3 2 4 2 2" xfId="4635" xr:uid="{A59E1DA2-C315-482A-A11A-EA75A3AEE514}"/>
    <cellStyle name="Input 2 2 3 2 4 3" xfId="2017" xr:uid="{E7623B12-4492-4563-A20F-B94DC60D4B3D}"/>
    <cellStyle name="Input 2 2 3 2 4 3 2" xfId="5169" xr:uid="{3AFD68BD-A782-43A4-9EF4-D95D34C3B456}"/>
    <cellStyle name="Input 2 2 3 2 4 4" xfId="2492" xr:uid="{0FCAA1FD-C044-49C5-B285-9917BB3E5ED4}"/>
    <cellStyle name="Input 2 2 3 2 4 4 2" xfId="5644" xr:uid="{7C0F1685-D2F3-4892-B22B-48806A8C105C}"/>
    <cellStyle name="Input 2 2 3 2 4 5" xfId="2834" xr:uid="{FC10A64A-78FD-4655-9D71-A793E8C83555}"/>
    <cellStyle name="Input 2 2 3 2 4 5 2" xfId="5986" xr:uid="{2E14888E-1A51-4A31-855D-86A8E36DFEA6}"/>
    <cellStyle name="Input 2 2 3 2 4 6" xfId="3247" xr:uid="{859C0C92-DE14-4C8E-821F-06B5B779D972}"/>
    <cellStyle name="Input 2 2 3 2 4 6 2" xfId="6399" xr:uid="{0B6A44B6-261D-4890-BB0D-8E8F65781057}"/>
    <cellStyle name="Input 2 2 3 2 4 7" xfId="4047" xr:uid="{16B4A064-4EB8-4AD5-92DF-E5646E1C42DD}"/>
    <cellStyle name="Input 2 2 3 2 5" xfId="1003" xr:uid="{38D5BBB8-CBBB-47FD-B7FC-CC039DCF664E}"/>
    <cellStyle name="Input 2 2 3 2 5 2" xfId="1602" xr:uid="{16DD3958-DCE3-47D1-BEAC-A3E3638890C5}"/>
    <cellStyle name="Input 2 2 3 2 5 2 2" xfId="4754" xr:uid="{90910CF9-CB0E-41DC-90D9-0EE2F20EFAA6}"/>
    <cellStyle name="Input 2 2 3 2 5 3" xfId="2136" xr:uid="{D7A66876-C7D5-486A-8B74-657A0369F7E7}"/>
    <cellStyle name="Input 2 2 3 2 5 3 2" xfId="5288" xr:uid="{8FB5CEAE-E306-4D30-B247-69D685241572}"/>
    <cellStyle name="Input 2 2 3 2 5 4" xfId="2785" xr:uid="{BFB87357-A41D-46E1-A150-16BBBBFE0788}"/>
    <cellStyle name="Input 2 2 3 2 5 4 2" xfId="5937" xr:uid="{5B215C77-E2EE-432F-80FA-9123358014D9}"/>
    <cellStyle name="Input 2 2 3 2 5 5" xfId="2953" xr:uid="{6314F55D-12E3-488B-A9CC-BA18B05B87CD}"/>
    <cellStyle name="Input 2 2 3 2 5 5 2" xfId="6105" xr:uid="{B666267E-DA5D-4927-B41C-545647BF9036}"/>
    <cellStyle name="Input 2 2 3 2 5 6" xfId="3366" xr:uid="{5689C422-74A1-44BF-8F32-67EA22CF4B25}"/>
    <cellStyle name="Input 2 2 3 2 5 7" xfId="4166" xr:uid="{ABF16DF8-78DD-447D-9023-70478B2855E0}"/>
    <cellStyle name="Input 2 2 3 2 6" xfId="589" xr:uid="{068E6CEA-286C-4097-8CDB-6D7897B84A19}"/>
    <cellStyle name="Input 2 2 3 2 6 2" xfId="3753" xr:uid="{272D22D0-2E07-4946-885E-9265B5C6168C}"/>
    <cellStyle name="Input 2 2 3 2 7" xfId="1188" xr:uid="{C3197EB4-C069-4D28-ACD5-FCF511402DDF}"/>
    <cellStyle name="Input 2 2 3 2 7 2" xfId="4341" xr:uid="{1F89FE23-8748-4618-A1DA-3E6AD9CC6994}"/>
    <cellStyle name="Input 2 2 3 2 8" xfId="1723" xr:uid="{D873ED7A-7001-4157-8707-EED5F45808D4}"/>
    <cellStyle name="Input 2 2 3 2 8 2" xfId="4875" xr:uid="{0F883223-8454-495A-95A4-E538C20A04FD}"/>
    <cellStyle name="Input 2 2 3 2 9" xfId="3490" xr:uid="{376DD90F-CD9B-4FDA-B104-53CE0C070596}"/>
    <cellStyle name="Input 2 2 3 3" xfId="400" xr:uid="{D8742434-6D80-47DC-BAB5-77A022A4E95A}"/>
    <cellStyle name="Input 2 2 3 3 2" xfId="723" xr:uid="{12E7C70D-EDE2-4D83-862C-DEBD8F3B37A4}"/>
    <cellStyle name="Input 2 2 3 3 2 2" xfId="3886" xr:uid="{A9F1828A-ACBE-4AD8-8F80-18132460262A}"/>
    <cellStyle name="Input 2 2 3 3 3" xfId="1322" xr:uid="{5EF8F1BE-F5DB-44E9-86AB-81FB45036D80}"/>
    <cellStyle name="Input 2 2 3 3 3 2" xfId="4474" xr:uid="{A5E2A84D-E03D-47E1-B724-87D87CE33420}"/>
    <cellStyle name="Input 2 2 3 3 4" xfId="1856" xr:uid="{27DF3C28-19F2-4FE3-A538-299011A41FA4}"/>
    <cellStyle name="Input 2 2 3 3 4 2" xfId="5008" xr:uid="{7E3EB138-F021-4232-B3FD-56CB98C71EE1}"/>
    <cellStyle name="Input 2 2 3 3 5" xfId="2331" xr:uid="{8EAC4B74-2ACF-461B-92A4-563E97824B87}"/>
    <cellStyle name="Input 2 2 3 3 5 2" xfId="5483" xr:uid="{0F578EF0-FD9D-4A75-A44F-4BC8D698626D}"/>
    <cellStyle name="Input 2 2 3 3 6" xfId="1039" xr:uid="{3B9D38E9-8643-4E9C-84DA-87F3ABFEBC3E}"/>
    <cellStyle name="Input 2 2 3 3 6 2" xfId="4202" xr:uid="{E954ADF0-9EE6-497E-B59E-9AAE96F3A73E}"/>
    <cellStyle name="Input 2 2 3 3 7" xfId="3086" xr:uid="{E310FF72-A9FD-40B8-B834-50C4CF70E552}"/>
    <cellStyle name="Input 2 2 3 3 7 2" xfId="6238" xr:uid="{796072F7-DA12-4FE7-8D3D-BE00A7402F4A}"/>
    <cellStyle name="Input 2 2 3 3 8" xfId="3580" xr:uid="{34D0909F-A17B-43D5-8ABB-B0E5F7A942BD}"/>
    <cellStyle name="Input 2 2 3 4" xfId="749" xr:uid="{C2DAA979-96B0-41FA-8486-E66754CB62B2}"/>
    <cellStyle name="Input 2 2 3 4 2" xfId="1348" xr:uid="{EEF01C5F-4568-423E-9903-84140C4CDEB9}"/>
    <cellStyle name="Input 2 2 3 4 2 2" xfId="4500" xr:uid="{041EDE06-183B-4F12-A94E-3BF31EA1F0E1}"/>
    <cellStyle name="Input 2 2 3 4 3" xfId="1882" xr:uid="{7DDA31FE-3634-4495-9717-F8F5611FE0F6}"/>
    <cellStyle name="Input 2 2 3 4 3 2" xfId="5034" xr:uid="{1D042E9C-7DEC-41AB-8FC6-012BBBCBF69D}"/>
    <cellStyle name="Input 2 2 3 4 4" xfId="2357" xr:uid="{ABBB6757-5AD2-4F2A-A417-2B2A7B09CB03}"/>
    <cellStyle name="Input 2 2 3 4 4 2" xfId="5509" xr:uid="{96C5B825-0DF3-4BAE-A988-BF9E1634B80D}"/>
    <cellStyle name="Input 2 2 3 4 5" xfId="1679" xr:uid="{A6BFC31C-61A2-48E7-AAD9-2DCB4618A681}"/>
    <cellStyle name="Input 2 2 3 4 5 2" xfId="4831" xr:uid="{26FB6B5B-9D48-4C84-ACC1-79C08EF743AB}"/>
    <cellStyle name="Input 2 2 3 4 6" xfId="3112" xr:uid="{D48D5321-9065-4C23-A0D6-D86D016D4402}"/>
    <cellStyle name="Input 2 2 3 4 6 2" xfId="6264" xr:uid="{3721E901-5CE2-442D-B930-6F1E860DC80B}"/>
    <cellStyle name="Input 2 2 3 4 7" xfId="3912" xr:uid="{378AE3E7-C68A-4D0E-852B-F52FC8068F9F}"/>
    <cellStyle name="Input 2 2 3 5" xfId="830" xr:uid="{C2CEB1F3-E744-4055-84CB-9B39E4F9DB6A}"/>
    <cellStyle name="Input 2 2 3 5 2" xfId="1429" xr:uid="{7AE1C488-171D-4DBE-866A-832B42CF2E85}"/>
    <cellStyle name="Input 2 2 3 5 2 2" xfId="4581" xr:uid="{E7BE57B6-A5F9-4F1C-BFE8-217CCCAD7770}"/>
    <cellStyle name="Input 2 2 3 5 3" xfId="1963" xr:uid="{55A8A339-468C-4671-9521-21ADF8CCC621}"/>
    <cellStyle name="Input 2 2 3 5 3 2" xfId="5115" xr:uid="{ECD395AC-2662-479A-8185-4EFCB38BC625}"/>
    <cellStyle name="Input 2 2 3 5 4" xfId="2438" xr:uid="{C9BFC849-746D-46F9-8E90-19471563D806}"/>
    <cellStyle name="Input 2 2 3 5 4 2" xfId="5590" xr:uid="{DB531F0F-7559-4646-9256-B1621472046C}"/>
    <cellStyle name="Input 2 2 3 5 5" xfId="2169" xr:uid="{B0210770-D0C5-46FB-8927-F90C4B2056DB}"/>
    <cellStyle name="Input 2 2 3 5 5 2" xfId="5321" xr:uid="{C22245E7-4FDF-4022-9994-B364791D2B38}"/>
    <cellStyle name="Input 2 2 3 5 6" xfId="3193" xr:uid="{E51DF864-95E8-41CF-AE2C-CD26B8F84AFE}"/>
    <cellStyle name="Input 2 2 3 5 6 2" xfId="6345" xr:uid="{DDCC6D0D-F7B9-49EA-B4B7-F197A061B58E}"/>
    <cellStyle name="Input 2 2 3 5 7" xfId="3993" xr:uid="{5D77F00F-E8B9-4274-B861-CB2BBCF100F3}"/>
    <cellStyle name="Input 2 2 3 6" xfId="949" xr:uid="{81720408-C294-49E3-8F93-6960031EB4AC}"/>
    <cellStyle name="Input 2 2 3 6 2" xfId="1548" xr:uid="{8381B623-D12D-4287-9D2A-8BE47FECDC3A}"/>
    <cellStyle name="Input 2 2 3 6 2 2" xfId="4700" xr:uid="{4EA7E5FC-F539-4EEE-9D73-ECDA7EECC56E}"/>
    <cellStyle name="Input 2 2 3 6 3" xfId="2082" xr:uid="{474E3B30-19CF-4B44-AC88-2F9A61FED86B}"/>
    <cellStyle name="Input 2 2 3 6 3 2" xfId="5234" xr:uid="{C82841AE-0A10-4F27-8634-121BD6CE59E6}"/>
    <cellStyle name="Input 2 2 3 6 4" xfId="2731" xr:uid="{153AEF75-7665-4F43-BD04-887078E3F7FC}"/>
    <cellStyle name="Input 2 2 3 6 4 2" xfId="5883" xr:uid="{8A9EE714-8F3C-425D-B8D8-FCD48DEA27AA}"/>
    <cellStyle name="Input 2 2 3 6 5" xfId="2899" xr:uid="{B9CB21C9-0FFB-4973-91F5-D1AEF8DF8872}"/>
    <cellStyle name="Input 2 2 3 6 5 2" xfId="6051" xr:uid="{3E474B17-371E-4BE8-A287-DAA1A776CF57}"/>
    <cellStyle name="Input 2 2 3 6 6" xfId="3312" xr:uid="{85587038-27CE-4E69-9551-E35071B7A8CF}"/>
    <cellStyle name="Input 2 2 3 6 7" xfId="4112" xr:uid="{89A98897-273E-4031-AE87-270E8EF64C3F}"/>
    <cellStyle name="Input 2 2 3 7" xfId="530" xr:uid="{1CC00F9F-35EA-44CA-884B-1C46C14A84DE}"/>
    <cellStyle name="Input 2 2 3 7 2" xfId="3699" xr:uid="{F29031AF-1263-41A9-8FE4-49BC3932E967}"/>
    <cellStyle name="Input 2 2 3 8" xfId="1128" xr:uid="{9B1568DC-AD90-4B7E-A715-710750A9377B}"/>
    <cellStyle name="Input 2 2 3 8 2" xfId="4286" xr:uid="{68C828E9-9D75-450F-A0A8-AA7F54795038}"/>
    <cellStyle name="Input 2 2 3 9" xfId="1665" xr:uid="{9DCD27AB-5570-42D5-BC93-F71CD1542998}"/>
    <cellStyle name="Input 2 2 3 9 2" xfId="4817" xr:uid="{4D499CF0-1309-426A-BA89-77AEB3236144}"/>
    <cellStyle name="Input 2 2 4" xfId="98" xr:uid="{D328DFA1-B53B-4CA1-A038-04C298C4082D}"/>
    <cellStyle name="Input 2 2 4 10" xfId="3428" xr:uid="{087435B7-7C0A-40DA-9A5E-FE9CC8B00282}"/>
    <cellStyle name="Input 2 2 4 2" xfId="178" xr:uid="{3AD34B89-B294-4BCF-8890-A6FCAEF20775}"/>
    <cellStyle name="Input 2 2 4 2 2" xfId="464" xr:uid="{0BE0D1C3-3239-4994-A3ED-6DF440B682E6}"/>
    <cellStyle name="Input 2 2 4 2 2 2" xfId="606" xr:uid="{77B15923-82E4-429A-85BE-4EEB765CE251}"/>
    <cellStyle name="Input 2 2 4 2 2 2 2" xfId="3769" xr:uid="{51A3A4F0-F711-4A9E-BEFF-D32D6D625F8A}"/>
    <cellStyle name="Input 2 2 4 2 2 3" xfId="1205" xr:uid="{A4364E7E-11CA-4BF0-B0A6-92D128B38FED}"/>
    <cellStyle name="Input 2 2 4 2 2 3 2" xfId="4357" xr:uid="{5875052C-7682-4F4F-8C7D-09F797940ABE}"/>
    <cellStyle name="Input 2 2 4 2 2 4" xfId="1739" xr:uid="{A2774A98-D82A-4CD5-881E-E0626D5C8F93}"/>
    <cellStyle name="Input 2 2 4 2 2 4 2" xfId="4891" xr:uid="{8E4F9737-691F-4856-8187-D33B9E3B9DBA}"/>
    <cellStyle name="Input 2 2 4 2 2 5" xfId="2214" xr:uid="{35DCE2CC-1522-44F0-81A2-08CE5E684451}"/>
    <cellStyle name="Input 2 2 4 2 2 5 2" xfId="5366" xr:uid="{A183746F-0E05-481E-9086-E23915D023D4}"/>
    <cellStyle name="Input 2 2 4 2 2 6" xfId="2590" xr:uid="{F581420D-1304-4406-9D8D-2CD9D631AE9C}"/>
    <cellStyle name="Input 2 2 4 2 2 6 2" xfId="5742" xr:uid="{641AAF7E-240F-434E-B6E6-6ECA7D58316F}"/>
    <cellStyle name="Input 2 2 4 2 2 7" xfId="2969" xr:uid="{0BF19F61-2AA9-414D-9A64-0C7459FC22D4}"/>
    <cellStyle name="Input 2 2 4 2 2 7 2" xfId="6121" xr:uid="{F0D1DAEF-253F-4EE7-BF56-D6A5470B8D13}"/>
    <cellStyle name="Input 2 2 4 2 2 8" xfId="3639" xr:uid="{EEC6A731-4844-410E-8AE6-B9F8B455BE90}"/>
    <cellStyle name="Input 2 2 4 2 3" xfId="772" xr:uid="{B982BC0B-7703-4D03-A864-9CE2A6563A2B}"/>
    <cellStyle name="Input 2 2 4 2 3 2" xfId="1371" xr:uid="{E0688F08-503B-4F96-B2E9-1665941FDBFC}"/>
    <cellStyle name="Input 2 2 4 2 3 2 2" xfId="4523" xr:uid="{7C33BC95-C4FF-40FF-B430-811A122D4CE5}"/>
    <cellStyle name="Input 2 2 4 2 3 3" xfId="1905" xr:uid="{16E55109-D066-4D8F-834A-67BD75EAFA61}"/>
    <cellStyle name="Input 2 2 4 2 3 3 2" xfId="5057" xr:uid="{C88CF07A-029D-4C91-A71F-AF531E5DECBB}"/>
    <cellStyle name="Input 2 2 4 2 3 4" xfId="2380" xr:uid="{4AFA1BBB-AFDD-4627-8928-F171D92CF036}"/>
    <cellStyle name="Input 2 2 4 2 3 4 2" xfId="5532" xr:uid="{20B9AC78-6882-4F60-BC68-4920016EC6D1}"/>
    <cellStyle name="Input 2 2 4 2 3 5" xfId="1047" xr:uid="{53A1AD79-40BB-4FCC-B1EF-704ABE37A59B}"/>
    <cellStyle name="Input 2 2 4 2 3 5 2" xfId="4210" xr:uid="{F3850E34-3D6D-4BEB-B67E-725374B0E36A}"/>
    <cellStyle name="Input 2 2 4 2 3 6" xfId="3135" xr:uid="{40E8BC44-4EC1-44D9-8C47-805BB127B130}"/>
    <cellStyle name="Input 2 2 4 2 3 6 2" xfId="6287" xr:uid="{C93C7526-8505-4BD5-9D32-6B3E3D974C12}"/>
    <cellStyle name="Input 2 2 4 2 3 7" xfId="3935" xr:uid="{D5D0B829-29E6-468A-8B47-0459F90F2F2C}"/>
    <cellStyle name="Input 2 2 4 2 4" xfId="889" xr:uid="{67D36216-4C10-4ED9-98E2-575B83FA91C2}"/>
    <cellStyle name="Input 2 2 4 2 4 2" xfId="1488" xr:uid="{89EE2A11-84C4-4761-B2E1-D192B41B3AF6}"/>
    <cellStyle name="Input 2 2 4 2 4 2 2" xfId="4640" xr:uid="{06AB0678-EAFE-42AF-812D-30C352355580}"/>
    <cellStyle name="Input 2 2 4 2 4 3" xfId="2022" xr:uid="{E0225744-D624-424B-8E71-745BB92F98C5}"/>
    <cellStyle name="Input 2 2 4 2 4 3 2" xfId="5174" xr:uid="{28AA8CB1-0588-49A6-AA4D-487ACF6F96E3}"/>
    <cellStyle name="Input 2 2 4 2 4 4" xfId="2497" xr:uid="{C6AFD662-9537-4C5B-9F51-5F929817FCA2}"/>
    <cellStyle name="Input 2 2 4 2 4 4 2" xfId="5649" xr:uid="{BB485F15-4FA2-4B1B-B2DF-930818EB38DB}"/>
    <cellStyle name="Input 2 2 4 2 4 5" xfId="2839" xr:uid="{C081DD6C-CD4A-4654-A15D-422C3C6D59AE}"/>
    <cellStyle name="Input 2 2 4 2 4 5 2" xfId="5991" xr:uid="{AD2CF5AB-9093-4659-8C6C-14A2B6A5861A}"/>
    <cellStyle name="Input 2 2 4 2 4 6" xfId="3252" xr:uid="{EE523CA0-9E50-4D08-A348-E0630B741E3C}"/>
    <cellStyle name="Input 2 2 4 2 4 6 2" xfId="6404" xr:uid="{9FF8873C-30CF-4EA8-A6D3-2BA7F112928F}"/>
    <cellStyle name="Input 2 2 4 2 4 7" xfId="4052" xr:uid="{61762D14-62D0-4102-83D0-ED90386FA7D1}"/>
    <cellStyle name="Input 2 2 4 2 5" xfId="1008" xr:uid="{D5DE2F43-D0CD-4B2E-A401-2994EE7F4E62}"/>
    <cellStyle name="Input 2 2 4 2 5 2" xfId="1607" xr:uid="{74C68AA1-C5E2-4D67-B75F-496297630F57}"/>
    <cellStyle name="Input 2 2 4 2 5 2 2" xfId="4759" xr:uid="{FA48E0A8-251A-4E7F-B1D4-8829B5793647}"/>
    <cellStyle name="Input 2 2 4 2 5 3" xfId="2141" xr:uid="{EB4795AD-B97A-4FCD-A748-F6F156159CAA}"/>
    <cellStyle name="Input 2 2 4 2 5 3 2" xfId="5293" xr:uid="{8A06E45F-EA9C-411B-894B-C04A2648674C}"/>
    <cellStyle name="Input 2 2 4 2 5 4" xfId="2790" xr:uid="{2B6C6D5D-91D0-4CEF-9721-013D92775057}"/>
    <cellStyle name="Input 2 2 4 2 5 4 2" xfId="5942" xr:uid="{879EA5EC-EEB8-4EFE-B6B0-1580AAD60919}"/>
    <cellStyle name="Input 2 2 4 2 5 5" xfId="2958" xr:uid="{393091CB-B070-42F5-93B1-647EB52725E0}"/>
    <cellStyle name="Input 2 2 4 2 5 5 2" xfId="6110" xr:uid="{5A497324-6C46-40AE-835A-7D903FD005EA}"/>
    <cellStyle name="Input 2 2 4 2 5 6" xfId="3371" xr:uid="{279DFA6B-EC59-4541-97FE-DAD74B14A09D}"/>
    <cellStyle name="Input 2 2 4 2 5 7" xfId="4171" xr:uid="{1810CC9C-835C-49B4-B210-613E424CDEC6}"/>
    <cellStyle name="Input 2 2 4 2 6" xfId="594" xr:uid="{827D8619-E68A-4AD9-BC63-7ABB24593006}"/>
    <cellStyle name="Input 2 2 4 2 6 2" xfId="3758" xr:uid="{950A09EA-7F2A-46D6-BBF2-639014349DAE}"/>
    <cellStyle name="Input 2 2 4 2 7" xfId="1193" xr:uid="{947F49A8-8E9D-496C-9C37-2D6FD925038F}"/>
    <cellStyle name="Input 2 2 4 2 7 2" xfId="4346" xr:uid="{D2473A6C-AB8E-4F3F-AAE3-6E7DD181B81D}"/>
    <cellStyle name="Input 2 2 4 2 8" xfId="1728" xr:uid="{240D1400-C031-4063-AF4F-EC1FC627D692}"/>
    <cellStyle name="Input 2 2 4 2 8 2" xfId="4880" xr:uid="{3EA17C7D-2FF1-4D7A-B67E-C0C9DA598BFA}"/>
    <cellStyle name="Input 2 2 4 2 9" xfId="3495" xr:uid="{5775D543-AECD-4517-8641-C621BE5F6724}"/>
    <cellStyle name="Input 2 2 4 3" xfId="405" xr:uid="{19B991D4-A2DC-4DF0-9889-DE4F2047E036}"/>
    <cellStyle name="Input 2 2 4 3 2" xfId="699" xr:uid="{583EB931-6BC4-43E0-B92D-1B132F2B5359}"/>
    <cellStyle name="Input 2 2 4 3 2 2" xfId="3862" xr:uid="{18474F89-C63E-4D29-822D-E1FA733A6D60}"/>
    <cellStyle name="Input 2 2 4 3 3" xfId="1298" xr:uid="{20A646E2-4EEF-40A7-84A9-03EF8FF42D33}"/>
    <cellStyle name="Input 2 2 4 3 3 2" xfId="4450" xr:uid="{AC0F333D-F9E3-48BB-8414-916FE9DB4D47}"/>
    <cellStyle name="Input 2 2 4 3 4" xfId="1832" xr:uid="{2481AA7F-B382-4EAD-8D53-2AB4D534F843}"/>
    <cellStyle name="Input 2 2 4 3 4 2" xfId="4984" xr:uid="{DBD76407-583C-4672-ABEE-007BA3F96671}"/>
    <cellStyle name="Input 2 2 4 3 5" xfId="2307" xr:uid="{28196B36-4642-422F-B3B2-1ABA0973761E}"/>
    <cellStyle name="Input 2 2 4 3 5 2" xfId="5459" xr:uid="{B3CEE6B0-BE49-4830-AC89-6BAA2703685D}"/>
    <cellStyle name="Input 2 2 4 3 6" xfId="1036" xr:uid="{AA1DF1E1-77BC-4895-9ADF-9221380C0AFA}"/>
    <cellStyle name="Input 2 2 4 3 6 2" xfId="4199" xr:uid="{E3283142-983E-496B-8906-7A81C6452041}"/>
    <cellStyle name="Input 2 2 4 3 7" xfId="3062" xr:uid="{DF5F8372-D64F-474A-AB9E-952DFCEF9315}"/>
    <cellStyle name="Input 2 2 4 3 7 2" xfId="6214" xr:uid="{E9E13D42-7578-4043-A943-4D876D263905}"/>
    <cellStyle name="Input 2 2 4 3 8" xfId="3585" xr:uid="{3BA92141-A0FB-479D-991A-4066B11541AD}"/>
    <cellStyle name="Input 2 2 4 4" xfId="751" xr:uid="{8D7E0051-F130-44C2-97D7-ED6AB7ECEFCC}"/>
    <cellStyle name="Input 2 2 4 4 2" xfId="1350" xr:uid="{D3BC9A2D-5515-4FCF-BD47-3AABC2D579DD}"/>
    <cellStyle name="Input 2 2 4 4 2 2" xfId="4502" xr:uid="{59CC112C-4579-4AE7-8610-2BA9B685038A}"/>
    <cellStyle name="Input 2 2 4 4 3" xfId="1884" xr:uid="{FC93C9A3-D26E-4168-AB45-98ACB371A3D5}"/>
    <cellStyle name="Input 2 2 4 4 3 2" xfId="5036" xr:uid="{80A3DF9E-E226-440B-8676-BF4353439472}"/>
    <cellStyle name="Input 2 2 4 4 4" xfId="2359" xr:uid="{7EC37402-A3AD-433D-81D7-20A720B1FA42}"/>
    <cellStyle name="Input 2 2 4 4 4 2" xfId="5511" xr:uid="{3CA5D748-9073-423A-9A8C-86A9BFDDD050}"/>
    <cellStyle name="Input 2 2 4 4 5" xfId="2664" xr:uid="{D23AAC85-AFBA-455F-A5AC-E76507C4D745}"/>
    <cellStyle name="Input 2 2 4 4 5 2" xfId="5816" xr:uid="{B737E5ED-3799-4E6A-AC4D-23970B4A7159}"/>
    <cellStyle name="Input 2 2 4 4 6" xfId="3114" xr:uid="{AB3BC315-9F54-4A32-9E2F-0B4D10573A7A}"/>
    <cellStyle name="Input 2 2 4 4 6 2" xfId="6266" xr:uid="{478B0D38-165E-418F-B10A-6F88CEF0F686}"/>
    <cellStyle name="Input 2 2 4 4 7" xfId="3914" xr:uid="{F2933F4A-027B-41E7-9043-98DC9C5905F1}"/>
    <cellStyle name="Input 2 2 4 5" xfId="835" xr:uid="{5CBD6C80-123D-4693-887F-6C4B082FBEEF}"/>
    <cellStyle name="Input 2 2 4 5 2" xfId="1434" xr:uid="{EE172F2E-8F24-4B6A-A733-B0C4D144DE04}"/>
    <cellStyle name="Input 2 2 4 5 2 2" xfId="4586" xr:uid="{AFC4CCA8-8F5C-4F41-BDF0-1D73D2201C1D}"/>
    <cellStyle name="Input 2 2 4 5 3" xfId="1968" xr:uid="{A14123F9-B379-47A4-BCB7-5300A8CB4CB9}"/>
    <cellStyle name="Input 2 2 4 5 3 2" xfId="5120" xr:uid="{81E4CD9F-6429-498A-B83B-BEE3D70C316E}"/>
    <cellStyle name="Input 2 2 4 5 4" xfId="2443" xr:uid="{5886F98A-05C0-446F-8DA3-B9791C959535}"/>
    <cellStyle name="Input 2 2 4 5 4 2" xfId="5595" xr:uid="{23F05246-2A66-4C78-9F7F-D1410BF88EE8}"/>
    <cellStyle name="Input 2 2 4 5 5" xfId="1063" xr:uid="{C7107ED5-F493-494B-8788-3AE975B1213D}"/>
    <cellStyle name="Input 2 2 4 5 5 2" xfId="4225" xr:uid="{45F42E9D-EA33-4CB1-817A-18A7F3A0BBFD}"/>
    <cellStyle name="Input 2 2 4 5 6" xfId="3198" xr:uid="{D98F2401-23C4-490D-AD4A-3A5A3CB0517F}"/>
    <cellStyle name="Input 2 2 4 5 6 2" xfId="6350" xr:uid="{EEF23063-4D3C-499D-B8FD-40ED9C9E36CE}"/>
    <cellStyle name="Input 2 2 4 5 7" xfId="3998" xr:uid="{C6242ED2-5BEC-4D90-8452-DBE37F3769DF}"/>
    <cellStyle name="Input 2 2 4 6" xfId="954" xr:uid="{A13E2E7B-FAB8-47A8-99BC-1E3366C91BE4}"/>
    <cellStyle name="Input 2 2 4 6 2" xfId="1553" xr:uid="{2E6617FC-7C8E-4BF3-982B-D25BF3228E53}"/>
    <cellStyle name="Input 2 2 4 6 2 2" xfId="4705" xr:uid="{517F8C21-451B-40AD-B451-D0F22248BDA4}"/>
    <cellStyle name="Input 2 2 4 6 3" xfId="2087" xr:uid="{EC8AC56B-25DA-41E7-AE08-B9CD543C5ED8}"/>
    <cellStyle name="Input 2 2 4 6 3 2" xfId="5239" xr:uid="{ED2EF1CE-6D37-4698-AC01-F355DA1E0440}"/>
    <cellStyle name="Input 2 2 4 6 4" xfId="2736" xr:uid="{32029F9C-FD21-4FE8-B9E5-DB09A824B77B}"/>
    <cellStyle name="Input 2 2 4 6 4 2" xfId="5888" xr:uid="{98E9C47D-0B00-4757-A7BA-88F93AEE7D66}"/>
    <cellStyle name="Input 2 2 4 6 5" xfId="2904" xr:uid="{769FDAA6-514D-43D5-A483-AA8FF8ED7E34}"/>
    <cellStyle name="Input 2 2 4 6 5 2" xfId="6056" xr:uid="{76B22E0A-AD07-4058-9FD0-2660B7729F70}"/>
    <cellStyle name="Input 2 2 4 6 6" xfId="3317" xr:uid="{2A475501-D00C-4997-93FC-E8569D599BEC}"/>
    <cellStyle name="Input 2 2 4 6 7" xfId="4117" xr:uid="{D2B535FC-82E2-40F6-84C2-B5D9E317DF2F}"/>
    <cellStyle name="Input 2 2 4 7" xfId="535" xr:uid="{8C5447AF-B793-4511-89B7-C31F9D15301A}"/>
    <cellStyle name="Input 2 2 4 7 2" xfId="3704" xr:uid="{347AB2E1-35DA-4EA3-A283-D2FC4CA91C1E}"/>
    <cellStyle name="Input 2 2 4 8" xfId="1133" xr:uid="{DBCFC507-33B6-47A0-B943-B6A0D927BF78}"/>
    <cellStyle name="Input 2 2 4 8 2" xfId="4291" xr:uid="{AFA11DC0-9E1B-49D8-8D6D-E1C921F72CDF}"/>
    <cellStyle name="Input 2 2 4 9" xfId="1670" xr:uid="{1DF0D267-4F01-4EF6-8D8B-8AE14ECC08F0}"/>
    <cellStyle name="Input 2 2 4 9 2" xfId="4822" xr:uid="{44F2BE95-4395-4985-964A-FC69F667A288}"/>
    <cellStyle name="Input 2 2 5" xfId="103" xr:uid="{E9E9BDAC-DEE8-4A5A-9D54-6FEADC29DA19}"/>
    <cellStyle name="Input 2 2 5 10" xfId="3433" xr:uid="{24DD2329-BEC0-4D0E-B390-4BF76DB9ED3F}"/>
    <cellStyle name="Input 2 2 5 2" xfId="183" xr:uid="{3CE455AF-5689-4C70-9FB7-52187F4BAB5E}"/>
    <cellStyle name="Input 2 2 5 2 2" xfId="469" xr:uid="{26224C80-5192-4A35-BDA5-00F4C0A20B81}"/>
    <cellStyle name="Input 2 2 5 2 2 2" xfId="729" xr:uid="{66D294FD-6239-4FCA-AAAB-94E74CA2E741}"/>
    <cellStyle name="Input 2 2 5 2 2 2 2" xfId="3892" xr:uid="{A57C4CBC-832B-48E8-A82D-86282219246D}"/>
    <cellStyle name="Input 2 2 5 2 2 3" xfId="1328" xr:uid="{FF9ED1F1-1656-4A7C-BCB6-EB1DF785F98F}"/>
    <cellStyle name="Input 2 2 5 2 2 3 2" xfId="4480" xr:uid="{623AC746-913F-4D02-A20D-26978FB905FA}"/>
    <cellStyle name="Input 2 2 5 2 2 4" xfId="1862" xr:uid="{1D116CCD-2A8A-4D87-BE34-4C26518C83AA}"/>
    <cellStyle name="Input 2 2 5 2 2 4 2" xfId="5014" xr:uid="{FCD71F38-EA07-46F2-AB39-9B3C625F502F}"/>
    <cellStyle name="Input 2 2 5 2 2 5" xfId="2337" xr:uid="{2FCB70BD-1BFB-4AE0-A14C-6CD06BD6E67A}"/>
    <cellStyle name="Input 2 2 5 2 2 5 2" xfId="5489" xr:uid="{B37BFBE3-67C6-4DCD-AF41-72158788E767}"/>
    <cellStyle name="Input 2 2 5 2 2 6" xfId="2642" xr:uid="{C1D9CA30-6940-43DD-8E2C-4F98694B6934}"/>
    <cellStyle name="Input 2 2 5 2 2 6 2" xfId="5794" xr:uid="{FE2B2BBA-FF44-45AB-8D4A-2B78C56A2A9C}"/>
    <cellStyle name="Input 2 2 5 2 2 7" xfId="3092" xr:uid="{F7ECD21C-DE67-4544-BC33-05AE2C1FDEC4}"/>
    <cellStyle name="Input 2 2 5 2 2 7 2" xfId="6244" xr:uid="{F0D062B8-D075-4D62-98E1-8432F6481BC7}"/>
    <cellStyle name="Input 2 2 5 2 2 8" xfId="3644" xr:uid="{91B0FD9B-3199-48E1-889D-AD82BDA59EE8}"/>
    <cellStyle name="Input 2 2 5 2 3" xfId="774" xr:uid="{48F325D7-421B-4F39-AE17-A0C095804DD0}"/>
    <cellStyle name="Input 2 2 5 2 3 2" xfId="1373" xr:uid="{85233468-575E-4D95-A9FC-1723FAC28191}"/>
    <cellStyle name="Input 2 2 5 2 3 2 2" xfId="4525" xr:uid="{0FFE46B2-2853-484E-993B-1AB2F5DD8760}"/>
    <cellStyle name="Input 2 2 5 2 3 3" xfId="1907" xr:uid="{6FE9C4CA-75C3-4F46-9F3A-A52201BD5802}"/>
    <cellStyle name="Input 2 2 5 2 3 3 2" xfId="5059" xr:uid="{59A643BA-5228-4189-B1F4-A5C56A0F37BD}"/>
    <cellStyle name="Input 2 2 5 2 3 4" xfId="2382" xr:uid="{470518F2-6A05-4B35-8C8F-ED62C6437796}"/>
    <cellStyle name="Input 2 2 5 2 3 4 2" xfId="5534" xr:uid="{790A245D-552A-46E2-BDCB-91AC4E9550D8}"/>
    <cellStyle name="Input 2 2 5 2 3 5" xfId="1024" xr:uid="{7653A95C-7932-4DDD-BEEA-0514FF07EA0C}"/>
    <cellStyle name="Input 2 2 5 2 3 5 2" xfId="4187" xr:uid="{225FFA1B-13A3-4232-B718-E71A9E82405A}"/>
    <cellStyle name="Input 2 2 5 2 3 6" xfId="3137" xr:uid="{128AC330-6532-450E-963E-BAFB19B4D8DE}"/>
    <cellStyle name="Input 2 2 5 2 3 6 2" xfId="6289" xr:uid="{1B6079A4-C4B4-4D58-82D4-49961CFF1F62}"/>
    <cellStyle name="Input 2 2 5 2 3 7" xfId="3937" xr:uid="{E9C6FC63-AA59-415E-A0E1-94F8EE5CC12D}"/>
    <cellStyle name="Input 2 2 5 2 4" xfId="894" xr:uid="{D95EF6EA-7706-4B09-973C-67EE534AB9E1}"/>
    <cellStyle name="Input 2 2 5 2 4 2" xfId="1493" xr:uid="{460573E9-B298-4D04-9EF6-B384AAAEBF2A}"/>
    <cellStyle name="Input 2 2 5 2 4 2 2" xfId="4645" xr:uid="{1827651D-2309-4C08-9628-9B75F06E3690}"/>
    <cellStyle name="Input 2 2 5 2 4 3" xfId="2027" xr:uid="{CAA2B8FB-8828-4BC2-876E-4F87D133421C}"/>
    <cellStyle name="Input 2 2 5 2 4 3 2" xfId="5179" xr:uid="{B67F23D8-5539-4B2A-9138-FC96BAED8421}"/>
    <cellStyle name="Input 2 2 5 2 4 4" xfId="2502" xr:uid="{52C3B203-D753-4366-9031-B5ECD41C1DE0}"/>
    <cellStyle name="Input 2 2 5 2 4 4 2" xfId="5654" xr:uid="{1B2BEA32-07B5-4BFA-9A39-5D59FB1CFA74}"/>
    <cellStyle name="Input 2 2 5 2 4 5" xfId="2844" xr:uid="{49EDB33F-789E-4E8A-B9DF-A81631FB3D8C}"/>
    <cellStyle name="Input 2 2 5 2 4 5 2" xfId="5996" xr:uid="{E0B4D6C5-746C-4619-A309-F3731610D836}"/>
    <cellStyle name="Input 2 2 5 2 4 6" xfId="3257" xr:uid="{AFE27774-5D7E-45BB-A389-5C473201182B}"/>
    <cellStyle name="Input 2 2 5 2 4 6 2" xfId="6409" xr:uid="{C9B8CB49-6B70-4ACE-A345-1399C497F598}"/>
    <cellStyle name="Input 2 2 5 2 4 7" xfId="4057" xr:uid="{F481021A-82A7-4EC0-A1B2-87D9358D16BB}"/>
    <cellStyle name="Input 2 2 5 2 5" xfId="1013" xr:uid="{60025743-C884-46C0-A9EF-93D8814666BE}"/>
    <cellStyle name="Input 2 2 5 2 5 2" xfId="1612" xr:uid="{B0D8404E-2505-46B4-8FD7-868271B330EA}"/>
    <cellStyle name="Input 2 2 5 2 5 2 2" xfId="4764" xr:uid="{3A160724-E91C-4881-87E8-C989AAE01E64}"/>
    <cellStyle name="Input 2 2 5 2 5 3" xfId="2146" xr:uid="{D0797CF0-595C-4AE2-9693-747B5A188798}"/>
    <cellStyle name="Input 2 2 5 2 5 3 2" xfId="5298" xr:uid="{3C81F5AF-5894-48D3-86BF-740AD33B2FDA}"/>
    <cellStyle name="Input 2 2 5 2 5 4" xfId="2795" xr:uid="{93544379-B1D2-4524-AC62-B85FA8B0C1CB}"/>
    <cellStyle name="Input 2 2 5 2 5 4 2" xfId="5947" xr:uid="{BA760B97-1A62-4BEF-9D15-EF0CA9125C66}"/>
    <cellStyle name="Input 2 2 5 2 5 5" xfId="2963" xr:uid="{60E8D75C-3FAA-4460-A1E3-D69C99678E0B}"/>
    <cellStyle name="Input 2 2 5 2 5 5 2" xfId="6115" xr:uid="{B6AE3DDC-1FC7-4B66-9C83-ACFD0CDAF0A9}"/>
    <cellStyle name="Input 2 2 5 2 5 6" xfId="3376" xr:uid="{3A093956-461F-4E5A-8ACA-6EAE2C787EE1}"/>
    <cellStyle name="Input 2 2 5 2 5 7" xfId="4176" xr:uid="{24378EF3-9A5D-4676-AD73-1733F9C11ECA}"/>
    <cellStyle name="Input 2 2 5 2 6" xfId="599" xr:uid="{FAE5AD58-725F-4D50-8B67-F5A3A548B95F}"/>
    <cellStyle name="Input 2 2 5 2 6 2" xfId="3763" xr:uid="{066F2C44-5D05-4A97-BF08-9AD413D83BB1}"/>
    <cellStyle name="Input 2 2 5 2 7" xfId="1198" xr:uid="{79A1D2EA-DABB-4AB9-BA96-50A30B31E6BD}"/>
    <cellStyle name="Input 2 2 5 2 7 2" xfId="4351" xr:uid="{C3042904-6955-429C-BB00-36F1BE3B598F}"/>
    <cellStyle name="Input 2 2 5 2 8" xfId="1733" xr:uid="{230E2B3A-CBB5-49E2-8E78-9268065C13C4}"/>
    <cellStyle name="Input 2 2 5 2 8 2" xfId="4885" xr:uid="{4218C970-7CB6-48F0-9D83-EF852CFD89C9}"/>
    <cellStyle name="Input 2 2 5 2 9" xfId="3500" xr:uid="{9E7A64D0-6377-479D-AEAB-9DC8D1D628F7}"/>
    <cellStyle name="Input 2 2 5 3" xfId="410" xr:uid="{E72F43E9-A243-403A-9AA2-6C8C68B3E1C5}"/>
    <cellStyle name="Input 2 2 5 3 2" xfId="726" xr:uid="{ED39F785-BFAF-436B-8779-BA9EFB73BE30}"/>
    <cellStyle name="Input 2 2 5 3 2 2" xfId="3889" xr:uid="{A0E4AD66-3E4E-475F-B0C5-484BD7A5E59E}"/>
    <cellStyle name="Input 2 2 5 3 3" xfId="1325" xr:uid="{40903086-FCD8-4A5F-B67A-32C67937A89A}"/>
    <cellStyle name="Input 2 2 5 3 3 2" xfId="4477" xr:uid="{EB249DA9-D6F2-40ED-9DD0-0E87988DDA23}"/>
    <cellStyle name="Input 2 2 5 3 4" xfId="1859" xr:uid="{076CB8DD-5943-4771-9586-F63A0D54BE44}"/>
    <cellStyle name="Input 2 2 5 3 4 2" xfId="5011" xr:uid="{25AB3613-9C69-43B1-8E5E-26D5E156BD63}"/>
    <cellStyle name="Input 2 2 5 3 5" xfId="2334" xr:uid="{ECBB86B6-D58E-474D-832E-00DC151D46EB}"/>
    <cellStyle name="Input 2 2 5 3 5 2" xfId="5486" xr:uid="{E95C77FE-FA34-407D-9764-F98715069972}"/>
    <cellStyle name="Input 2 2 5 3 6" xfId="2553" xr:uid="{90395C09-2B72-446B-A86D-00FBA5948B25}"/>
    <cellStyle name="Input 2 2 5 3 6 2" xfId="5705" xr:uid="{6A7AA60C-47BE-4CBE-904A-0BF0FC9DD42A}"/>
    <cellStyle name="Input 2 2 5 3 7" xfId="3089" xr:uid="{9628BC2D-4A6A-43F5-B868-4F82AFA25680}"/>
    <cellStyle name="Input 2 2 5 3 7 2" xfId="6241" xr:uid="{BCEC303B-2789-4FCB-9E59-CA1E76DD9569}"/>
    <cellStyle name="Input 2 2 5 3 8" xfId="3590" xr:uid="{89E11008-16E0-489F-9B44-8259C76B354E}"/>
    <cellStyle name="Input 2 2 5 4" xfId="753" xr:uid="{4BE37F41-C509-483A-81C4-B5DB1D6A35F8}"/>
    <cellStyle name="Input 2 2 5 4 2" xfId="1352" xr:uid="{A8D99558-01DD-464F-A7CE-6999E3A595E5}"/>
    <cellStyle name="Input 2 2 5 4 2 2" xfId="4504" xr:uid="{AF57A8D2-EB78-4D89-A2C4-E5499C52C517}"/>
    <cellStyle name="Input 2 2 5 4 3" xfId="1886" xr:uid="{4D438F7B-41AE-4CCD-A573-51226A3FEE06}"/>
    <cellStyle name="Input 2 2 5 4 3 2" xfId="5038" xr:uid="{2CEB78D4-8AC8-468E-9A19-BD25509287B7}"/>
    <cellStyle name="Input 2 2 5 4 4" xfId="2361" xr:uid="{8132A662-C060-49F7-82A9-BAED7F142C3E}"/>
    <cellStyle name="Input 2 2 5 4 4 2" xfId="5513" xr:uid="{D0BED3FC-87E5-43D0-BE3D-50B3B4900BF7}"/>
    <cellStyle name="Input 2 2 5 4 5" xfId="2163" xr:uid="{E4117F98-1F21-4BE9-BF66-58B3D42AE6F5}"/>
    <cellStyle name="Input 2 2 5 4 5 2" xfId="5315" xr:uid="{DA507D1C-D4E2-4519-8F40-739EE307D2DE}"/>
    <cellStyle name="Input 2 2 5 4 6" xfId="3116" xr:uid="{B31E74F8-B4F0-4306-B03D-3E0D81DA12D4}"/>
    <cellStyle name="Input 2 2 5 4 6 2" xfId="6268" xr:uid="{B676A7BB-C8B8-4C17-9ED6-849C8626DF18}"/>
    <cellStyle name="Input 2 2 5 4 7" xfId="3916" xr:uid="{FAA65C2A-BFC4-42AD-999B-E98E9680AC52}"/>
    <cellStyle name="Input 2 2 5 5" xfId="840" xr:uid="{50E41125-819A-4ABD-ABAE-74E4BEEC1669}"/>
    <cellStyle name="Input 2 2 5 5 2" xfId="1439" xr:uid="{C142940B-ACDA-43FB-8B3B-1F629648044F}"/>
    <cellStyle name="Input 2 2 5 5 2 2" xfId="4591" xr:uid="{DCE8E864-94F9-4014-92C6-8A38DF741C76}"/>
    <cellStyle name="Input 2 2 5 5 3" xfId="1973" xr:uid="{A770CC6B-9D22-42F3-B151-AE5BBCCD334B}"/>
    <cellStyle name="Input 2 2 5 5 3 2" xfId="5125" xr:uid="{00447B34-8097-457B-A593-C0AE579233AE}"/>
    <cellStyle name="Input 2 2 5 5 4" xfId="2448" xr:uid="{D208D6DD-7904-4070-9916-92EE5B0B314F}"/>
    <cellStyle name="Input 2 2 5 5 4 2" xfId="5600" xr:uid="{5AB70141-38A7-4AE2-8FCC-90A235AF1140}"/>
    <cellStyle name="Input 2 2 5 5 5" xfId="2187" xr:uid="{1249FBEB-99FF-49B6-A0A7-1F2C77CA02C7}"/>
    <cellStyle name="Input 2 2 5 5 5 2" xfId="5339" xr:uid="{7D7F76CE-207D-4C2E-AF87-2B6584637094}"/>
    <cellStyle name="Input 2 2 5 5 6" xfId="3203" xr:uid="{DFE4BACC-33C2-4786-9385-C5C1A00DCCC7}"/>
    <cellStyle name="Input 2 2 5 5 6 2" xfId="6355" xr:uid="{03C3C9EF-8BAD-4A78-B74A-4353BB8627F5}"/>
    <cellStyle name="Input 2 2 5 5 7" xfId="4003" xr:uid="{510781FF-DB04-413E-9659-FBEE83827099}"/>
    <cellStyle name="Input 2 2 5 6" xfId="959" xr:uid="{FAFAA577-DC97-4A0F-9387-E7BDCB6E9AE9}"/>
    <cellStyle name="Input 2 2 5 6 2" xfId="1558" xr:uid="{5B62232B-2D90-45FB-9EF9-5C9637864301}"/>
    <cellStyle name="Input 2 2 5 6 2 2" xfId="4710" xr:uid="{F41B0CA1-CAB6-4FFC-A456-4E7B8C077E86}"/>
    <cellStyle name="Input 2 2 5 6 3" xfId="2092" xr:uid="{69536EFD-5C81-451F-B1AD-A2736FF1D06E}"/>
    <cellStyle name="Input 2 2 5 6 3 2" xfId="5244" xr:uid="{F7DBAAD1-90B3-4B39-88BB-A97C403D4FEE}"/>
    <cellStyle name="Input 2 2 5 6 4" xfId="2741" xr:uid="{9F6EF419-D3C7-4A0A-9EFC-044E76B7A746}"/>
    <cellStyle name="Input 2 2 5 6 4 2" xfId="5893" xr:uid="{0F76D317-54DB-4D5F-841D-E5422659A905}"/>
    <cellStyle name="Input 2 2 5 6 5" xfId="2909" xr:uid="{4F8EA93E-91A5-4487-8DD1-CDE4A6366181}"/>
    <cellStyle name="Input 2 2 5 6 5 2" xfId="6061" xr:uid="{A1DF1444-0D5E-4FAF-9E04-EB0604B2C62D}"/>
    <cellStyle name="Input 2 2 5 6 6" xfId="3322" xr:uid="{043D4C5E-D248-4FB0-854D-73D639A9C152}"/>
    <cellStyle name="Input 2 2 5 6 7" xfId="4122" xr:uid="{F4C082F0-30E6-481C-9822-CEC873C55020}"/>
    <cellStyle name="Input 2 2 5 7" xfId="540" xr:uid="{01446C19-FAF7-4274-BECA-CDFA0D45AFF9}"/>
    <cellStyle name="Input 2 2 5 7 2" xfId="3709" xr:uid="{F8CD708D-3C87-490E-927D-F43970926EC5}"/>
    <cellStyle name="Input 2 2 5 8" xfId="1138" xr:uid="{5BAE2B16-F084-4A67-8C34-A6C46B9861E3}"/>
    <cellStyle name="Input 2 2 5 8 2" xfId="4296" xr:uid="{3204B517-27C5-466E-AABB-D0D19BB92321}"/>
    <cellStyle name="Input 2 2 5 9" xfId="1675" xr:uid="{27DE4899-4B61-4F1A-BB27-3A80484711A2}"/>
    <cellStyle name="Input 2 2 5 9 2" xfId="4827" xr:uid="{ED561F75-7E65-477E-A110-2D6DE5E8FEB1}"/>
    <cellStyle name="Input 2 2 6" xfId="121" xr:uid="{001998D9-B262-4BDB-BF10-5F49E7C35416}"/>
    <cellStyle name="Input 2 2 6 2" xfId="387" xr:uid="{9E036915-4136-4A99-A162-42C24379CE67}"/>
    <cellStyle name="Input 2 2 6 2 2" xfId="696" xr:uid="{6547DECA-B52C-43A5-AC88-2B33C933E3A3}"/>
    <cellStyle name="Input 2 2 6 2 2 2" xfId="3859" xr:uid="{697E491E-E799-4473-9940-7718CB13A9C4}"/>
    <cellStyle name="Input 2 2 6 2 3" xfId="1295" xr:uid="{C221B950-3454-4FEB-BF6E-E7CC2BA7AD01}"/>
    <cellStyle name="Input 2 2 6 2 3 2" xfId="4447" xr:uid="{B1E9B27A-CCDF-4A31-B427-F5B73EDE7FC0}"/>
    <cellStyle name="Input 2 2 6 2 4" xfId="1829" xr:uid="{643E3DA7-6CFB-4958-9721-1A198F0B1349}"/>
    <cellStyle name="Input 2 2 6 2 4 2" xfId="4981" xr:uid="{26A56F04-EBBF-4A14-9C05-EBE4E189E58F}"/>
    <cellStyle name="Input 2 2 6 2 5" xfId="2304" xr:uid="{3BE5C775-8C39-4434-855B-3FC2BAE85488}"/>
    <cellStyle name="Input 2 2 6 2 5 2" xfId="5456" xr:uid="{FA9853C1-CAC2-4DF8-9CBC-C66ECB470C8A}"/>
    <cellStyle name="Input 2 2 6 2 6" xfId="2167" xr:uid="{DD00ABAC-CEA4-46CA-8A95-9DD48A29F3B5}"/>
    <cellStyle name="Input 2 2 6 2 6 2" xfId="5319" xr:uid="{5F012383-015B-4739-A924-277301942FC5}"/>
    <cellStyle name="Input 2 2 6 2 7" xfId="3059" xr:uid="{4BD220DF-2378-4728-8633-9F4B7D0BD087}"/>
    <cellStyle name="Input 2 2 6 2 7 2" xfId="6211" xr:uid="{AEBF6003-E3A8-407B-BDA8-D1F1E4857455}"/>
    <cellStyle name="Input 2 2 6 2 8" xfId="3568" xr:uid="{E6AFE950-8FB4-4B6C-893E-39B4B1FCFE73}"/>
    <cellStyle name="Input 2 2 6 3" xfId="745" xr:uid="{D2BD2F14-6807-46A1-9CAA-E056F38CF0E9}"/>
    <cellStyle name="Input 2 2 6 3 2" xfId="1344" xr:uid="{7CA25AD6-8136-4CB2-86F8-7AA949BD4292}"/>
    <cellStyle name="Input 2 2 6 3 2 2" xfId="4496" xr:uid="{54A53B0E-DF0C-4DBD-9184-576186133800}"/>
    <cellStyle name="Input 2 2 6 3 3" xfId="1878" xr:uid="{5C0D581B-00E6-4A55-AAD4-DC89957701E0}"/>
    <cellStyle name="Input 2 2 6 3 3 2" xfId="5030" xr:uid="{01B8888A-4EA0-43C0-9D6E-1F3AA189EF70}"/>
    <cellStyle name="Input 2 2 6 3 4" xfId="2353" xr:uid="{50802386-BB36-46A8-98B7-079841623E0C}"/>
    <cellStyle name="Input 2 2 6 3 4 2" xfId="5505" xr:uid="{0CE39D03-0B14-4863-A1A4-00B4BC5D4A73}"/>
    <cellStyle name="Input 2 2 6 3 5" xfId="2539" xr:uid="{CCE340C4-768C-4D34-84B4-B2CC5CAB71BB}"/>
    <cellStyle name="Input 2 2 6 3 5 2" xfId="5691" xr:uid="{72660B44-155A-4823-AA81-CD2FC90E92E5}"/>
    <cellStyle name="Input 2 2 6 3 6" xfId="3108" xr:uid="{BC28D871-FA69-419C-94E5-CB6528DC82D5}"/>
    <cellStyle name="Input 2 2 6 3 6 2" xfId="6260" xr:uid="{E91FCE3B-76E8-438E-994B-66615D0EBC54}"/>
    <cellStyle name="Input 2 2 6 3 7" xfId="3908" xr:uid="{97EED5F8-75CE-4AC6-B643-A1C4AA8522DF}"/>
    <cellStyle name="Input 2 2 6 4" xfId="818" xr:uid="{C37AC6A9-B135-49BB-9403-D313E733FBC2}"/>
    <cellStyle name="Input 2 2 6 4 2" xfId="1417" xr:uid="{12AE841E-3473-439E-8127-2B869C5CAAB1}"/>
    <cellStyle name="Input 2 2 6 4 2 2" xfId="4569" xr:uid="{03782B2F-B1ED-46AF-8085-9A7116CFB84E}"/>
    <cellStyle name="Input 2 2 6 4 3" xfId="1951" xr:uid="{8E17A1F1-2F88-4F5B-A0B3-842AEEAC1324}"/>
    <cellStyle name="Input 2 2 6 4 3 2" xfId="5103" xr:uid="{AF87A913-A99A-4F6D-ADF0-4FC18E113FAA}"/>
    <cellStyle name="Input 2 2 6 4 4" xfId="2426" xr:uid="{FD20F762-BD03-4640-BA24-560304C22976}"/>
    <cellStyle name="Input 2 2 6 4 4 2" xfId="5578" xr:uid="{30390E37-27E6-4B26-9A0F-A8CB0F43E113}"/>
    <cellStyle name="Input 2 2 6 4 5" xfId="2558" xr:uid="{C411BFF1-BE9C-4FED-B262-6FF6F6985E28}"/>
    <cellStyle name="Input 2 2 6 4 5 2" xfId="5710" xr:uid="{6E69B3D8-E28D-48FA-A19E-D16A4FB094CE}"/>
    <cellStyle name="Input 2 2 6 4 6" xfId="3181" xr:uid="{D91DD98A-6508-4E8C-8CBF-08BB398694D8}"/>
    <cellStyle name="Input 2 2 6 4 6 2" xfId="6333" xr:uid="{3B5E4E08-5E4B-4F60-B54E-93666764046C}"/>
    <cellStyle name="Input 2 2 6 4 7" xfId="3981" xr:uid="{CFCA6467-DE9F-46E2-9518-A6051D0FD2A4}"/>
    <cellStyle name="Input 2 2 6 5" xfId="937" xr:uid="{199E5E14-868A-4685-B18B-CAFCDC054045}"/>
    <cellStyle name="Input 2 2 6 5 2" xfId="1536" xr:uid="{83875D7A-72B6-4FA4-9E46-4D1B70705D59}"/>
    <cellStyle name="Input 2 2 6 5 2 2" xfId="4688" xr:uid="{1AD488A0-A01F-48B6-BE72-68476FD66148}"/>
    <cellStyle name="Input 2 2 6 5 3" xfId="2070" xr:uid="{3A20B628-303A-46BE-8B60-74ACF7DEA008}"/>
    <cellStyle name="Input 2 2 6 5 3 2" xfId="5222" xr:uid="{E910D411-8F65-4FD7-A3FF-33508405D028}"/>
    <cellStyle name="Input 2 2 6 5 4" xfId="2719" xr:uid="{AF6E1956-C7FE-43D3-B16B-343236275A64}"/>
    <cellStyle name="Input 2 2 6 5 4 2" xfId="5871" xr:uid="{5112CDF0-05A3-4424-8512-CDF1AD1EA114}"/>
    <cellStyle name="Input 2 2 6 5 5" xfId="2887" xr:uid="{27888ACA-B61B-4CB3-8A79-F5104CAA3BE9}"/>
    <cellStyle name="Input 2 2 6 5 5 2" xfId="6039" xr:uid="{E41D08B8-B22C-40D6-B68F-AAD921249F0E}"/>
    <cellStyle name="Input 2 2 6 5 6" xfId="3300" xr:uid="{2C809540-3FFD-498D-930F-5C22182C30C3}"/>
    <cellStyle name="Input 2 2 6 5 7" xfId="4100" xr:uid="{004D0268-2741-41D8-8F9E-7F49B3FC7279}"/>
    <cellStyle name="Input 2 2 6 6" xfId="518" xr:uid="{BB0B58CE-9420-42F3-8706-D4BDF54AD406}"/>
    <cellStyle name="Input 2 2 6 6 2" xfId="3687" xr:uid="{0DA5D537-69F2-4BE7-8AF3-1C8647988BD2}"/>
    <cellStyle name="Input 2 2 6 7" xfId="1116" xr:uid="{9E28CA69-59C3-4977-BCC4-3E534BE96443}"/>
    <cellStyle name="Input 2 2 6 7 2" xfId="4274" xr:uid="{5BF3D5C2-6A59-48B8-BCB4-E07464B9F4BA}"/>
    <cellStyle name="Input 2 2 6 8" xfId="1653" xr:uid="{E20335FA-05E9-4469-8039-3D404D6C90A8}"/>
    <cellStyle name="Input 2 2 6 8 2" xfId="4805" xr:uid="{26139132-9DF2-4ED0-A45A-41E2065778C7}"/>
    <cellStyle name="Input 2 2 6 9" xfId="3443" xr:uid="{4FA898AE-B234-4DAA-8F4A-A73954889F11}"/>
    <cellStyle name="Input 2 2 7" xfId="130" xr:uid="{478C899B-01CB-443E-9A6F-AED3C260E667}"/>
    <cellStyle name="Input 2 2 7 2" xfId="447" xr:uid="{120361B8-8A0D-47EF-80CF-028A17BA3C63}"/>
    <cellStyle name="Input 2 2 7 2 2" xfId="656" xr:uid="{35341327-46AF-4481-B724-D0894D0190E7}"/>
    <cellStyle name="Input 2 2 7 2 2 2" xfId="3819" xr:uid="{86B5A3AB-6E80-4E2B-8123-0AFD8C511EC4}"/>
    <cellStyle name="Input 2 2 7 2 3" xfId="1255" xr:uid="{6F79831D-45BE-4568-8C95-B1E452BCB0C6}"/>
    <cellStyle name="Input 2 2 7 2 3 2" xfId="4407" xr:uid="{3DECB192-C4F4-4F68-9162-4C77476E3B26}"/>
    <cellStyle name="Input 2 2 7 2 4" xfId="1789" xr:uid="{150A12BC-8246-4469-A227-0E90EA0E32F9}"/>
    <cellStyle name="Input 2 2 7 2 4 2" xfId="4941" xr:uid="{66CBDDC9-646D-48A5-B3A0-EA37E9A882E9}"/>
    <cellStyle name="Input 2 2 7 2 5" xfId="2264" xr:uid="{2839859D-2327-4444-A727-01FB46C83C3F}"/>
    <cellStyle name="Input 2 2 7 2 5 2" xfId="5416" xr:uid="{3F3E8A4E-EB03-435E-AE65-E5C581F2AB6F}"/>
    <cellStyle name="Input 2 2 7 2 6" xfId="2194" xr:uid="{25E2C550-0CFC-4F68-BFB0-6B85D15F1B81}"/>
    <cellStyle name="Input 2 2 7 2 6 2" xfId="5346" xr:uid="{9D259241-CA09-40E5-A501-A7E3397483AC}"/>
    <cellStyle name="Input 2 2 7 2 7" xfId="3019" xr:uid="{489687BB-81D0-4ADE-95A2-728DD02AD547}"/>
    <cellStyle name="Input 2 2 7 2 7 2" xfId="6171" xr:uid="{E78045A3-F555-4EC4-85EF-63C7BD9F50C1}"/>
    <cellStyle name="Input 2 2 7 2 8" xfId="3622" xr:uid="{2FC0FF55-2886-428D-9E92-5C32491D3EB2}"/>
    <cellStyle name="Input 2 2 7 3" xfId="766" xr:uid="{905706E3-A1CB-4562-9132-AB866F16B7B8}"/>
    <cellStyle name="Input 2 2 7 3 2" xfId="1365" xr:uid="{A0891150-5F71-40CE-880A-59B5660B140F}"/>
    <cellStyle name="Input 2 2 7 3 2 2" xfId="4517" xr:uid="{037E200C-379B-4C4A-B4AD-F2A94CCAD934}"/>
    <cellStyle name="Input 2 2 7 3 3" xfId="1899" xr:uid="{6E6C5342-AE1B-4084-A8A8-1778787E4987}"/>
    <cellStyle name="Input 2 2 7 3 3 2" xfId="5051" xr:uid="{18D9F262-33F7-4DF1-B0A5-5F04CBAD9D06}"/>
    <cellStyle name="Input 2 2 7 3 4" xfId="2374" xr:uid="{8741A760-E73A-4684-9152-C2492A01E8FD}"/>
    <cellStyle name="Input 2 2 7 3 4 2" xfId="5526" xr:uid="{D6A91B72-4E36-494F-80FA-06573250AAE9}"/>
    <cellStyle name="Input 2 2 7 3 5" xfId="2514" xr:uid="{77614869-AC7A-4D87-A7C1-5049957BE1D9}"/>
    <cellStyle name="Input 2 2 7 3 5 2" xfId="5666" xr:uid="{8F7C93D5-189E-4D19-A19E-CDF7B21873F1}"/>
    <cellStyle name="Input 2 2 7 3 6" xfId="3129" xr:uid="{B3056733-6D20-4B29-B36F-B02314B3E1F5}"/>
    <cellStyle name="Input 2 2 7 3 6 2" xfId="6281" xr:uid="{6DA52503-495B-4D90-A324-7E4BF1820081}"/>
    <cellStyle name="Input 2 2 7 3 7" xfId="3929" xr:uid="{556B5B20-D785-4171-9CE1-E63F9BC6FE9C}"/>
    <cellStyle name="Input 2 2 7 4" xfId="872" xr:uid="{BA81E9B2-49E2-48EC-B662-031FE36238D3}"/>
    <cellStyle name="Input 2 2 7 4 2" xfId="1471" xr:uid="{EAB7D1FA-6682-4893-B900-A2256AF6B9B7}"/>
    <cellStyle name="Input 2 2 7 4 2 2" xfId="4623" xr:uid="{1F018A7D-D419-421A-9A7E-B6870076C7F8}"/>
    <cellStyle name="Input 2 2 7 4 3" xfId="2005" xr:uid="{8C5FB13E-ED6E-4B8A-9F49-C887E28F72CF}"/>
    <cellStyle name="Input 2 2 7 4 3 2" xfId="5157" xr:uid="{496C37E8-8C16-4C1E-8591-41ED2E145947}"/>
    <cellStyle name="Input 2 2 7 4 4" xfId="2480" xr:uid="{E49C2E8F-0171-41FE-854D-FDF92F6219F2}"/>
    <cellStyle name="Input 2 2 7 4 4 2" xfId="5632" xr:uid="{983F592B-D576-494A-AD07-C5A1F043D002}"/>
    <cellStyle name="Input 2 2 7 4 5" xfId="2822" xr:uid="{1FD2A709-632F-48F0-B627-8BA7D0145263}"/>
    <cellStyle name="Input 2 2 7 4 5 2" xfId="5974" xr:uid="{CD889553-4C7C-407F-9169-C69C15B7C54E}"/>
    <cellStyle name="Input 2 2 7 4 6" xfId="3235" xr:uid="{988B37CC-A2B3-4167-AF69-B195EF80802D}"/>
    <cellStyle name="Input 2 2 7 4 6 2" xfId="6387" xr:uid="{F5960336-B34E-46FE-97C3-21D4680A9ED7}"/>
    <cellStyle name="Input 2 2 7 4 7" xfId="4035" xr:uid="{40BC9238-3AC6-4E2A-802F-8C40C3AFF716}"/>
    <cellStyle name="Input 2 2 7 5" xfId="991" xr:uid="{B79DE5D3-CD56-43B1-B4B3-EC9DF3960B8A}"/>
    <cellStyle name="Input 2 2 7 5 2" xfId="1590" xr:uid="{B42AFA2B-796A-40EC-BC64-B630B7D7F667}"/>
    <cellStyle name="Input 2 2 7 5 2 2" xfId="4742" xr:uid="{7699A1C3-58B4-4559-956A-C4BEE2A41410}"/>
    <cellStyle name="Input 2 2 7 5 3" xfId="2124" xr:uid="{212AD7F0-6622-42CE-96FE-1AC1BF14D21E}"/>
    <cellStyle name="Input 2 2 7 5 3 2" xfId="5276" xr:uid="{0B62F507-E3AC-4E79-9FCD-45F1C0E14BF7}"/>
    <cellStyle name="Input 2 2 7 5 4" xfId="2773" xr:uid="{0AF39779-43CA-4639-AAD0-BD4317A156AF}"/>
    <cellStyle name="Input 2 2 7 5 4 2" xfId="5925" xr:uid="{A8B1C5A8-29B6-4014-AB5F-1DD5242E91E6}"/>
    <cellStyle name="Input 2 2 7 5 5" xfId="2941" xr:uid="{A69E35C4-591F-4670-BBCA-6C38FF5D5197}"/>
    <cellStyle name="Input 2 2 7 5 5 2" xfId="6093" xr:uid="{5B0E9026-839F-4250-9688-8C128FDAF6CD}"/>
    <cellStyle name="Input 2 2 7 5 6" xfId="3354" xr:uid="{352C643F-260F-4314-91AA-A22A14C269AE}"/>
    <cellStyle name="Input 2 2 7 5 7" xfId="4154" xr:uid="{D1D55847-99AB-4ECD-B7E0-8E2065706861}"/>
    <cellStyle name="Input 2 2 7 6" xfId="577" xr:uid="{D25B0570-EEB0-4E16-B03E-F983A0F742E6}"/>
    <cellStyle name="Input 2 2 7 6 2" xfId="3741" xr:uid="{09E5B70A-E6B1-4BA6-8172-A578E44F03E6}"/>
    <cellStyle name="Input 2 2 7 7" xfId="1176" xr:uid="{C70C94EB-67C3-40E9-BBB8-07F5DFD0D98F}"/>
    <cellStyle name="Input 2 2 7 7 2" xfId="4329" xr:uid="{4B6E5DA9-3B84-41D7-93FC-262C683778E5}"/>
    <cellStyle name="Input 2 2 7 8" xfId="1711" xr:uid="{1ECC56BF-0247-4B56-A818-0F0962AE4302}"/>
    <cellStyle name="Input 2 2 7 8 2" xfId="4863" xr:uid="{39E4D76D-B1A2-461D-9F58-2BF5D10B423D}"/>
    <cellStyle name="Input 2 2 7 9" xfId="3450" xr:uid="{98CC96FA-2763-4C36-9E49-EF908340F64F}"/>
    <cellStyle name="Input 2 2 8" xfId="207" xr:uid="{B1968FF2-59C3-485C-BA66-14F6FF684AC5}"/>
    <cellStyle name="Input 2 2 8 2" xfId="3515" xr:uid="{87C2D7A6-A5E7-4C69-B297-28DCA03D3A00}"/>
    <cellStyle name="Input 2 2 9" xfId="219" xr:uid="{0E877F4A-8E4E-4213-AB75-80D5AD84DCED}"/>
    <cellStyle name="Input 2 2 9 2" xfId="3525" xr:uid="{5D1D73D5-822D-4DCB-BE6F-660F1A750CC3}"/>
    <cellStyle name="Input 2 3" xfId="67" xr:uid="{E89B3F92-109B-4429-9991-2268A50DFE68}"/>
    <cellStyle name="Input 2 3 10" xfId="476" xr:uid="{4C355A48-3249-43DE-9250-06831E02323E}"/>
    <cellStyle name="Input 2 3 10 2" xfId="3649" xr:uid="{D7363044-520B-4D0A-B74B-00B1BA1FE760}"/>
    <cellStyle name="Input 2 3 11" xfId="1069" xr:uid="{240D6377-6E37-41EF-9F5E-9DE00A69D1CB}"/>
    <cellStyle name="Input 2 3 11 2" xfId="4231" xr:uid="{D51318EC-BAF1-425A-96D0-FB0E5BD73DB0}"/>
    <cellStyle name="Input 2 3 12" xfId="1056" xr:uid="{A515FB4F-91DD-4D49-97C9-CA1DFAAA97EA}"/>
    <cellStyle name="Input 2 3 12 2" xfId="4218" xr:uid="{7A615924-B5BD-4F6A-A3AD-FA027EDBAF7D}"/>
    <cellStyle name="Input 2 3 13" xfId="3400" xr:uid="{09E240BA-858C-4E93-8E40-8B75D8FFF683}"/>
    <cellStyle name="Input 2 3 2" xfId="152" xr:uid="{053BB6CC-E11C-4E8E-BE99-60A3B32BD172}"/>
    <cellStyle name="Input 2 3 2 2" xfId="375" xr:uid="{8076F44E-6F5A-4433-AD5B-2947B3619192}"/>
    <cellStyle name="Input 2 3 2 2 2" xfId="710" xr:uid="{7EDAC9CE-4BC3-4878-994F-E59FFFFBDFE9}"/>
    <cellStyle name="Input 2 3 2 2 2 2" xfId="3873" xr:uid="{DA56C8C6-0275-493C-B594-28E32C839CD8}"/>
    <cellStyle name="Input 2 3 2 2 3" xfId="1309" xr:uid="{7695F77A-F88E-4C77-9D4B-CA9A224B1DC7}"/>
    <cellStyle name="Input 2 3 2 2 3 2" xfId="4461" xr:uid="{ACD36996-7C86-43A4-BF4B-F3195B8452C9}"/>
    <cellStyle name="Input 2 3 2 2 4" xfId="1843" xr:uid="{FD0FD443-725E-425C-A0EC-58DE232F92CF}"/>
    <cellStyle name="Input 2 3 2 2 4 2" xfId="4995" xr:uid="{12CAD87C-EB24-4A47-A539-2172FE25C703}"/>
    <cellStyle name="Input 2 3 2 2 5" xfId="2318" xr:uid="{D7106ED3-D1A3-4DAD-AFF5-BA939952917F}"/>
    <cellStyle name="Input 2 3 2 2 5 2" xfId="5470" xr:uid="{D839D270-3932-416F-BE1E-0CF75316F7B7}"/>
    <cellStyle name="Input 2 3 2 2 6" xfId="2512" xr:uid="{7476AED4-3D86-4CA7-B31E-02D75EF3B8B4}"/>
    <cellStyle name="Input 2 3 2 2 6 2" xfId="5664" xr:uid="{6A5B65AC-14E9-405C-964A-0890F30F2513}"/>
    <cellStyle name="Input 2 3 2 2 7" xfId="3073" xr:uid="{49AD06C1-354B-4254-B122-034922E53A24}"/>
    <cellStyle name="Input 2 3 2 2 7 2" xfId="6225" xr:uid="{B1BC7862-9EAC-40C0-B5CE-ED258BB09753}"/>
    <cellStyle name="Input 2 3 2 2 8" xfId="3557" xr:uid="{F7D705A3-8B0C-4B83-A56E-3002F0A5DA1E}"/>
    <cellStyle name="Input 2 3 2 3" xfId="741" xr:uid="{7772888B-3EC3-4CBE-922A-5B50AE3CD93A}"/>
    <cellStyle name="Input 2 3 2 3 2" xfId="1340" xr:uid="{F1C66341-4D71-45DE-BD20-711DFE7EC328}"/>
    <cellStyle name="Input 2 3 2 3 2 2" xfId="4492" xr:uid="{24631D5D-6377-4EE2-A0A8-66A756B8AE5D}"/>
    <cellStyle name="Input 2 3 2 3 3" xfId="1874" xr:uid="{34F10225-0F87-41D0-A7FD-0E2089A8B9EC}"/>
    <cellStyle name="Input 2 3 2 3 3 2" xfId="5026" xr:uid="{5EDA9746-B73A-46E0-B66E-321027BA8625}"/>
    <cellStyle name="Input 2 3 2 3 4" xfId="2349" xr:uid="{B1743E85-4B89-44A9-BC56-0D612943A832}"/>
    <cellStyle name="Input 2 3 2 3 4 2" xfId="5501" xr:uid="{6EAF0634-7470-4A9C-B169-8922FB80A1C1}"/>
    <cellStyle name="Input 2 3 2 3 5" xfId="1018" xr:uid="{DCED0C9E-ED73-4340-AF17-DC3556449C78}"/>
    <cellStyle name="Input 2 3 2 3 5 2" xfId="4181" xr:uid="{F340164E-772B-4675-90C4-1EE895029338}"/>
    <cellStyle name="Input 2 3 2 3 6" xfId="3104" xr:uid="{4AADCB1D-12F2-448B-997A-5020570AE034}"/>
    <cellStyle name="Input 2 3 2 3 6 2" xfId="6256" xr:uid="{721760D7-97F5-487B-ABB8-9623143A600C}"/>
    <cellStyle name="Input 2 3 2 3 7" xfId="3904" xr:uid="{E63BED02-DBA6-4A71-8109-960C8F137B30}"/>
    <cellStyle name="Input 2 3 2 4" xfId="807" xr:uid="{5BA49048-C913-4CE1-AEED-5240F236798E}"/>
    <cellStyle name="Input 2 3 2 4 2" xfId="1406" xr:uid="{42C20AD6-1370-42D1-A8A6-11E2478C97C1}"/>
    <cellStyle name="Input 2 3 2 4 2 2" xfId="4558" xr:uid="{3E79DDDB-A597-4024-842A-D7FB948ADBCE}"/>
    <cellStyle name="Input 2 3 2 4 3" xfId="1940" xr:uid="{B5BA490E-E735-406C-B9D2-909D204D0F94}"/>
    <cellStyle name="Input 2 3 2 4 3 2" xfId="5092" xr:uid="{D0FBB92C-B2A4-4412-8287-87D600A71AE6}"/>
    <cellStyle name="Input 2 3 2 4 4" xfId="2415" xr:uid="{B0A98E2A-B23A-4415-B0EE-2442A718F560}"/>
    <cellStyle name="Input 2 3 2 4 4 2" xfId="5567" xr:uid="{86F95B81-0D46-4230-93D9-0FF3FBB2805B}"/>
    <cellStyle name="Input 2 3 2 4 5" xfId="2570" xr:uid="{C608AB77-11C3-489F-B9F2-42D7A86ADBF7}"/>
    <cellStyle name="Input 2 3 2 4 5 2" xfId="5722" xr:uid="{F7F95731-372C-4270-8FBD-2596AEFAFF6F}"/>
    <cellStyle name="Input 2 3 2 4 6" xfId="3170" xr:uid="{C049FA11-10C2-4770-985A-ABBB4A8C2DCB}"/>
    <cellStyle name="Input 2 3 2 4 6 2" xfId="6322" xr:uid="{DF4C4750-80A6-4619-ACCF-242486B7C894}"/>
    <cellStyle name="Input 2 3 2 4 7" xfId="3970" xr:uid="{070463F5-2C8D-4ADD-8B9D-905137CF4246}"/>
    <cellStyle name="Input 2 3 2 5" xfId="926" xr:uid="{89A61B83-6784-4DC5-B9BB-12B90E6D491C}"/>
    <cellStyle name="Input 2 3 2 5 2" xfId="1525" xr:uid="{93A5C7E3-62DE-43BD-A74C-C7745576E992}"/>
    <cellStyle name="Input 2 3 2 5 2 2" xfId="4677" xr:uid="{59B4EEA9-4A00-4422-9F0E-709555617F19}"/>
    <cellStyle name="Input 2 3 2 5 3" xfId="2059" xr:uid="{C2D6920C-8151-48A3-87D2-BD9CBA15DFE7}"/>
    <cellStyle name="Input 2 3 2 5 3 2" xfId="5211" xr:uid="{118359F8-16C4-4749-8D13-52D41BEBE895}"/>
    <cellStyle name="Input 2 3 2 5 4" xfId="2708" xr:uid="{D054EBD1-54B6-4C8A-B160-221B98FB1942}"/>
    <cellStyle name="Input 2 3 2 5 4 2" xfId="5860" xr:uid="{72D2F37C-F836-459A-A4A0-C7DCE858374D}"/>
    <cellStyle name="Input 2 3 2 5 5" xfId="2876" xr:uid="{F25A7759-7B6E-4AB4-A0D3-DD1F4B09AADA}"/>
    <cellStyle name="Input 2 3 2 5 5 2" xfId="6028" xr:uid="{541A3D1E-11B4-4DE2-A87A-04467772E7D9}"/>
    <cellStyle name="Input 2 3 2 5 6" xfId="3289" xr:uid="{FCF81ACE-15A4-4629-84C2-3B8E9E29C063}"/>
    <cellStyle name="Input 2 3 2 5 7" xfId="4089" xr:uid="{BA23337F-BCAD-4D8F-9157-22A3D9851793}"/>
    <cellStyle name="Input 2 3 2 6" xfId="506" xr:uid="{C1F48F95-4DB9-450D-8532-03B53827E5E9}"/>
    <cellStyle name="Input 2 3 2 6 2" xfId="3676" xr:uid="{3552DB06-A08D-4449-BD5F-F041F4D180DF}"/>
    <cellStyle name="Input 2 3 2 7" xfId="1104" xr:uid="{71DA0D6A-8A49-4214-B3A4-D22FB55A3E76}"/>
    <cellStyle name="Input 2 3 2 7 2" xfId="4263" xr:uid="{EF34C27A-55CE-4D7B-9980-D6A0A0701406}"/>
    <cellStyle name="Input 2 3 2 8" xfId="1641" xr:uid="{6FC10A49-662C-43DF-824E-FBE9A387860A}"/>
    <cellStyle name="Input 2 3 2 8 2" xfId="4793" xr:uid="{020BFE6A-A288-4463-A2C0-6A44632B400E}"/>
    <cellStyle name="Input 2 3 2 9" xfId="3470" xr:uid="{FDB88094-A648-4A1D-825F-8B44C03CA7B3}"/>
    <cellStyle name="Input 2 3 3" xfId="436" xr:uid="{D735D0AC-A997-439B-B77B-A3A1AABA0272}"/>
    <cellStyle name="Input 2 3 3 2" xfId="620" xr:uid="{5185B9B5-6F3D-4151-97FE-F67ACF440A26}"/>
    <cellStyle name="Input 2 3 3 2 2" xfId="1219" xr:uid="{CD3FA66B-FD17-4304-A4B0-877A26D57808}"/>
    <cellStyle name="Input 2 3 3 2 2 2" xfId="4371" xr:uid="{531BCF73-4097-4CAA-BE41-AD539117C2B8}"/>
    <cellStyle name="Input 2 3 3 2 3" xfId="1753" xr:uid="{2F60DD6A-C07D-4ACA-A999-69BEAB5EB9D6}"/>
    <cellStyle name="Input 2 3 3 2 3 2" xfId="4905" xr:uid="{92AB53D4-13A4-4AEE-82D7-DA06A68F2D4D}"/>
    <cellStyle name="Input 2 3 3 2 4" xfId="2228" xr:uid="{5B09A535-BCA6-4340-967D-191B6DFCDF53}"/>
    <cellStyle name="Input 2 3 3 2 4 2" xfId="5380" xr:uid="{EE3FD4CF-F98C-4E85-9B1E-AB205B71A7C6}"/>
    <cellStyle name="Input 2 3 3 2 5" xfId="2581" xr:uid="{17C21249-5626-43DD-9D98-CBD6B2E887EF}"/>
    <cellStyle name="Input 2 3 3 2 5 2" xfId="5733" xr:uid="{CAB77F2B-2C49-4CFA-A025-B329D0344274}"/>
    <cellStyle name="Input 2 3 3 2 6" xfId="2983" xr:uid="{AB6F8DA4-A9D4-4C9C-9113-AEF4D9BE6996}"/>
    <cellStyle name="Input 2 3 3 2 6 2" xfId="6135" xr:uid="{7830F38C-90B4-499F-A87B-2DAF95765BA9}"/>
    <cellStyle name="Input 2 3 3 2 7" xfId="3783" xr:uid="{379FD5CF-78A3-41F1-A726-5C68B8C9FECE}"/>
    <cellStyle name="Input 2 3 3 3" xfId="762" xr:uid="{805822C3-4186-4639-A689-1F4A878FC79E}"/>
    <cellStyle name="Input 2 3 3 3 2" xfId="1361" xr:uid="{34974E4C-0D10-4D40-AF66-BF531E2CA89D}"/>
    <cellStyle name="Input 2 3 3 3 2 2" xfId="4513" xr:uid="{7316E369-094F-4E61-9EF3-65CC0F560BF4}"/>
    <cellStyle name="Input 2 3 3 3 3" xfId="1895" xr:uid="{5D442B1E-6190-4A4E-9EE4-1B9A7AFBFE74}"/>
    <cellStyle name="Input 2 3 3 3 3 2" xfId="5047" xr:uid="{73F08A11-B6DC-4B12-9F1B-7CCCCC307361}"/>
    <cellStyle name="Input 2 3 3 3 4" xfId="2370" xr:uid="{F9E9CB47-7BDE-46F2-9919-2CFC0FDB92A2}"/>
    <cellStyle name="Input 2 3 3 3 4 2" xfId="5522" xr:uid="{BBAF2AC7-1677-4840-B9EC-4C4B82DCED7A}"/>
    <cellStyle name="Input 2 3 3 3 5" xfId="2677" xr:uid="{62738659-40A7-4B00-8645-4DED88FCE19E}"/>
    <cellStyle name="Input 2 3 3 3 5 2" xfId="5829" xr:uid="{2634AC05-D271-4F87-BD39-A9C432A76226}"/>
    <cellStyle name="Input 2 3 3 3 6" xfId="3125" xr:uid="{6687DE8F-64B9-4616-966E-BD90C3276586}"/>
    <cellStyle name="Input 2 3 3 3 6 2" xfId="6277" xr:uid="{94A0AF11-B7AE-48BD-98AC-0138ABD0613C}"/>
    <cellStyle name="Input 2 3 3 3 7" xfId="3925" xr:uid="{708AB252-63F1-4694-A50C-BFFBFFFF59A6}"/>
    <cellStyle name="Input 2 3 3 4" xfId="861" xr:uid="{51CB81FD-6887-4631-9AD3-1F448D1B4139}"/>
    <cellStyle name="Input 2 3 3 4 2" xfId="1460" xr:uid="{4C3683B0-090F-4876-B500-837A23B5E79F}"/>
    <cellStyle name="Input 2 3 3 4 2 2" xfId="4612" xr:uid="{FFE5823D-1704-4A9A-8C30-9EDF01DC76F8}"/>
    <cellStyle name="Input 2 3 3 4 3" xfId="1994" xr:uid="{5192C81A-7FEF-4D56-B987-D03919FDEF73}"/>
    <cellStyle name="Input 2 3 3 4 3 2" xfId="5146" xr:uid="{F667292A-916D-4C6C-9CD0-D6F5AAFD4BB8}"/>
    <cellStyle name="Input 2 3 3 4 4" xfId="2469" xr:uid="{6009F0AE-3B77-427E-8B08-357BA804A688}"/>
    <cellStyle name="Input 2 3 3 4 4 2" xfId="5621" xr:uid="{604BB02F-F1C8-440C-B3F8-943DD8A6EDD2}"/>
    <cellStyle name="Input 2 3 3 4 5" xfId="2811" xr:uid="{87DCEAF6-9B9E-4AEE-B252-0CF8C1438179}"/>
    <cellStyle name="Input 2 3 3 4 5 2" xfId="5963" xr:uid="{7E077947-0F72-4ECD-8945-7B9B95E82850}"/>
    <cellStyle name="Input 2 3 3 4 6" xfId="3224" xr:uid="{F19E0D66-0EA0-4534-84EC-99BC220B8928}"/>
    <cellStyle name="Input 2 3 3 4 6 2" xfId="6376" xr:uid="{CEA30A28-20F4-472C-94EB-5DE0BCC2AE18}"/>
    <cellStyle name="Input 2 3 3 4 7" xfId="4024" xr:uid="{CC364556-9716-46A7-9B29-A14413F92E8E}"/>
    <cellStyle name="Input 2 3 3 5" xfId="980" xr:uid="{295D6AAC-2D0D-437A-86E6-60517DC9CF46}"/>
    <cellStyle name="Input 2 3 3 5 2" xfId="1579" xr:uid="{F27AB8B6-27C0-4DA6-945E-44EA7B045A77}"/>
    <cellStyle name="Input 2 3 3 5 2 2" xfId="4731" xr:uid="{CE9F5DE8-D96A-4096-9F78-8A266B9D197C}"/>
    <cellStyle name="Input 2 3 3 5 3" xfId="2113" xr:uid="{B4F33B6F-0955-49EE-BBFE-4F74F895B305}"/>
    <cellStyle name="Input 2 3 3 5 3 2" xfId="5265" xr:uid="{D0936C2E-E9A7-4D13-8096-C622D7C935F3}"/>
    <cellStyle name="Input 2 3 3 5 4" xfId="2762" xr:uid="{9FB9D08F-1C67-4BC7-B864-1CA3CEF3F3EC}"/>
    <cellStyle name="Input 2 3 3 5 4 2" xfId="5914" xr:uid="{EEB0C169-E30E-4AA7-82D5-98F36A616AB8}"/>
    <cellStyle name="Input 2 3 3 5 5" xfId="2930" xr:uid="{58D1310D-6A12-4170-9CFC-AD11616E30A9}"/>
    <cellStyle name="Input 2 3 3 5 5 2" xfId="6082" xr:uid="{480930BE-16B1-4A23-A51F-6AB664CB7FD3}"/>
    <cellStyle name="Input 2 3 3 5 6" xfId="3343" xr:uid="{A2355BA4-C269-47F7-BC52-01649623C140}"/>
    <cellStyle name="Input 2 3 3 5 7" xfId="4143" xr:uid="{B79E9CC2-D0B8-4548-9D01-EEB10E239194}"/>
    <cellStyle name="Input 2 3 3 6" xfId="566" xr:uid="{11E99D4D-ED57-4940-93F7-CE857327D322}"/>
    <cellStyle name="Input 2 3 3 6 2" xfId="3730" xr:uid="{E41EEC98-5D6F-4954-A743-21A79FC76FF2}"/>
    <cellStyle name="Input 2 3 3 7" xfId="1165" xr:uid="{FA5B771C-30AC-47F7-A934-6F12C20CC7EA}"/>
    <cellStyle name="Input 2 3 3 7 2" xfId="4318" xr:uid="{179CA669-7D6B-47DF-B257-43520CCE080A}"/>
    <cellStyle name="Input 2 3 3 8" xfId="1700" xr:uid="{A69D6162-F9C8-4357-A12E-042303B7E31E}"/>
    <cellStyle name="Input 2 3 3 8 2" xfId="4852" xr:uid="{7A1811EB-5EDF-43E7-94B7-2CF6FC78C362}"/>
    <cellStyle name="Input 2 3 3 9" xfId="3611" xr:uid="{29ABF09E-C53D-45BF-910A-D992A0E43040}"/>
    <cellStyle name="Input 2 3 4" xfId="330" xr:uid="{9564E59A-6C29-4D8E-B054-CE0298BDB729}"/>
    <cellStyle name="Input 2 3 4 2" xfId="679" xr:uid="{083F923C-F359-42A8-BCD4-4751F6A90BED}"/>
    <cellStyle name="Input 2 3 4 2 2" xfId="3842" xr:uid="{F2769906-0824-4C4D-9623-D9B43C14A032}"/>
    <cellStyle name="Input 2 3 4 3" xfId="1278" xr:uid="{B19DAA6A-5512-47B7-A686-7E016EA15120}"/>
    <cellStyle name="Input 2 3 4 3 2" xfId="4430" xr:uid="{5ABFFE87-D60A-4DB0-955F-18C831BDB9A6}"/>
    <cellStyle name="Input 2 3 4 4" xfId="1812" xr:uid="{DC654EDA-9BFB-48EF-BB69-DFC0339CE130}"/>
    <cellStyle name="Input 2 3 4 4 2" xfId="4964" xr:uid="{21E52937-E65B-4AE3-8A92-176B7D9031B0}"/>
    <cellStyle name="Input 2 3 4 5" xfId="2287" xr:uid="{40495607-B6FD-436C-A27F-181A5C6E1C55}"/>
    <cellStyle name="Input 2 3 4 5 2" xfId="5439" xr:uid="{2397B271-EA42-4AC7-AD11-FC1E00E75D33}"/>
    <cellStyle name="Input 2 3 4 6" xfId="2537" xr:uid="{008062B8-C6E8-453C-96C6-CBFC0542F016}"/>
    <cellStyle name="Input 2 3 4 6 2" xfId="5689" xr:uid="{C26C0F43-2196-434E-9CD4-5FD4DB7E8898}"/>
    <cellStyle name="Input 2 3 4 7" xfId="3042" xr:uid="{EFCEB036-FE05-40AE-9F63-0FFCDA90B1E8}"/>
    <cellStyle name="Input 2 3 4 7 2" xfId="6194" xr:uid="{5504F557-CD17-447E-ACFE-48698BEF10C1}"/>
    <cellStyle name="Input 2 3 4 8" xfId="3530" xr:uid="{011D405F-ED3D-4650-AEB3-7AF118ABF4A8}"/>
    <cellStyle name="Input 2 3 5" xfId="680" xr:uid="{10C7C34D-B3BD-42A3-B6DB-E1C1D37ACD2A}"/>
    <cellStyle name="Input 2 3 5 2" xfId="1279" xr:uid="{559F8EB4-3268-447A-B828-90597A932A4D}"/>
    <cellStyle name="Input 2 3 5 2 2" xfId="4431" xr:uid="{AC2F0E66-6D50-45D4-AE28-DE1AB86287C4}"/>
    <cellStyle name="Input 2 3 5 3" xfId="1813" xr:uid="{8A116E63-353A-42EF-B303-CC1A76204F1E}"/>
    <cellStyle name="Input 2 3 5 3 2" xfId="4965" xr:uid="{A590355A-B870-4A6C-BAB5-52F9F0ED1D85}"/>
    <cellStyle name="Input 2 3 5 4" xfId="2288" xr:uid="{C4DAB08A-4C09-4004-971A-E959CEAADFF9}"/>
    <cellStyle name="Input 2 3 5 4 2" xfId="5440" xr:uid="{99E7C0D6-BFCD-4E43-94F0-7B340D9EBE77}"/>
    <cellStyle name="Input 2 3 5 5" xfId="2544" xr:uid="{BC1CFA50-545C-43E0-B850-D42B751E39DD}"/>
    <cellStyle name="Input 2 3 5 5 2" xfId="5696" xr:uid="{76A6E2F9-C143-4355-9B0D-D0B429B80C3B}"/>
    <cellStyle name="Input 2 3 5 6" xfId="3043" xr:uid="{ED012774-D46F-4386-AE71-E0BD92DB500A}"/>
    <cellStyle name="Input 2 3 5 6 2" xfId="6195" xr:uid="{2C5B5215-DEAC-4925-97BE-43AC9BC93D17}"/>
    <cellStyle name="Input 2 3 5 7" xfId="3843" xr:uid="{E159DF1C-4128-4CB4-B9B9-D016427F5B0A}"/>
    <cellStyle name="Input 2 3 6" xfId="720" xr:uid="{0AD61A53-6518-4E31-9D66-BB9B418C4DD2}"/>
    <cellStyle name="Input 2 3 6 2" xfId="1319" xr:uid="{A7A07B3F-6DFF-45BE-AC6A-7A245852A293}"/>
    <cellStyle name="Input 2 3 6 2 2" xfId="4471" xr:uid="{A0A43062-6199-4CD7-B7A8-9A2ADC0BBE23}"/>
    <cellStyle name="Input 2 3 6 3" xfId="1853" xr:uid="{C663A536-8727-4F85-8AAF-E2BE7C9E485D}"/>
    <cellStyle name="Input 2 3 6 3 2" xfId="5005" xr:uid="{D51A2442-E491-44DD-8481-24F1C2DE8705}"/>
    <cellStyle name="Input 2 3 6 4" xfId="2328" xr:uid="{970DFE13-0C8E-4E4B-9A4B-E908348B4D2D}"/>
    <cellStyle name="Input 2 3 6 4 2" xfId="5480" xr:uid="{9E672ABA-21E9-46C3-84F1-A436401BB6CE}"/>
    <cellStyle name="Input 2 3 6 5" xfId="1025" xr:uid="{BAEC4FA6-7244-42A3-BF4A-6CA669EA9E22}"/>
    <cellStyle name="Input 2 3 6 5 2" xfId="4188" xr:uid="{58AFAC71-B15F-43FF-B449-B039AA639F83}"/>
    <cellStyle name="Input 2 3 6 6" xfId="3083" xr:uid="{5759C9A0-C72A-4F62-B07E-4FC2146D8F68}"/>
    <cellStyle name="Input 2 3 6 6 2" xfId="6235" xr:uid="{7105F79F-9B34-4DE6-B63A-FF60C06C99EF}"/>
    <cellStyle name="Input 2 3 6 7" xfId="3883" xr:uid="{010409A8-78D8-49BD-B41F-AA10076F379A}"/>
    <cellStyle name="Input 2 3 7" xfId="776" xr:uid="{1576630F-6D3E-423B-A0EE-A68B715A6D56}"/>
    <cellStyle name="Input 2 3 7 2" xfId="1375" xr:uid="{1E9A80BC-6208-413B-8186-13CB788D562B}"/>
    <cellStyle name="Input 2 3 7 2 2" xfId="4527" xr:uid="{6DF77067-07BC-4A04-A7FC-E93AF99A17CE}"/>
    <cellStyle name="Input 2 3 7 3" xfId="1909" xr:uid="{EFE97153-138C-4D28-85FA-B7D5E9A4DC3C}"/>
    <cellStyle name="Input 2 3 7 3 2" xfId="5061" xr:uid="{4266D6BF-395F-48AC-9CCF-885D0C937C85}"/>
    <cellStyle name="Input 2 3 7 4" xfId="2384" xr:uid="{C7C5DAB1-AEA6-4839-8131-572E116D0D86}"/>
    <cellStyle name="Input 2 3 7 4 2" xfId="5536" xr:uid="{2461A14F-818F-43A9-9AA5-A45048436AC0}"/>
    <cellStyle name="Input 2 3 7 5" xfId="2596" xr:uid="{A56A8F8E-CBFE-4431-982D-B8E1DB5090C6}"/>
    <cellStyle name="Input 2 3 7 5 2" xfId="5748" xr:uid="{FDFAC60E-FC40-407C-99A3-E51A45333C36}"/>
    <cellStyle name="Input 2 3 7 6" xfId="3139" xr:uid="{B9548D30-59A3-4480-9AA1-66A738C58864}"/>
    <cellStyle name="Input 2 3 7 6 2" xfId="6291" xr:uid="{15AFD76C-662D-43A2-8A83-AF63DCD2F12C}"/>
    <cellStyle name="Input 2 3 7 7" xfId="3939" xr:uid="{83492F79-FB36-4B87-B32C-110890619902}"/>
    <cellStyle name="Input 2 3 8" xfId="780" xr:uid="{B0D33A4A-0EDE-43C2-BEB2-16CC29A0EA0F}"/>
    <cellStyle name="Input 2 3 8 2" xfId="1379" xr:uid="{8EBDDDBC-7115-44EE-948B-93E5995A1D2D}"/>
    <cellStyle name="Input 2 3 8 2 2" xfId="4531" xr:uid="{1122F036-2BA1-41D3-8377-F0BEB511045E}"/>
    <cellStyle name="Input 2 3 8 3" xfId="1913" xr:uid="{DD0BF4DB-D303-4D40-A1B2-61C9F5EB084E}"/>
    <cellStyle name="Input 2 3 8 3 2" xfId="5065" xr:uid="{B7EBB8C9-B9AF-404A-97AF-F6CAC8C71AA7}"/>
    <cellStyle name="Input 2 3 8 4" xfId="2388" xr:uid="{758090AF-EB91-44AB-8434-D421D221C473}"/>
    <cellStyle name="Input 2 3 8 4 2" xfId="5540" xr:uid="{B387CB6F-67CB-483B-831E-6B05592642B8}"/>
    <cellStyle name="Input 2 3 8 5" xfId="1068" xr:uid="{FB2240CA-11DB-4542-A8B9-58A496D76890}"/>
    <cellStyle name="Input 2 3 8 5 2" xfId="4230" xr:uid="{B662CBAA-4131-4922-8F58-760B8153C423}"/>
    <cellStyle name="Input 2 3 8 6" xfId="3143" xr:uid="{0815B32A-B7F1-4591-BF93-3EAA934AE5DE}"/>
    <cellStyle name="Input 2 3 8 6 2" xfId="6295" xr:uid="{5A245AE4-1A9E-49B7-9F23-68C25AC2AF67}"/>
    <cellStyle name="Input 2 3 8 7" xfId="3943" xr:uid="{F12F07A3-8B43-4451-B879-23861E99C357}"/>
    <cellStyle name="Input 2 3 9" xfId="899" xr:uid="{625B50E5-BBA5-4C22-8A2A-87BE55F9C7A3}"/>
    <cellStyle name="Input 2 3 9 2" xfId="1498" xr:uid="{2703F692-1BCE-4BBA-8ECE-1057D71C79A5}"/>
    <cellStyle name="Input 2 3 9 2 2" xfId="4650" xr:uid="{9A7C6949-D905-4529-93BF-CDEA21900FFE}"/>
    <cellStyle name="Input 2 3 9 3" xfId="2032" xr:uid="{8B48EA63-7C47-493D-96B7-7D4B9502CB97}"/>
    <cellStyle name="Input 2 3 9 3 2" xfId="5184" xr:uid="{5513B725-DE01-4BE1-B079-A1BFB175DCDA}"/>
    <cellStyle name="Input 2 3 9 4" xfId="2681" xr:uid="{E875A708-4DE5-4142-B1C3-4F8FFECB6D71}"/>
    <cellStyle name="Input 2 3 9 4 2" xfId="5833" xr:uid="{CE26B9A1-BCBC-4505-917D-C48F594B8CF0}"/>
    <cellStyle name="Input 2 3 9 5" xfId="2849" xr:uid="{97ECCB71-913E-4C99-A508-0DB8C1FF3B83}"/>
    <cellStyle name="Input 2 3 9 5 2" xfId="6001" xr:uid="{80660A6B-F410-41A9-BF25-7115EFA46F30}"/>
    <cellStyle name="Input 2 3 9 6" xfId="3262" xr:uid="{5E5F9030-AA02-4BA0-A918-A4618F8343C6}"/>
    <cellStyle name="Input 2 3 9 7" xfId="4062" xr:uid="{45B467D5-C50B-41B9-84E4-B8F04FD06A29}"/>
    <cellStyle name="Input 2 4" xfId="60" xr:uid="{8EBCD5DD-328B-41E0-8826-53DF68BEC3D1}"/>
    <cellStyle name="Input 2 4 10" xfId="3393" xr:uid="{97ADA4CF-DCA2-451E-AA2B-09D8C3DC914B}"/>
    <cellStyle name="Input 2 4 2" xfId="145" xr:uid="{3E88F0DA-B92B-46B8-B7EB-7A892521E1F7}"/>
    <cellStyle name="Input 2 4 2 2" xfId="429" xr:uid="{64D729AD-33FA-44C1-9C97-8D5D661CB842}"/>
    <cellStyle name="Input 2 4 2 2 2" xfId="665" xr:uid="{806B3CF8-357A-451F-9603-D7CEE3CAE12A}"/>
    <cellStyle name="Input 2 4 2 2 2 2" xfId="3828" xr:uid="{66220BA8-3B06-40EF-95D7-37A5566AA86C}"/>
    <cellStyle name="Input 2 4 2 2 3" xfId="1264" xr:uid="{13667B95-0733-48A3-97CA-C33BAA367397}"/>
    <cellStyle name="Input 2 4 2 2 3 2" xfId="4416" xr:uid="{7A906AA2-D6F9-4AFB-B50F-EE3A8799CA33}"/>
    <cellStyle name="Input 2 4 2 2 4" xfId="1798" xr:uid="{DCD005BA-ED29-4E73-B7C6-93227ACC333D}"/>
    <cellStyle name="Input 2 4 2 2 4 2" xfId="4950" xr:uid="{5CBBB1A0-B95A-40CC-8882-AE65580037A2}"/>
    <cellStyle name="Input 2 4 2 2 5" xfId="2273" xr:uid="{E0B1ACC0-9C54-4095-90F3-304E2D644A6C}"/>
    <cellStyle name="Input 2 4 2 2 5 2" xfId="5425" xr:uid="{75BE1079-AE52-433C-BEF7-3A29958F47F2}"/>
    <cellStyle name="Input 2 4 2 2 6" xfId="2543" xr:uid="{26F07ECD-E586-472C-9101-B1709B0B9EE9}"/>
    <cellStyle name="Input 2 4 2 2 6 2" xfId="5695" xr:uid="{38CAD036-8571-4B44-B26D-FB867FB5F674}"/>
    <cellStyle name="Input 2 4 2 2 7" xfId="3028" xr:uid="{1403AE3E-4242-4189-BB47-FFA93303CF87}"/>
    <cellStyle name="Input 2 4 2 2 7 2" xfId="6180" xr:uid="{5CB15B85-6E60-47AE-A63B-B0B6574F1595}"/>
    <cellStyle name="Input 2 4 2 2 8" xfId="3604" xr:uid="{751ECA19-0671-45CA-8FF3-7DE92FFF10FF}"/>
    <cellStyle name="Input 2 4 2 3" xfId="760" xr:uid="{61C57F7C-7521-4C4D-9496-0CEE7116A821}"/>
    <cellStyle name="Input 2 4 2 3 2" xfId="1359" xr:uid="{82BE9F5B-5190-464A-BC78-D76D8580ED92}"/>
    <cellStyle name="Input 2 4 2 3 2 2" xfId="4511" xr:uid="{32B9F2D2-4E8F-47F2-AEE5-FAA1E01972D1}"/>
    <cellStyle name="Input 2 4 2 3 3" xfId="1893" xr:uid="{44B64802-F43D-49F1-B741-BEC744AB6D67}"/>
    <cellStyle name="Input 2 4 2 3 3 2" xfId="5045" xr:uid="{9C16CA67-3533-4BB6-9551-2256AF19D69C}"/>
    <cellStyle name="Input 2 4 2 3 4" xfId="2368" xr:uid="{87248F1C-7924-4489-A8F4-4BF1B85B888B}"/>
    <cellStyle name="Input 2 4 2 3 4 2" xfId="5520" xr:uid="{95598470-52C2-4AF7-A71D-D234B5D922F6}"/>
    <cellStyle name="Input 2 4 2 3 5" xfId="2600" xr:uid="{A3306A01-571B-4198-B2AE-2DF468CB535C}"/>
    <cellStyle name="Input 2 4 2 3 5 2" xfId="5752" xr:uid="{E574F7F1-91A0-46FA-A0D5-806919647E5A}"/>
    <cellStyle name="Input 2 4 2 3 6" xfId="3123" xr:uid="{67C76033-A447-4B1E-9E04-1ACFB69F89C3}"/>
    <cellStyle name="Input 2 4 2 3 6 2" xfId="6275" xr:uid="{80B3D49B-1C49-4ECC-9A5E-D002BADFB7F4}"/>
    <cellStyle name="Input 2 4 2 3 7" xfId="3923" xr:uid="{083E101E-1022-4A6A-A2EB-BBDFFBE98369}"/>
    <cellStyle name="Input 2 4 2 4" xfId="854" xr:uid="{07CCB1CA-AC6D-4067-8B77-EFCA1391B8BA}"/>
    <cellStyle name="Input 2 4 2 4 2" xfId="1453" xr:uid="{85021808-7316-47D7-9D21-C6A1B7CD3EA0}"/>
    <cellStyle name="Input 2 4 2 4 2 2" xfId="4605" xr:uid="{E88202C8-534F-4C1C-AAAE-037FD2324970}"/>
    <cellStyle name="Input 2 4 2 4 3" xfId="1987" xr:uid="{11DF2FED-190C-4425-BA72-10D6B7C92D2B}"/>
    <cellStyle name="Input 2 4 2 4 3 2" xfId="5139" xr:uid="{2E9340A5-CBD7-4FB0-89B1-BAF69FDC39AC}"/>
    <cellStyle name="Input 2 4 2 4 4" xfId="2462" xr:uid="{818A5CEC-2516-4421-8B1F-AE020625EB2B}"/>
    <cellStyle name="Input 2 4 2 4 4 2" xfId="5614" xr:uid="{41EA026E-D6AE-402A-AE9C-492599559059}"/>
    <cellStyle name="Input 2 4 2 4 5" xfId="2804" xr:uid="{4DE43886-20E4-4EF1-93CE-0DA857BBFCB8}"/>
    <cellStyle name="Input 2 4 2 4 5 2" xfId="5956" xr:uid="{01DD16BD-C662-40D4-9FE1-08F2C5A713EA}"/>
    <cellStyle name="Input 2 4 2 4 6" xfId="3217" xr:uid="{D49556A8-4D86-4499-81B9-6894EF59B7AD}"/>
    <cellStyle name="Input 2 4 2 4 6 2" xfId="6369" xr:uid="{D7693DFE-83AA-4E8C-9BD6-6AEFC5F19574}"/>
    <cellStyle name="Input 2 4 2 4 7" xfId="4017" xr:uid="{71C59B2D-9996-420F-8C03-014D1CA49397}"/>
    <cellStyle name="Input 2 4 2 5" xfId="973" xr:uid="{3095AC4C-95C5-4BEE-8240-648580EDA95E}"/>
    <cellStyle name="Input 2 4 2 5 2" xfId="1572" xr:uid="{9047BD65-6CEE-4596-B43C-F6D325FF6485}"/>
    <cellStyle name="Input 2 4 2 5 2 2" xfId="4724" xr:uid="{0A82D9A9-3335-4C42-A1B3-7DA94F35CD25}"/>
    <cellStyle name="Input 2 4 2 5 3" xfId="2106" xr:uid="{73F5A4E6-7E7F-488A-BD0C-D7CE7015DF54}"/>
    <cellStyle name="Input 2 4 2 5 3 2" xfId="5258" xr:uid="{F14B26BF-EC92-43CB-ACB3-91F36CE86384}"/>
    <cellStyle name="Input 2 4 2 5 4" xfId="2755" xr:uid="{821B8FB8-0689-4AC3-A276-0F652E1B6771}"/>
    <cellStyle name="Input 2 4 2 5 4 2" xfId="5907" xr:uid="{1BBC88DB-DBD2-49F5-9C3E-9D2B012C3C23}"/>
    <cellStyle name="Input 2 4 2 5 5" xfId="2923" xr:uid="{14D410EC-402C-4A3C-A7E8-694E0A4CEED5}"/>
    <cellStyle name="Input 2 4 2 5 5 2" xfId="6075" xr:uid="{4B58B071-9512-4F01-A554-E6DE0B6BBD85}"/>
    <cellStyle name="Input 2 4 2 5 6" xfId="3336" xr:uid="{95531C3C-85E1-445B-A3D0-EC0C3B0C3D76}"/>
    <cellStyle name="Input 2 4 2 5 7" xfId="4136" xr:uid="{92C882D7-4B57-4E0C-9F68-8AA1656CBB1D}"/>
    <cellStyle name="Input 2 4 2 6" xfId="559" xr:uid="{A8C59941-B3BD-42F9-B344-917165954B44}"/>
    <cellStyle name="Input 2 4 2 6 2" xfId="3723" xr:uid="{EEACE040-FFFF-417A-8A53-55DB7B079F93}"/>
    <cellStyle name="Input 2 4 2 7" xfId="1158" xr:uid="{BBF7D376-6405-49CD-8214-EF978208FCFE}"/>
    <cellStyle name="Input 2 4 2 7 2" xfId="4311" xr:uid="{B5D819C3-CCC0-42E1-9387-F343ABBB7CAE}"/>
    <cellStyle name="Input 2 4 2 8" xfId="1693" xr:uid="{AE3EEE00-EBC4-4A55-984D-E8EBD49A2B95}"/>
    <cellStyle name="Input 2 4 2 8 2" xfId="4845" xr:uid="{7CAF6674-0DD9-488A-8143-796585D13517}"/>
    <cellStyle name="Input 2 4 2 9" xfId="3463" xr:uid="{0B8549DC-AAE4-4015-A742-C4B7DF58A3B9}"/>
    <cellStyle name="Input 2 4 3" xfId="368" xr:uid="{2E01D310-91B7-42A0-9E1D-328B87E1279E}"/>
    <cellStyle name="Input 2 4 3 2" xfId="675" xr:uid="{3D470548-6439-4BC7-B749-6974C810302C}"/>
    <cellStyle name="Input 2 4 3 2 2" xfId="3838" xr:uid="{F371A82D-EA2F-4E70-8F63-B96B01449B8D}"/>
    <cellStyle name="Input 2 4 3 3" xfId="1274" xr:uid="{EB536677-30E3-47ED-A6F8-42E7AF0D90EE}"/>
    <cellStyle name="Input 2 4 3 3 2" xfId="4426" xr:uid="{8A2CE90C-97AA-4D6F-A9EA-6620C835BAC6}"/>
    <cellStyle name="Input 2 4 3 4" xfId="1808" xr:uid="{D41FD3A5-31D5-4D4E-9DCD-9FEA3B11F755}"/>
    <cellStyle name="Input 2 4 3 4 2" xfId="4960" xr:uid="{A0734002-2702-4CFD-A6D4-6823B465DACF}"/>
    <cellStyle name="Input 2 4 3 5" xfId="2283" xr:uid="{98AD4F8D-2A40-4515-951A-BDE6B41F139D}"/>
    <cellStyle name="Input 2 4 3 5 2" xfId="5435" xr:uid="{9DC74FFA-5EC6-490C-AEA8-132A503D68AC}"/>
    <cellStyle name="Input 2 4 3 6" xfId="2182" xr:uid="{C8530694-E98A-47D2-85DD-77B1220FFD14}"/>
    <cellStyle name="Input 2 4 3 6 2" xfId="5334" xr:uid="{34AD807F-1924-4A69-B38A-424EE5ABB9D4}"/>
    <cellStyle name="Input 2 4 3 7" xfId="3038" xr:uid="{1E22049D-8667-419E-99A3-AFBA9CD45AD2}"/>
    <cellStyle name="Input 2 4 3 7 2" xfId="6190" xr:uid="{4DD0AE2C-1457-4E27-8F18-4A8037EE59DA}"/>
    <cellStyle name="Input 2 4 3 8" xfId="3550" xr:uid="{0BA8AF6D-6B45-4B83-910C-1F16B5199D8D}"/>
    <cellStyle name="Input 2 4 4" xfId="739" xr:uid="{18FFB349-8D13-4228-AA1C-0D765AC1D427}"/>
    <cellStyle name="Input 2 4 4 2" xfId="1338" xr:uid="{59F330B8-1323-4707-A711-F9FD0714379B}"/>
    <cellStyle name="Input 2 4 4 2 2" xfId="4490" xr:uid="{3DA99D79-4818-4A48-9B94-5DDD4344F572}"/>
    <cellStyle name="Input 2 4 4 3" xfId="1872" xr:uid="{748842EE-BABE-4EDB-9D39-002EF89DA4FA}"/>
    <cellStyle name="Input 2 4 4 3 2" xfId="5024" xr:uid="{97B61DF7-D869-42C3-902A-81F4C5EEB3C7}"/>
    <cellStyle name="Input 2 4 4 4" xfId="2347" xr:uid="{90712C8F-F8E8-4E12-85A1-B198B41E32F1}"/>
    <cellStyle name="Input 2 4 4 4 2" xfId="5499" xr:uid="{6F414949-7E78-4B80-BF2C-8FD7CD205045}"/>
    <cellStyle name="Input 2 4 4 5" xfId="1028" xr:uid="{2A96BDCC-726A-44E9-A183-F2B9AEB40C5C}"/>
    <cellStyle name="Input 2 4 4 5 2" xfId="4191" xr:uid="{5652074C-1715-4C0D-B266-B38BBFBEEC55}"/>
    <cellStyle name="Input 2 4 4 6" xfId="3102" xr:uid="{4B07BF7F-D7B1-49F8-9E45-852A4E2C075B}"/>
    <cellStyle name="Input 2 4 4 6 2" xfId="6254" xr:uid="{E01D9410-5FCD-46F1-AC37-88E0C0721AD7}"/>
    <cellStyle name="Input 2 4 4 7" xfId="3902" xr:uid="{0208C566-C485-4222-BD27-817944A4674F}"/>
    <cellStyle name="Input 2 4 5" xfId="800" xr:uid="{05C9F763-2A98-4DDC-B311-3987424F6B0C}"/>
    <cellStyle name="Input 2 4 5 2" xfId="1399" xr:uid="{233D28FA-D096-4E66-8305-864083DC4E93}"/>
    <cellStyle name="Input 2 4 5 2 2" xfId="4551" xr:uid="{B8398A30-6D73-4F27-A525-ED27738E97F6}"/>
    <cellStyle name="Input 2 4 5 3" xfId="1933" xr:uid="{E879C78D-52E5-4BB3-A11A-5F1B50C4CBF0}"/>
    <cellStyle name="Input 2 4 5 3 2" xfId="5085" xr:uid="{6736F646-51F4-47CE-81F4-14FC004AC626}"/>
    <cellStyle name="Input 2 4 5 4" xfId="2408" xr:uid="{EBBE1617-12B5-41B6-B038-32C45E13848F}"/>
    <cellStyle name="Input 2 4 5 4 2" xfId="5560" xr:uid="{4CEA6786-6E68-4932-93BD-D7EB6110A4EF}"/>
    <cellStyle name="Input 2 4 5 5" xfId="2564" xr:uid="{C7BF329F-62E3-445F-995F-3A4E35267895}"/>
    <cellStyle name="Input 2 4 5 5 2" xfId="5716" xr:uid="{0AFCFE36-18D7-454C-869D-5EF1D1818666}"/>
    <cellStyle name="Input 2 4 5 6" xfId="3163" xr:uid="{BD334E32-1881-4E6F-838F-76A580702E2A}"/>
    <cellStyle name="Input 2 4 5 6 2" xfId="6315" xr:uid="{16B8436B-2B47-440A-A564-39446F0DD1AC}"/>
    <cellStyle name="Input 2 4 5 7" xfId="3963" xr:uid="{FD7855B6-35AE-4E93-9DE2-3FB74183299C}"/>
    <cellStyle name="Input 2 4 6" xfId="919" xr:uid="{151FF401-E1C8-4D39-BDBC-32F9A54ACD87}"/>
    <cellStyle name="Input 2 4 6 2" xfId="1518" xr:uid="{394CE144-D8A1-48CD-BBF3-8CB03DC31E5F}"/>
    <cellStyle name="Input 2 4 6 2 2" xfId="4670" xr:uid="{68775C17-0A20-4CC2-883F-516F11204278}"/>
    <cellStyle name="Input 2 4 6 3" xfId="2052" xr:uid="{444C9F6F-4EF9-4C0E-B43F-24CD3A8B5C0F}"/>
    <cellStyle name="Input 2 4 6 3 2" xfId="5204" xr:uid="{66DE814F-4315-4CA8-A32C-605049F22A27}"/>
    <cellStyle name="Input 2 4 6 4" xfId="2701" xr:uid="{6A4516A9-3B5A-4C83-92F7-169B0D62E702}"/>
    <cellStyle name="Input 2 4 6 4 2" xfId="5853" xr:uid="{525A9B25-0DB2-4FC1-AF3A-80C3471F7EAB}"/>
    <cellStyle name="Input 2 4 6 5" xfId="2869" xr:uid="{4DAFF15C-BDE6-447E-8CD8-53954B115B64}"/>
    <cellStyle name="Input 2 4 6 5 2" xfId="6021" xr:uid="{054BAB47-9AEB-41EA-9CA6-D79C59EDB5F4}"/>
    <cellStyle name="Input 2 4 6 6" xfId="3282" xr:uid="{ABB06EF5-3412-4E48-9AFA-D7FA1785DE23}"/>
    <cellStyle name="Input 2 4 6 7" xfId="4082" xr:uid="{39220156-29F0-415E-8940-224F6961EA93}"/>
    <cellStyle name="Input 2 4 7" xfId="499" xr:uid="{E1DD1FFC-82E8-4ED5-8393-225BDC69F926}"/>
    <cellStyle name="Input 2 4 7 2" xfId="3669" xr:uid="{6EE9EE33-105B-4D30-845B-A0E211774B69}"/>
    <cellStyle name="Input 2 4 8" xfId="1097" xr:uid="{5582DF5C-CF24-441A-B72C-B5BC082938A5}"/>
    <cellStyle name="Input 2 4 8 2" xfId="4256" xr:uid="{BE0F3BDF-5A72-4EB7-A260-76E191FBD686}"/>
    <cellStyle name="Input 2 4 9" xfId="1634" xr:uid="{F7274450-8D47-4842-AD90-EC3C78B75C7F}"/>
    <cellStyle name="Input 2 4 9 2" xfId="4786" xr:uid="{12CD7430-C6B9-41CF-AB5A-BA3CB3BB65E5}"/>
    <cellStyle name="Input 2 5" xfId="71" xr:uid="{DA8E6213-6F04-494D-9655-17DA697F8BF6}"/>
    <cellStyle name="Input 2 5 10" xfId="3404" xr:uid="{AFE2B6EC-1ED5-4522-9D36-27B1BA57EA14}"/>
    <cellStyle name="Input 2 5 2" xfId="156" xr:uid="{1321D1B9-C21D-48B0-B0BA-6688369BCC5B}"/>
    <cellStyle name="Input 2 5 2 2" xfId="440" xr:uid="{E0C7ED8E-3F26-42C2-BF54-F51AF7B3BFFB}"/>
    <cellStyle name="Input 2 5 2 2 2" xfId="618" xr:uid="{3D7BADE3-A41B-4550-B577-5A0300312084}"/>
    <cellStyle name="Input 2 5 2 2 2 2" xfId="3781" xr:uid="{F2AFA590-A072-4965-BC88-1734C9B3493C}"/>
    <cellStyle name="Input 2 5 2 2 3" xfId="1217" xr:uid="{D2EE3F01-D252-4A64-95DD-0D2E4404DBD6}"/>
    <cellStyle name="Input 2 5 2 2 3 2" xfId="4369" xr:uid="{A1BFCD1F-0A58-42DB-A8B3-565D1E82E7F9}"/>
    <cellStyle name="Input 2 5 2 2 4" xfId="1751" xr:uid="{BB4A05E5-A6B3-4EBE-B817-21696D29673E}"/>
    <cellStyle name="Input 2 5 2 2 4 2" xfId="4903" xr:uid="{667837D0-3998-472E-879D-71230374DBAB}"/>
    <cellStyle name="Input 2 5 2 2 5" xfId="2226" xr:uid="{E11B58D2-E8A6-4EEF-B593-70D15543547F}"/>
    <cellStyle name="Input 2 5 2 2 5 2" xfId="5378" xr:uid="{22935516-A4AD-420A-AC84-AEF7268CE3C9}"/>
    <cellStyle name="Input 2 5 2 2 6" xfId="2652" xr:uid="{7535621D-1342-4BD0-8E94-03D288861CC2}"/>
    <cellStyle name="Input 2 5 2 2 6 2" xfId="5804" xr:uid="{7FE6BA00-C72B-4B27-B02B-D22AE6C1848E}"/>
    <cellStyle name="Input 2 5 2 2 7" xfId="2981" xr:uid="{1EFE251B-FC7A-436E-B4E0-0B1E9D6F537F}"/>
    <cellStyle name="Input 2 5 2 2 7 2" xfId="6133" xr:uid="{C12228CE-E00A-4CE7-B3E5-107F30E1C8F5}"/>
    <cellStyle name="Input 2 5 2 2 8" xfId="3615" xr:uid="{5D50BAF2-8A91-4844-A307-0E4C19E1401B}"/>
    <cellStyle name="Input 2 5 2 3" xfId="764" xr:uid="{BAB5ACDD-7D08-4692-A884-A537B0C066C4}"/>
    <cellStyle name="Input 2 5 2 3 2" xfId="1363" xr:uid="{39639E95-7A19-4C2D-936C-31B9B25C54AD}"/>
    <cellStyle name="Input 2 5 2 3 2 2" xfId="4515" xr:uid="{9FB6B406-43E7-4F32-A4AF-B5E3B53DBE9B}"/>
    <cellStyle name="Input 2 5 2 3 3" xfId="1897" xr:uid="{7A5B0AA3-8D79-4929-AADB-080357AEBE05}"/>
    <cellStyle name="Input 2 5 2 3 3 2" xfId="5049" xr:uid="{F67ACBA5-8D56-4A71-9F03-25B48A56E73E}"/>
    <cellStyle name="Input 2 5 2 3 4" xfId="2372" xr:uid="{2ADC2DFF-4822-4859-9660-5C8FEBE4EE25}"/>
    <cellStyle name="Input 2 5 2 3 4 2" xfId="5524" xr:uid="{8B257CC0-3774-429A-955C-69A4DE61664D}"/>
    <cellStyle name="Input 2 5 2 3 5" xfId="1064" xr:uid="{F7F35A3A-DD8B-4BCE-AA09-12DDAF4AE79D}"/>
    <cellStyle name="Input 2 5 2 3 5 2" xfId="4226" xr:uid="{89E850C0-4FB5-4F88-A6C5-EC7C622B4A3A}"/>
    <cellStyle name="Input 2 5 2 3 6" xfId="3127" xr:uid="{587DB0D3-13BD-4F93-BB6F-5558D95D4F28}"/>
    <cellStyle name="Input 2 5 2 3 6 2" xfId="6279" xr:uid="{C389168D-E38C-420A-A71A-BF4B3C530193}"/>
    <cellStyle name="Input 2 5 2 3 7" xfId="3927" xr:uid="{732294B0-B20A-4E8B-AB0D-0D5E8F1AFACA}"/>
    <cellStyle name="Input 2 5 2 4" xfId="865" xr:uid="{FE53A70A-0DE4-42A0-A0C9-B304CA652207}"/>
    <cellStyle name="Input 2 5 2 4 2" xfId="1464" xr:uid="{4FBCE201-8193-4D01-BF05-C8D764F0A6D3}"/>
    <cellStyle name="Input 2 5 2 4 2 2" xfId="4616" xr:uid="{B9B8C1DC-2290-40ED-B5AA-89180236D273}"/>
    <cellStyle name="Input 2 5 2 4 3" xfId="1998" xr:uid="{DE443D43-E6C4-4ECD-B72E-D7D06CD8C71C}"/>
    <cellStyle name="Input 2 5 2 4 3 2" xfId="5150" xr:uid="{3087CBC1-8E38-47AE-8C40-DF5981300FFF}"/>
    <cellStyle name="Input 2 5 2 4 4" xfId="2473" xr:uid="{5CCBCFE6-7169-44BD-84FE-C4D762BA8716}"/>
    <cellStyle name="Input 2 5 2 4 4 2" xfId="5625" xr:uid="{F6DC0150-FBED-4D98-BB2A-7D497A90E36F}"/>
    <cellStyle name="Input 2 5 2 4 5" xfId="2815" xr:uid="{B567C69C-1C21-463E-B372-D6F3DA09EEED}"/>
    <cellStyle name="Input 2 5 2 4 5 2" xfId="5967" xr:uid="{3F063792-6906-46E7-9AB3-C74B05818C7F}"/>
    <cellStyle name="Input 2 5 2 4 6" xfId="3228" xr:uid="{8FFDA392-80E2-413B-8E82-2F685DF0F75D}"/>
    <cellStyle name="Input 2 5 2 4 6 2" xfId="6380" xr:uid="{2C425A17-D710-4106-BA64-56BA99BB448C}"/>
    <cellStyle name="Input 2 5 2 4 7" xfId="4028" xr:uid="{2DD89910-762C-4C7C-AEAE-45C56E24B455}"/>
    <cellStyle name="Input 2 5 2 5" xfId="984" xr:uid="{BFED049C-5425-410D-9E4E-5CC5E6B7553C}"/>
    <cellStyle name="Input 2 5 2 5 2" xfId="1583" xr:uid="{8B7DBF57-C8E3-468C-856E-87846790D353}"/>
    <cellStyle name="Input 2 5 2 5 2 2" xfId="4735" xr:uid="{2D233030-3BFE-43A5-A587-61A10714EC43}"/>
    <cellStyle name="Input 2 5 2 5 3" xfId="2117" xr:uid="{DC6AFC07-8D16-45CC-9AE5-6520FAFC93F4}"/>
    <cellStyle name="Input 2 5 2 5 3 2" xfId="5269" xr:uid="{F4A0FFF8-EDBB-40BA-90DE-65607386C275}"/>
    <cellStyle name="Input 2 5 2 5 4" xfId="2766" xr:uid="{F70FE74E-39CD-42A2-893F-1AC484C3CCC2}"/>
    <cellStyle name="Input 2 5 2 5 4 2" xfId="5918" xr:uid="{0F67B84D-F4F5-4A00-AACD-E4F076A45ED8}"/>
    <cellStyle name="Input 2 5 2 5 5" xfId="2934" xr:uid="{94515A14-5346-4D9C-8D1C-78AEBD0AFD07}"/>
    <cellStyle name="Input 2 5 2 5 5 2" xfId="6086" xr:uid="{F2861FA1-8361-4C61-9388-8CB5F37AB0C8}"/>
    <cellStyle name="Input 2 5 2 5 6" xfId="3347" xr:uid="{DF0C7AAE-2359-4CE8-B08A-45BAA61BB6DA}"/>
    <cellStyle name="Input 2 5 2 5 7" xfId="4147" xr:uid="{D4E46582-9060-48C8-8746-3485AE69A631}"/>
    <cellStyle name="Input 2 5 2 6" xfId="570" xr:uid="{85AC7687-4669-4F0A-831C-A253E9ECEE32}"/>
    <cellStyle name="Input 2 5 2 6 2" xfId="3734" xr:uid="{1C77B160-FA01-494F-8853-6C74D570DE76}"/>
    <cellStyle name="Input 2 5 2 7" xfId="1169" xr:uid="{242612E2-2E2F-470F-A108-9601AE9D0C8A}"/>
    <cellStyle name="Input 2 5 2 7 2" xfId="4322" xr:uid="{D0743A76-686C-419D-B0FC-EE45A8ECBEF2}"/>
    <cellStyle name="Input 2 5 2 8" xfId="1704" xr:uid="{BCA54ACB-A478-4E8A-84D7-49AACB7FBEF2}"/>
    <cellStyle name="Input 2 5 2 8 2" xfId="4856" xr:uid="{6CD615BE-B06C-4DD6-8316-FE2D768B2C58}"/>
    <cellStyle name="Input 2 5 2 9" xfId="3474" xr:uid="{FF6A3C89-3942-42CF-909F-71B085141394}"/>
    <cellStyle name="Input 2 5 3" xfId="379" xr:uid="{6B06A199-8BCB-4C23-B616-FCD55D267A74}"/>
    <cellStyle name="Input 2 5 3 2" xfId="692" xr:uid="{67BDB88D-F9A0-4774-B1C6-C544EA54F53B}"/>
    <cellStyle name="Input 2 5 3 2 2" xfId="3855" xr:uid="{CB4D4264-5F24-4020-A247-E85B47B93D15}"/>
    <cellStyle name="Input 2 5 3 3" xfId="1291" xr:uid="{17452BB1-2A4B-48BC-87D9-7B5C1C1E5758}"/>
    <cellStyle name="Input 2 5 3 3 2" xfId="4443" xr:uid="{964BBB4F-B6FC-4623-BDB0-F99CDC818C3C}"/>
    <cellStyle name="Input 2 5 3 4" xfId="1825" xr:uid="{17BE960C-B8A4-4934-99A8-F221505F6992}"/>
    <cellStyle name="Input 2 5 3 4 2" xfId="4977" xr:uid="{3B87D4A5-2C89-49C9-81BC-34DD367B7CB5}"/>
    <cellStyle name="Input 2 5 3 5" xfId="2300" xr:uid="{A7BB5600-D39B-4890-941A-12FDE74FA7DE}"/>
    <cellStyle name="Input 2 5 3 5 2" xfId="5452" xr:uid="{9B4FD187-7A0B-40E0-8316-C32ABE01A5E8}"/>
    <cellStyle name="Input 2 5 3 6" xfId="2577" xr:uid="{B4997C37-DD0A-48CC-9306-3F46FE10C9D7}"/>
    <cellStyle name="Input 2 5 3 6 2" xfId="5729" xr:uid="{E961C451-BB00-44A0-B870-FFC9D8D01AD7}"/>
    <cellStyle name="Input 2 5 3 7" xfId="3055" xr:uid="{821EFEEE-758B-47DA-AE15-78E403920044}"/>
    <cellStyle name="Input 2 5 3 7 2" xfId="6207" xr:uid="{E7227887-2AAE-4781-9BC6-CA7DF74BA6FF}"/>
    <cellStyle name="Input 2 5 3 8" xfId="3561" xr:uid="{22248827-F3B3-41FB-B3F3-4F08BBE7731A}"/>
    <cellStyle name="Input 2 5 4" xfId="743" xr:uid="{CD61094E-FC65-4CD1-9B6C-3A95DC6AF50A}"/>
    <cellStyle name="Input 2 5 4 2" xfId="1342" xr:uid="{6EA80E97-4AD1-49D0-A6C1-474DA44356D4}"/>
    <cellStyle name="Input 2 5 4 2 2" xfId="4494" xr:uid="{9F62AED4-8814-47D5-8878-405A4ABC5A18}"/>
    <cellStyle name="Input 2 5 4 3" xfId="1876" xr:uid="{3CA131C3-2EF2-43AA-9220-FF63F37A1BC5}"/>
    <cellStyle name="Input 2 5 4 3 2" xfId="5028" xr:uid="{3CA101F5-4FE6-470E-B0C3-D39454441E49}"/>
    <cellStyle name="Input 2 5 4 4" xfId="2351" xr:uid="{BB9C6632-B092-4BC7-97FA-0150E39745B2}"/>
    <cellStyle name="Input 2 5 4 4 2" xfId="5503" xr:uid="{7FC6D297-9370-4E91-8799-39CACB0332E3}"/>
    <cellStyle name="Input 2 5 4 5" xfId="2605" xr:uid="{54B91252-BA0C-43D7-86C1-4524B20565FF}"/>
    <cellStyle name="Input 2 5 4 5 2" xfId="5757" xr:uid="{E9F9D36D-36E1-44DE-BD4F-FDE42CCF2915}"/>
    <cellStyle name="Input 2 5 4 6" xfId="3106" xr:uid="{A450025D-1303-4E1D-A366-36E965460D32}"/>
    <cellStyle name="Input 2 5 4 6 2" xfId="6258" xr:uid="{349A921B-7A8B-4ECB-A2D5-557997925CB7}"/>
    <cellStyle name="Input 2 5 4 7" xfId="3906" xr:uid="{3DE83250-296B-4134-8172-3747914E4F9B}"/>
    <cellStyle name="Input 2 5 5" xfId="811" xr:uid="{FBF5013D-ACF2-4366-8154-FFF0C3A4C8C0}"/>
    <cellStyle name="Input 2 5 5 2" xfId="1410" xr:uid="{ED45E5EC-B968-4B87-8E25-A390BFD608FC}"/>
    <cellStyle name="Input 2 5 5 2 2" xfId="4562" xr:uid="{8489FE0E-8E2D-4299-A068-65842440E316}"/>
    <cellStyle name="Input 2 5 5 3" xfId="1944" xr:uid="{609CE1CE-0AE0-4362-A6E8-0EEAC3D84581}"/>
    <cellStyle name="Input 2 5 5 3 2" xfId="5096" xr:uid="{F85941AE-7538-4B78-90B9-F67298F6E036}"/>
    <cellStyle name="Input 2 5 5 4" xfId="2419" xr:uid="{AFEB9E8F-93C7-4F23-ABFC-7F831737A482}"/>
    <cellStyle name="Input 2 5 5 4 2" xfId="5571" xr:uid="{FA2435F0-77C1-4965-9E97-553F6A690771}"/>
    <cellStyle name="Input 2 5 5 5" xfId="2175" xr:uid="{9C02FD59-8008-4EF8-82ED-50A132BF717E}"/>
    <cellStyle name="Input 2 5 5 5 2" xfId="5327" xr:uid="{9F797A57-6AC7-4779-82CA-4F1E4337DE09}"/>
    <cellStyle name="Input 2 5 5 6" xfId="3174" xr:uid="{F81FD543-777D-4715-A291-4E6F6A31D8BF}"/>
    <cellStyle name="Input 2 5 5 6 2" xfId="6326" xr:uid="{8C75BCB7-7712-466F-923B-AB29D392E10C}"/>
    <cellStyle name="Input 2 5 5 7" xfId="3974" xr:uid="{EBCC4903-EAA9-442C-B701-7EB757AF3755}"/>
    <cellStyle name="Input 2 5 6" xfId="930" xr:uid="{3B5A4C48-5DC3-48E3-80DF-6C1B2B80164E}"/>
    <cellStyle name="Input 2 5 6 2" xfId="1529" xr:uid="{964E4FD7-A650-48DB-AADF-80F62AD79A78}"/>
    <cellStyle name="Input 2 5 6 2 2" xfId="4681" xr:uid="{1F4AFFAB-5835-4FCF-8B24-950433B4BA4E}"/>
    <cellStyle name="Input 2 5 6 3" xfId="2063" xr:uid="{42CAA4FC-14FB-4B0E-8D4E-9BFFF9615CD8}"/>
    <cellStyle name="Input 2 5 6 3 2" xfId="5215" xr:uid="{FACC3D49-6BB5-44D7-A4B3-28AD604D604C}"/>
    <cellStyle name="Input 2 5 6 4" xfId="2712" xr:uid="{E09697F7-E38E-484E-BD64-341774E25C7D}"/>
    <cellStyle name="Input 2 5 6 4 2" xfId="5864" xr:uid="{7C63A24F-E474-449F-8F8A-6F0538C8548A}"/>
    <cellStyle name="Input 2 5 6 5" xfId="2880" xr:uid="{35C32C0A-693F-47A3-A505-2FDEE398280D}"/>
    <cellStyle name="Input 2 5 6 5 2" xfId="6032" xr:uid="{87593F1C-DF88-4037-BCD0-F94930CF351C}"/>
    <cellStyle name="Input 2 5 6 6" xfId="3293" xr:uid="{01B32A56-32D6-45F2-B2D2-90C14E7B303C}"/>
    <cellStyle name="Input 2 5 6 7" xfId="4093" xr:uid="{B312E268-F0A9-4259-9946-491681ADAA34}"/>
    <cellStyle name="Input 2 5 7" xfId="510" xr:uid="{DF0BB176-97F3-43B0-9A2A-7785CE1DDCA6}"/>
    <cellStyle name="Input 2 5 7 2" xfId="3680" xr:uid="{B0B1E2A0-3A2C-4CF5-977D-43566F8047E5}"/>
    <cellStyle name="Input 2 5 8" xfId="1108" xr:uid="{45E6F068-F365-48B2-B642-858DB6425409}"/>
    <cellStyle name="Input 2 5 8 2" xfId="4267" xr:uid="{05D6FDD4-6B52-4EB7-A5C0-90F40AC5B301}"/>
    <cellStyle name="Input 2 5 9" xfId="1645" xr:uid="{AC09242B-964E-4011-9C00-71A31D529C79}"/>
    <cellStyle name="Input 2 5 9 2" xfId="4797" xr:uid="{83F589E8-E20B-4359-A020-ECBF6013D44A}"/>
    <cellStyle name="Input 2 6" xfId="59" xr:uid="{DA1F975F-D608-4BBC-BE81-8B116E15355A}"/>
    <cellStyle name="Input 2 6 10" xfId="3392" xr:uid="{C55349C2-7B1F-415C-AA72-3A67633213A2}"/>
    <cellStyle name="Input 2 6 2" xfId="144" xr:uid="{0CDC1ACB-0E82-47F8-A906-D6A89006B3B5}"/>
    <cellStyle name="Input 2 6 2 2" xfId="428" xr:uid="{60897266-D5E9-4FC8-A791-82F28C00BDF1}"/>
    <cellStyle name="Input 2 6 2 2 2" xfId="624" xr:uid="{6861831B-A69E-474E-BDDF-57D8952A036E}"/>
    <cellStyle name="Input 2 6 2 2 2 2" xfId="3787" xr:uid="{40FF6625-5772-4475-8DB7-52563DA1FA1C}"/>
    <cellStyle name="Input 2 6 2 2 3" xfId="1223" xr:uid="{EF64D95A-FE2F-484C-ACC5-9BA4A65C937C}"/>
    <cellStyle name="Input 2 6 2 2 3 2" xfId="4375" xr:uid="{4D71BA35-62E6-47C7-B1B8-1421B663933D}"/>
    <cellStyle name="Input 2 6 2 2 4" xfId="1757" xr:uid="{5019CF61-1A2C-4D4B-B2EA-D287EFB0A7E3}"/>
    <cellStyle name="Input 2 6 2 2 4 2" xfId="4909" xr:uid="{4CCF66F1-9B64-463C-AADE-89C4B1BD1208}"/>
    <cellStyle name="Input 2 6 2 2 5" xfId="2232" xr:uid="{B65620F6-BCEA-4665-803F-9C26E22D08A9}"/>
    <cellStyle name="Input 2 6 2 2 5 2" xfId="5384" xr:uid="{1624A5B3-2B07-49B8-AD34-36037416F924}"/>
    <cellStyle name="Input 2 6 2 2 6" xfId="1074" xr:uid="{27288DBB-6A92-40C8-821B-B7EDB48E92F4}"/>
    <cellStyle name="Input 2 6 2 2 6 2" xfId="4236" xr:uid="{228C0DE4-BECA-40AD-A6B9-D387F576C5B5}"/>
    <cellStyle name="Input 2 6 2 2 7" xfId="2987" xr:uid="{27000819-81A7-4063-B30C-EB218ADF9B75}"/>
    <cellStyle name="Input 2 6 2 2 7 2" xfId="6139" xr:uid="{74C04B76-1EF8-4B11-81CB-EFCBC415AD9A}"/>
    <cellStyle name="Input 2 6 2 2 8" xfId="3603" xr:uid="{568281A3-E35C-4C98-A732-4BE37E458A9A}"/>
    <cellStyle name="Input 2 6 2 3" xfId="759" xr:uid="{B7BB424F-263C-4D70-84D1-4D8714693712}"/>
    <cellStyle name="Input 2 6 2 3 2" xfId="1358" xr:uid="{C9805EB5-F227-4043-98D9-7FB985192B5B}"/>
    <cellStyle name="Input 2 6 2 3 2 2" xfId="4510" xr:uid="{1FA68E65-4299-44B3-82EA-784AF8659271}"/>
    <cellStyle name="Input 2 6 2 3 3" xfId="1892" xr:uid="{D48D2FD8-D0E6-4277-ABA0-3F02070E7EE1}"/>
    <cellStyle name="Input 2 6 2 3 3 2" xfId="5044" xr:uid="{14DBC792-52B6-4802-AB4D-E64D51DBC876}"/>
    <cellStyle name="Input 2 6 2 3 4" xfId="2367" xr:uid="{9FB86D69-B62B-4080-B427-57907C641C6B}"/>
    <cellStyle name="Input 2 6 2 3 4 2" xfId="5519" xr:uid="{BCD80F99-BCE3-45E9-8203-ABDA7F0265A1}"/>
    <cellStyle name="Input 2 6 2 3 5" xfId="2651" xr:uid="{188F2A44-DF06-454C-9F94-8A95403E473C}"/>
    <cellStyle name="Input 2 6 2 3 5 2" xfId="5803" xr:uid="{674B96FE-2900-46CE-955C-570FE7148DB8}"/>
    <cellStyle name="Input 2 6 2 3 6" xfId="3122" xr:uid="{A28C4E70-57E9-46B1-B0EA-2DABE1BB173D}"/>
    <cellStyle name="Input 2 6 2 3 6 2" xfId="6274" xr:uid="{BD46155E-4909-4D3D-8B17-D487591051D6}"/>
    <cellStyle name="Input 2 6 2 3 7" xfId="3922" xr:uid="{382D483D-4854-499D-8DF1-8AE6C851A3EF}"/>
    <cellStyle name="Input 2 6 2 4" xfId="853" xr:uid="{BEE3EF83-E5B1-4417-8E2F-B5D443116F88}"/>
    <cellStyle name="Input 2 6 2 4 2" xfId="1452" xr:uid="{594A6FFC-4CA1-4B86-B34C-03F3E9430CBA}"/>
    <cellStyle name="Input 2 6 2 4 2 2" xfId="4604" xr:uid="{C162A847-BD52-47A0-86B7-2BB755503E18}"/>
    <cellStyle name="Input 2 6 2 4 3" xfId="1986" xr:uid="{83C06C30-ADFF-4059-87CA-E95C47C67ABE}"/>
    <cellStyle name="Input 2 6 2 4 3 2" xfId="5138" xr:uid="{049D372A-122A-490A-85E6-407481E16E96}"/>
    <cellStyle name="Input 2 6 2 4 4" xfId="2461" xr:uid="{1CE94270-6332-4FC2-90C4-20EE819E6545}"/>
    <cellStyle name="Input 2 6 2 4 4 2" xfId="5613" xr:uid="{59B9BC97-F00D-4109-9121-04784ECE9077}"/>
    <cellStyle name="Input 2 6 2 4 5" xfId="2803" xr:uid="{AC5940B3-F550-4D16-BBD2-C3DE85AB3A2A}"/>
    <cellStyle name="Input 2 6 2 4 5 2" xfId="5955" xr:uid="{7B4790C4-3226-4458-BE62-58FDA8D0CC36}"/>
    <cellStyle name="Input 2 6 2 4 6" xfId="3216" xr:uid="{62F94397-4C09-4552-BEA4-8A150438DA29}"/>
    <cellStyle name="Input 2 6 2 4 6 2" xfId="6368" xr:uid="{9ED32320-1BB0-49FB-ACE2-3927A7860942}"/>
    <cellStyle name="Input 2 6 2 4 7" xfId="4016" xr:uid="{5333B731-E5EF-4244-8B97-1EB79878E9F9}"/>
    <cellStyle name="Input 2 6 2 5" xfId="972" xr:uid="{1BD7EF9E-E102-481F-A61F-A2FBF95FE720}"/>
    <cellStyle name="Input 2 6 2 5 2" xfId="1571" xr:uid="{A0C7BF9B-E0C4-4475-979A-221C2BBE0DBB}"/>
    <cellStyle name="Input 2 6 2 5 2 2" xfId="4723" xr:uid="{8EC98EEB-AA7D-44BB-81B3-A60971A2D71F}"/>
    <cellStyle name="Input 2 6 2 5 3" xfId="2105" xr:uid="{EC3A3BC0-FA59-4255-BD7B-D96854CD0C92}"/>
    <cellStyle name="Input 2 6 2 5 3 2" xfId="5257" xr:uid="{47FA1CA9-FEC4-4073-B6C3-BA7134930913}"/>
    <cellStyle name="Input 2 6 2 5 4" xfId="2754" xr:uid="{1F1CFC5D-3FB1-4A62-BCA5-5723C11FD799}"/>
    <cellStyle name="Input 2 6 2 5 4 2" xfId="5906" xr:uid="{4931E02F-63F2-4770-AC47-C1EA4D3BE6E5}"/>
    <cellStyle name="Input 2 6 2 5 5" xfId="2922" xr:uid="{F79D2DC7-E20A-4BD6-A265-1B979A157F34}"/>
    <cellStyle name="Input 2 6 2 5 5 2" xfId="6074" xr:uid="{52F7FC3C-4153-4341-A201-CFA8362C5191}"/>
    <cellStyle name="Input 2 6 2 5 6" xfId="3335" xr:uid="{ABD55BB2-D7C3-4822-A595-218442DE1A61}"/>
    <cellStyle name="Input 2 6 2 5 7" xfId="4135" xr:uid="{0A6A1301-E455-4AD8-BA41-C759A1F71AE8}"/>
    <cellStyle name="Input 2 6 2 6" xfId="558" xr:uid="{F5E04131-9EC5-4D57-B5BE-5DDBA8A16638}"/>
    <cellStyle name="Input 2 6 2 6 2" xfId="3722" xr:uid="{86ED59E9-B493-497B-9CCD-10FC634D5416}"/>
    <cellStyle name="Input 2 6 2 7" xfId="1157" xr:uid="{0B1CB126-3318-4025-BAD3-679F510725D5}"/>
    <cellStyle name="Input 2 6 2 7 2" xfId="4310" xr:uid="{D1EB2C99-A85B-430F-B92F-9F0BC05BF52F}"/>
    <cellStyle name="Input 2 6 2 8" xfId="1692" xr:uid="{23FB2D0D-2B6D-4FFA-AAE0-E97380E49713}"/>
    <cellStyle name="Input 2 6 2 8 2" xfId="4844" xr:uid="{AAA3B22F-B903-4E0A-9F6C-31B24C4D06CF}"/>
    <cellStyle name="Input 2 6 2 9" xfId="3462" xr:uid="{9CE6E818-52F9-4D07-9E71-83D27FB94B29}"/>
    <cellStyle name="Input 2 6 3" xfId="367" xr:uid="{793D6E0E-FCEC-47F3-9AA9-EF21D9A487C4}"/>
    <cellStyle name="Input 2 6 3 2" xfId="638" xr:uid="{55F799AE-1546-4E00-8A1B-130C163845FF}"/>
    <cellStyle name="Input 2 6 3 2 2" xfId="3801" xr:uid="{8DEF965A-A8A9-4ECF-BDD8-640C0DDC4508}"/>
    <cellStyle name="Input 2 6 3 3" xfId="1237" xr:uid="{CF7E11D2-06F3-402A-9965-1B6973BADCFD}"/>
    <cellStyle name="Input 2 6 3 3 2" xfId="4389" xr:uid="{3CBD5D95-58D1-454A-8FD2-048C0A46437D}"/>
    <cellStyle name="Input 2 6 3 4" xfId="1771" xr:uid="{C471C820-4389-47BB-8C7A-EB91EFF6EDFC}"/>
    <cellStyle name="Input 2 6 3 4 2" xfId="4923" xr:uid="{4E04857D-DEED-4EA3-9C13-2F23E2CC846B}"/>
    <cellStyle name="Input 2 6 3 5" xfId="2246" xr:uid="{5C1BC8EA-DFA1-4F5A-AD89-B4A6044A2431}"/>
    <cellStyle name="Input 2 6 3 5 2" xfId="5398" xr:uid="{2E6FEA14-CA4B-40BE-BC05-BF4F9636039E}"/>
    <cellStyle name="Input 2 6 3 6" xfId="2612" xr:uid="{6412FC92-E086-4975-BC9A-0A23C186E29C}"/>
    <cellStyle name="Input 2 6 3 6 2" xfId="5764" xr:uid="{6D086D97-0920-4725-8778-DB03223D0173}"/>
    <cellStyle name="Input 2 6 3 7" xfId="3001" xr:uid="{9E9D0D18-5167-4307-AC45-4CE87FAC674F}"/>
    <cellStyle name="Input 2 6 3 7 2" xfId="6153" xr:uid="{32D27C96-77D4-4793-AD7F-5ECF8FC6827A}"/>
    <cellStyle name="Input 2 6 3 8" xfId="3549" xr:uid="{B3697830-FF3E-4D04-BD5B-F1DF221BD62A}"/>
    <cellStyle name="Input 2 6 4" xfId="738" xr:uid="{A27F860F-C578-4F06-8BEC-1208C0B06E02}"/>
    <cellStyle name="Input 2 6 4 2" xfId="1337" xr:uid="{410DA485-D98A-4B66-8DA5-AA811D884E4B}"/>
    <cellStyle name="Input 2 6 4 2 2" xfId="4489" xr:uid="{4DB364C8-98FF-45D1-A2F4-4BBA97C4993C}"/>
    <cellStyle name="Input 2 6 4 3" xfId="1871" xr:uid="{998B2780-505C-4E09-B367-870473565CB4}"/>
    <cellStyle name="Input 2 6 4 3 2" xfId="5023" xr:uid="{0CDA882F-D234-45FF-85E8-DBF4EEB6C277}"/>
    <cellStyle name="Input 2 6 4 4" xfId="2346" xr:uid="{75CC496D-24A3-47F0-8408-B5AC59437B02}"/>
    <cellStyle name="Input 2 6 4 4 2" xfId="5498" xr:uid="{19644546-6F42-4D68-98F8-E995B2683ED3}"/>
    <cellStyle name="Input 2 6 4 5" xfId="2617" xr:uid="{26E9A28B-FAD6-4312-BA5A-E8022BED7151}"/>
    <cellStyle name="Input 2 6 4 5 2" xfId="5769" xr:uid="{F6EBB58B-0CC3-49A4-94F8-4539B86202FE}"/>
    <cellStyle name="Input 2 6 4 6" xfId="3101" xr:uid="{1528E290-C8C8-449E-A253-A87D7E186710}"/>
    <cellStyle name="Input 2 6 4 6 2" xfId="6253" xr:uid="{9889B962-A14D-4CB6-A01C-EDA0B565D046}"/>
    <cellStyle name="Input 2 6 4 7" xfId="3901" xr:uid="{05A18C00-C558-4E2F-A09E-3FF85EA6BB97}"/>
    <cellStyle name="Input 2 6 5" xfId="799" xr:uid="{B64B3C23-6F5F-445B-9EBD-E31BDDC942E3}"/>
    <cellStyle name="Input 2 6 5 2" xfId="1398" xr:uid="{0537F5DC-C4D8-4E04-BDD7-250F0ECD8D3B}"/>
    <cellStyle name="Input 2 6 5 2 2" xfId="4550" xr:uid="{26E5753A-49AA-4336-9FB6-C09D0763119D}"/>
    <cellStyle name="Input 2 6 5 3" xfId="1932" xr:uid="{26F2C6DC-CA0A-46C0-ACFD-864A8D68B74E}"/>
    <cellStyle name="Input 2 6 5 3 2" xfId="5084" xr:uid="{81637735-449A-4DAE-B208-B5897D9DFF12}"/>
    <cellStyle name="Input 2 6 5 4" xfId="2407" xr:uid="{A96CA611-6D1C-4FCA-895D-CD12C8720DEE}"/>
    <cellStyle name="Input 2 6 5 4 2" xfId="5559" xr:uid="{FDBBC6F9-1659-42DD-A81F-679404C21A99}"/>
    <cellStyle name="Input 2 6 5 5" xfId="2559" xr:uid="{A5F5DFDB-8B9C-454B-9A50-4484487F0DB2}"/>
    <cellStyle name="Input 2 6 5 5 2" xfId="5711" xr:uid="{73AC1989-1DE1-4218-A071-08BB0C065295}"/>
    <cellStyle name="Input 2 6 5 6" xfId="3162" xr:uid="{5B81D891-E056-4E15-AF67-9783C449996E}"/>
    <cellStyle name="Input 2 6 5 6 2" xfId="6314" xr:uid="{D661A74C-DAA3-40E5-8A58-1734572CE274}"/>
    <cellStyle name="Input 2 6 5 7" xfId="3962" xr:uid="{FC477E5F-7CF6-4403-9709-C5FAC00B0889}"/>
    <cellStyle name="Input 2 6 6" xfId="918" xr:uid="{D5AC6859-9006-4AB6-B198-C96E300CBFB8}"/>
    <cellStyle name="Input 2 6 6 2" xfId="1517" xr:uid="{DF2DBC51-6981-4E42-9611-BC73F17CCD40}"/>
    <cellStyle name="Input 2 6 6 2 2" xfId="4669" xr:uid="{3372B1BA-B15F-487B-84C0-150178218A12}"/>
    <cellStyle name="Input 2 6 6 3" xfId="2051" xr:uid="{1882A906-1A7E-48CF-889D-78B01615BD1D}"/>
    <cellStyle name="Input 2 6 6 3 2" xfId="5203" xr:uid="{E0D77327-6B0F-4AC9-896B-C7746B895E72}"/>
    <cellStyle name="Input 2 6 6 4" xfId="2700" xr:uid="{C2E3090B-5922-4D90-8FDD-43FFBCC1B0F0}"/>
    <cellStyle name="Input 2 6 6 4 2" xfId="5852" xr:uid="{CCCC81B6-C1F2-440A-93A2-68F9D903C469}"/>
    <cellStyle name="Input 2 6 6 5" xfId="2868" xr:uid="{D74FC589-DADB-4743-9C9D-E7C73A247FD8}"/>
    <cellStyle name="Input 2 6 6 5 2" xfId="6020" xr:uid="{17E910F7-5100-47F1-A301-C1FA5A155CCC}"/>
    <cellStyle name="Input 2 6 6 6" xfId="3281" xr:uid="{DBAAA1C8-E948-41C1-9A9E-249469168DDA}"/>
    <cellStyle name="Input 2 6 6 7" xfId="4081" xr:uid="{61757839-3C74-4D95-B61A-EB1FC33ADD71}"/>
    <cellStyle name="Input 2 6 7" xfId="498" xr:uid="{D81BD24F-4025-4633-8525-2FAF0CEB24A4}"/>
    <cellStyle name="Input 2 6 7 2" xfId="3668" xr:uid="{A9CA0CFB-CCAA-4FB8-9982-DF3973AD63F5}"/>
    <cellStyle name="Input 2 6 8" xfId="1096" xr:uid="{485B0E36-99F8-4B2A-AFA4-7BDD69A4D585}"/>
    <cellStyle name="Input 2 6 8 2" xfId="4255" xr:uid="{7B89E7D6-A45A-4918-A02B-6077E7E21222}"/>
    <cellStyle name="Input 2 6 9" xfId="1633" xr:uid="{75A2DAB5-A32C-4970-BD10-CB873F3D79DC}"/>
    <cellStyle name="Input 2 6 9 2" xfId="4785" xr:uid="{23C65B37-7C90-440A-85CE-04DB20019E1D}"/>
    <cellStyle name="Input 2 7" xfId="56" xr:uid="{5DA1063B-0D4A-4F7E-A4DC-A47B5C3B7349}"/>
    <cellStyle name="Input 2 7 10" xfId="3389" xr:uid="{9C590A8C-CA51-4F9D-90AE-3ED724EC41C8}"/>
    <cellStyle name="Input 2 7 2" xfId="141" xr:uid="{C6357C01-7476-4BF2-B733-52F380068DF0}"/>
    <cellStyle name="Input 2 7 2 2" xfId="425" xr:uid="{078A6F5F-6728-481E-97C0-6DB652CA1C6B}"/>
    <cellStyle name="Input 2 7 2 2 2" xfId="667" xr:uid="{E5D54F89-F534-484D-BA9D-9E2FBBA4C66A}"/>
    <cellStyle name="Input 2 7 2 2 2 2" xfId="3830" xr:uid="{3AA62FB1-5C44-400C-91BE-9C4F2F8CEA95}"/>
    <cellStyle name="Input 2 7 2 2 3" xfId="1266" xr:uid="{E881F83A-9BD4-4595-B4B0-59CDC4CED133}"/>
    <cellStyle name="Input 2 7 2 2 3 2" xfId="4418" xr:uid="{E620B8F6-8C18-472D-A708-672073CC6BF1}"/>
    <cellStyle name="Input 2 7 2 2 4" xfId="1800" xr:uid="{110EECED-06A0-4E6D-BD51-3301F5CFA489}"/>
    <cellStyle name="Input 2 7 2 2 4 2" xfId="4952" xr:uid="{845C1FB7-D42E-4FFF-BC91-C9A6BC9EE06B}"/>
    <cellStyle name="Input 2 7 2 2 5" xfId="2275" xr:uid="{2C3A0025-67A9-4866-A51A-5699786B1C61}"/>
    <cellStyle name="Input 2 7 2 2 5 2" xfId="5427" xr:uid="{F9683557-8C4F-4987-B58B-2A88B4E67493}"/>
    <cellStyle name="Input 2 7 2 2 6" xfId="1682" xr:uid="{19F4E43A-5469-45AB-BD21-2394BC56E7E0}"/>
    <cellStyle name="Input 2 7 2 2 6 2" xfId="4834" xr:uid="{5C3FD9BA-DF14-4678-A139-8BE38FDCED3B}"/>
    <cellStyle name="Input 2 7 2 2 7" xfId="3030" xr:uid="{68A5D556-D28C-4A46-AD0E-38914C7FB16C}"/>
    <cellStyle name="Input 2 7 2 2 7 2" xfId="6182" xr:uid="{0D05B28C-CCCD-411E-9679-DADEA1C13638}"/>
    <cellStyle name="Input 2 7 2 2 8" xfId="3600" xr:uid="{488AABE1-85D2-48B8-AFDD-A3780E2A30F7}"/>
    <cellStyle name="Input 2 7 2 3" xfId="756" xr:uid="{D9EF430B-F835-460F-AA88-F5898A8270A6}"/>
    <cellStyle name="Input 2 7 2 3 2" xfId="1355" xr:uid="{527DF85D-B303-4529-8667-1D37680BD645}"/>
    <cellStyle name="Input 2 7 2 3 2 2" xfId="4507" xr:uid="{DD696FD3-11BE-4F96-B1BC-4FC1F5FD750C}"/>
    <cellStyle name="Input 2 7 2 3 3" xfId="1889" xr:uid="{37DFCEE1-80A1-46D4-BF4B-4CB06D9471F7}"/>
    <cellStyle name="Input 2 7 2 3 3 2" xfId="5041" xr:uid="{381A3C4E-3C2E-4F2E-A48E-EE8993EC058D}"/>
    <cellStyle name="Input 2 7 2 3 4" xfId="2364" xr:uid="{312AEF7C-D31C-4700-A627-A15E5CD02CD4}"/>
    <cellStyle name="Input 2 7 2 3 4 2" xfId="5516" xr:uid="{C531E527-D305-4C55-8649-0C576115A95E}"/>
    <cellStyle name="Input 2 7 2 3 5" xfId="2592" xr:uid="{BBA6DCB4-4A85-48CC-9261-6432EEB29AF8}"/>
    <cellStyle name="Input 2 7 2 3 5 2" xfId="5744" xr:uid="{E4C5BBC4-2F67-480E-A0D9-D731242F5667}"/>
    <cellStyle name="Input 2 7 2 3 6" xfId="3119" xr:uid="{5409AF8C-84E8-4E70-8FF6-F429DE07A4A6}"/>
    <cellStyle name="Input 2 7 2 3 6 2" xfId="6271" xr:uid="{EDF769B3-39C3-401E-B8EA-575FC22788C7}"/>
    <cellStyle name="Input 2 7 2 3 7" xfId="3919" xr:uid="{DF0346F3-F954-4EF3-946A-5FF9D9B49594}"/>
    <cellStyle name="Input 2 7 2 4" xfId="850" xr:uid="{B77F6126-6E1B-445F-B962-2D6DFEDDA040}"/>
    <cellStyle name="Input 2 7 2 4 2" xfId="1449" xr:uid="{BEE7B45D-CC08-45BA-BAEC-CFB68FCDACB6}"/>
    <cellStyle name="Input 2 7 2 4 2 2" xfId="4601" xr:uid="{35605577-DB06-422A-87A8-263DA18A849A}"/>
    <cellStyle name="Input 2 7 2 4 3" xfId="1983" xr:uid="{62D6ADF0-8588-4EB3-9FD2-136DDAF3CD0D}"/>
    <cellStyle name="Input 2 7 2 4 3 2" xfId="5135" xr:uid="{2DB898D6-9B2C-43E1-A3F3-A60DD2364325}"/>
    <cellStyle name="Input 2 7 2 4 4" xfId="2458" xr:uid="{C7DD0DBA-7098-41EA-85AE-C4F2333BEF4D}"/>
    <cellStyle name="Input 2 7 2 4 4 2" xfId="5610" xr:uid="{2F03B01F-624B-4124-95C7-814FB11D34CD}"/>
    <cellStyle name="Input 2 7 2 4 5" xfId="2800" xr:uid="{11C90512-66F6-42DE-931B-BF8768072212}"/>
    <cellStyle name="Input 2 7 2 4 5 2" xfId="5952" xr:uid="{8360C460-C7C2-4493-A743-CD1DD48DA88C}"/>
    <cellStyle name="Input 2 7 2 4 6" xfId="3213" xr:uid="{DE4BEBCD-AE38-4E36-B306-16912277F963}"/>
    <cellStyle name="Input 2 7 2 4 6 2" xfId="6365" xr:uid="{82D4B1E2-4FB5-4785-8B53-3A3528366D63}"/>
    <cellStyle name="Input 2 7 2 4 7" xfId="4013" xr:uid="{0C0FBD1B-A342-444E-9892-752348DE4D83}"/>
    <cellStyle name="Input 2 7 2 5" xfId="969" xr:uid="{01B23499-E074-40D9-A742-98D27EC39EFF}"/>
    <cellStyle name="Input 2 7 2 5 2" xfId="1568" xr:uid="{19FF8CB4-9D36-4BCD-B03F-6DB7CDF8A8CA}"/>
    <cellStyle name="Input 2 7 2 5 2 2" xfId="4720" xr:uid="{EFD2C5AC-3649-4EFC-9E3B-089383F4A705}"/>
    <cellStyle name="Input 2 7 2 5 3" xfId="2102" xr:uid="{21E82109-6B7A-4E96-909F-CCE1ADC8FCA2}"/>
    <cellStyle name="Input 2 7 2 5 3 2" xfId="5254" xr:uid="{37A81934-56E5-489A-A602-EE3899372150}"/>
    <cellStyle name="Input 2 7 2 5 4" xfId="2751" xr:uid="{268F8535-2077-458D-9AE0-C6B6762D887A}"/>
    <cellStyle name="Input 2 7 2 5 4 2" xfId="5903" xr:uid="{FFCA365F-B816-420C-870E-639782D0230C}"/>
    <cellStyle name="Input 2 7 2 5 5" xfId="2919" xr:uid="{1E2FCB1F-C569-4017-A71B-AC6D41FA3B34}"/>
    <cellStyle name="Input 2 7 2 5 5 2" xfId="6071" xr:uid="{BB0C1526-0161-4880-BF4A-5E4815733D3F}"/>
    <cellStyle name="Input 2 7 2 5 6" xfId="3332" xr:uid="{0BC55345-AD62-40D4-B142-8F66D6F08B58}"/>
    <cellStyle name="Input 2 7 2 5 7" xfId="4132" xr:uid="{E7D5BDBD-6B90-4BC9-AACE-7A688DD71DEE}"/>
    <cellStyle name="Input 2 7 2 6" xfId="555" xr:uid="{618C058F-1B50-4573-988D-EB54A08C6270}"/>
    <cellStyle name="Input 2 7 2 6 2" xfId="3719" xr:uid="{0B8A5A0A-BD64-49C8-9331-31C0DCB78210}"/>
    <cellStyle name="Input 2 7 2 7" xfId="1154" xr:uid="{9F21C862-7976-4409-9876-BA045FB4A089}"/>
    <cellStyle name="Input 2 7 2 7 2" xfId="4307" xr:uid="{27A065C6-34E4-4DA0-9E4C-F03DEBAA1710}"/>
    <cellStyle name="Input 2 7 2 8" xfId="1689" xr:uid="{1E4B6C97-138E-414D-9799-2CA8D970AEFC}"/>
    <cellStyle name="Input 2 7 2 8 2" xfId="4841" xr:uid="{2E71EABD-5096-4CF8-AE25-0D4EE86A20A1}"/>
    <cellStyle name="Input 2 7 2 9" xfId="3459" xr:uid="{7B5C25FB-5147-41F7-B6E0-0C1BAE35C57F}"/>
    <cellStyle name="Input 2 7 3" xfId="364" xr:uid="{5BC8E992-3B69-48A3-8465-1903606852DF}"/>
    <cellStyle name="Input 2 7 3 2" xfId="677" xr:uid="{E80EE389-41AF-42FB-9C01-2EB4589FF75D}"/>
    <cellStyle name="Input 2 7 3 2 2" xfId="3840" xr:uid="{CE30B736-AD64-43BF-B472-E3B92922ED63}"/>
    <cellStyle name="Input 2 7 3 3" xfId="1276" xr:uid="{364CA9D5-60F3-457E-BECF-19FC68E76741}"/>
    <cellStyle name="Input 2 7 3 3 2" xfId="4428" xr:uid="{EC8BE5B9-1EA4-4A31-8E87-D5CD410F7A85}"/>
    <cellStyle name="Input 2 7 3 4" xfId="1810" xr:uid="{27170D46-36B6-4177-958A-1E0406895A1A}"/>
    <cellStyle name="Input 2 7 3 4 2" xfId="4962" xr:uid="{583BC614-8A2B-4528-AD18-5ABCF6B74FFD}"/>
    <cellStyle name="Input 2 7 3 5" xfId="2285" xr:uid="{B696E1FE-4D9E-478F-B9A1-F8F0B8781A4C}"/>
    <cellStyle name="Input 2 7 3 5 2" xfId="5437" xr:uid="{6157BD21-8999-4B60-BAC1-66EE3038C1A1}"/>
    <cellStyle name="Input 2 7 3 6" xfId="2190" xr:uid="{244A866E-A457-4FB1-9102-5B8C2BCD3E83}"/>
    <cellStyle name="Input 2 7 3 6 2" xfId="5342" xr:uid="{77D89CCC-1F17-48F5-AAD7-FEABEC67DE34}"/>
    <cellStyle name="Input 2 7 3 7" xfId="3040" xr:uid="{9F8DBF7B-E785-4B8B-BE6D-4F287A65851B}"/>
    <cellStyle name="Input 2 7 3 7 2" xfId="6192" xr:uid="{323B36FB-2B3C-46C4-82C1-1A1829005ED6}"/>
    <cellStyle name="Input 2 7 3 8" xfId="3546" xr:uid="{D6A4FEED-6BB5-43DA-BC22-AE57E135637E}"/>
    <cellStyle name="Input 2 7 4" xfId="735" xr:uid="{58D621A8-65BD-4595-A45B-708F611074F5}"/>
    <cellStyle name="Input 2 7 4 2" xfId="1334" xr:uid="{88D222E2-5E55-4215-91AA-6457085680B2}"/>
    <cellStyle name="Input 2 7 4 2 2" xfId="4486" xr:uid="{19598E58-F66E-4ADF-80A0-EFCA7C787B84}"/>
    <cellStyle name="Input 2 7 4 3" xfId="1868" xr:uid="{57D53805-8FEE-482B-84FC-CA97F612E40D}"/>
    <cellStyle name="Input 2 7 4 3 2" xfId="5020" xr:uid="{10EB818A-97E7-4701-824B-C5598F32C0B8}"/>
    <cellStyle name="Input 2 7 4 4" xfId="2343" xr:uid="{0534C339-97FB-4DE9-A8A2-438AFA24A58B}"/>
    <cellStyle name="Input 2 7 4 4 2" xfId="5495" xr:uid="{E015E809-005E-467A-9895-7974249432B3}"/>
    <cellStyle name="Input 2 7 4 5" xfId="1066" xr:uid="{2AF3347C-0B4F-4A75-806D-E88EF93978A0}"/>
    <cellStyle name="Input 2 7 4 5 2" xfId="4228" xr:uid="{8C91FAAA-0A8D-4F47-8808-E5973469F604}"/>
    <cellStyle name="Input 2 7 4 6" xfId="3098" xr:uid="{35B68AE3-DC5C-437F-9E5F-7BEC1A067312}"/>
    <cellStyle name="Input 2 7 4 6 2" xfId="6250" xr:uid="{7EA0E490-319B-418A-97D3-CF004E2E152A}"/>
    <cellStyle name="Input 2 7 4 7" xfId="3898" xr:uid="{4C7E4847-EF43-43E5-A5AE-35993EC092CE}"/>
    <cellStyle name="Input 2 7 5" xfId="796" xr:uid="{87DE74E3-DBE2-4BB9-BB59-78555D4A23A1}"/>
    <cellStyle name="Input 2 7 5 2" xfId="1395" xr:uid="{EACDE17D-48AE-492F-B82C-A77A7D400AC6}"/>
    <cellStyle name="Input 2 7 5 2 2" xfId="4547" xr:uid="{F3351717-8434-4576-BD97-C241952C793A}"/>
    <cellStyle name="Input 2 7 5 3" xfId="1929" xr:uid="{33192C06-DDEE-4B5E-A803-177848CFA84F}"/>
    <cellStyle name="Input 2 7 5 3 2" xfId="5081" xr:uid="{08930A0F-1F9D-43A6-9D9C-83212B561DDD}"/>
    <cellStyle name="Input 2 7 5 4" xfId="2404" xr:uid="{391781C9-C615-45B8-9BD9-2744F091049C}"/>
    <cellStyle name="Input 2 7 5 4 2" xfId="5556" xr:uid="{AA87424D-55E6-4B9B-9C29-8FBC03AF14A4}"/>
    <cellStyle name="Input 2 7 5 5" xfId="2155" xr:uid="{1E0102AD-71D7-4DBE-A05D-1D83833B61DC}"/>
    <cellStyle name="Input 2 7 5 5 2" xfId="5307" xr:uid="{7D4B1712-B9C4-4AFC-AB9C-841D828E819B}"/>
    <cellStyle name="Input 2 7 5 6" xfId="3159" xr:uid="{2561F8C4-5749-4B1A-BA9C-6A533D699CCE}"/>
    <cellStyle name="Input 2 7 5 6 2" xfId="6311" xr:uid="{910FA354-8E5A-4E44-8B4D-51913F972C7F}"/>
    <cellStyle name="Input 2 7 5 7" xfId="3959" xr:uid="{D757F146-95A6-4789-ABF6-687B36412C5D}"/>
    <cellStyle name="Input 2 7 6" xfId="915" xr:uid="{5FCCE392-51B5-4668-BF18-95CEB79CB306}"/>
    <cellStyle name="Input 2 7 6 2" xfId="1514" xr:uid="{A793115E-3926-4DB9-96B9-16C91967609D}"/>
    <cellStyle name="Input 2 7 6 2 2" xfId="4666" xr:uid="{A162E371-D7CA-4A07-9197-0D0E3A0DED71}"/>
    <cellStyle name="Input 2 7 6 3" xfId="2048" xr:uid="{F9E28E1A-790C-4355-9B1C-9D228609D9C0}"/>
    <cellStyle name="Input 2 7 6 3 2" xfId="5200" xr:uid="{1F77F55F-8EBF-4ACC-B552-55547B96A0FD}"/>
    <cellStyle name="Input 2 7 6 4" xfId="2697" xr:uid="{CA55E716-93C3-4DB3-B406-711EA0F2373C}"/>
    <cellStyle name="Input 2 7 6 4 2" xfId="5849" xr:uid="{45BCA713-BE8B-4082-A36C-968E76414B4A}"/>
    <cellStyle name="Input 2 7 6 5" xfId="2865" xr:uid="{6BAD449A-F8F8-4BBA-A263-82A1A286BF1A}"/>
    <cellStyle name="Input 2 7 6 5 2" xfId="6017" xr:uid="{E9508EE7-AA72-4624-BEA4-0378AC71505D}"/>
    <cellStyle name="Input 2 7 6 6" xfId="3278" xr:uid="{15CF36F1-B58E-439D-842D-73B02EF8BDDA}"/>
    <cellStyle name="Input 2 7 6 7" xfId="4078" xr:uid="{60CFB47B-EF83-4F8C-85AC-846EE5683A6E}"/>
    <cellStyle name="Input 2 7 7" xfId="495" xr:uid="{1DD50C6E-CFAC-4EAF-B509-11A9D0B24896}"/>
    <cellStyle name="Input 2 7 7 2" xfId="3665" xr:uid="{2A7C250A-999F-4C37-B38E-D4242B43E493}"/>
    <cellStyle name="Input 2 7 8" xfId="1093" xr:uid="{96CB3C1D-852E-4CE8-B4BE-D7598F9E701E}"/>
    <cellStyle name="Input 2 7 8 2" xfId="4252" xr:uid="{2799C39A-6417-4400-8F7E-8A46E5229E24}"/>
    <cellStyle name="Input 2 7 9" xfId="1630" xr:uid="{F358C3AF-0188-46AF-9FDC-B775CA117EA3}"/>
    <cellStyle name="Input 2 7 9 2" xfId="4782" xr:uid="{52DC588E-F862-4042-A60D-7B5ED070B251}"/>
    <cellStyle name="Input 2 8" xfId="115" xr:uid="{6964B5ED-6A65-4C0E-B65F-E22D66CFD3D8}"/>
    <cellStyle name="Input 2 8 2" xfId="355" xr:uid="{EDAEC042-0E6C-4E42-9E75-74B5B4669C66}"/>
    <cellStyle name="Input 2 8 2 2" xfId="691" xr:uid="{0BE40091-DC3B-46C2-AA3C-3EE7604B2B42}"/>
    <cellStyle name="Input 2 8 2 2 2" xfId="3854" xr:uid="{E91D1538-7D6D-4A5B-A65C-C81E003DEFB6}"/>
    <cellStyle name="Input 2 8 2 3" xfId="1290" xr:uid="{9D6DBB62-9FD8-43D2-BFE7-6B5083AC0E42}"/>
    <cellStyle name="Input 2 8 2 3 2" xfId="4442" xr:uid="{1AC0FFCB-B1CE-484A-A122-A1F1DD4833AD}"/>
    <cellStyle name="Input 2 8 2 4" xfId="1824" xr:uid="{9FE6B909-8144-4722-91C9-2099E0816681}"/>
    <cellStyle name="Input 2 8 2 4 2" xfId="4976" xr:uid="{692D4183-033F-4840-A56F-43C1E23EF70B}"/>
    <cellStyle name="Input 2 8 2 5" xfId="2299" xr:uid="{72565B53-EB3A-42EA-8F72-D218AC947D31}"/>
    <cellStyle name="Input 2 8 2 5 2" xfId="5451" xr:uid="{BD216D53-A7F2-42F1-BDFD-42ECF9ADD618}"/>
    <cellStyle name="Input 2 8 2 6" xfId="2211" xr:uid="{BF0378C1-F33A-44A7-8BB4-AFD533A68117}"/>
    <cellStyle name="Input 2 8 2 6 2" xfId="5363" xr:uid="{8F5678D6-E80A-4630-B87F-4E8E911B23DB}"/>
    <cellStyle name="Input 2 8 2 7" xfId="3054" xr:uid="{9D3F997F-E88B-42E9-A78D-D5316250E0E9}"/>
    <cellStyle name="Input 2 8 2 7 2" xfId="6206" xr:uid="{3B3678F1-BEDA-4F31-8B5F-05C7CCAA0784}"/>
    <cellStyle name="Input 2 8 2 8" xfId="3541" xr:uid="{C2D4C829-B0A1-484B-9473-419D9D552E3A}"/>
    <cellStyle name="Input 2 8 3" xfId="733" xr:uid="{311BD142-1BA1-461D-A608-75CDAC7391AF}"/>
    <cellStyle name="Input 2 8 3 2" xfId="1332" xr:uid="{7F3CA804-AEE7-40D4-ADA4-3171B522375B}"/>
    <cellStyle name="Input 2 8 3 2 2" xfId="4484" xr:uid="{1DB74219-7B0E-4221-84ED-37587D2556A5}"/>
    <cellStyle name="Input 2 8 3 3" xfId="1866" xr:uid="{789DBDC8-A781-4CE8-B60E-F949CEF95D5B}"/>
    <cellStyle name="Input 2 8 3 3 2" xfId="5018" xr:uid="{3D0071D5-3E3B-45A8-BE58-9A479463A6CE}"/>
    <cellStyle name="Input 2 8 3 4" xfId="2341" xr:uid="{21C92CE1-335F-497A-8C03-AE0B7FC0C016}"/>
    <cellStyle name="Input 2 8 3 4 2" xfId="5493" xr:uid="{4A296E1F-9DFB-4A95-B670-7D05D42FC315}"/>
    <cellStyle name="Input 2 8 3 5" xfId="2609" xr:uid="{B787086C-71D4-4C4F-8F40-0FF2FB1FFF52}"/>
    <cellStyle name="Input 2 8 3 5 2" xfId="5761" xr:uid="{EEC4FE10-00BA-470F-BC49-E990542317E5}"/>
    <cellStyle name="Input 2 8 3 6" xfId="3096" xr:uid="{3AB2AEDB-B5EB-4ED7-AE12-87876FB5C741}"/>
    <cellStyle name="Input 2 8 3 6 2" xfId="6248" xr:uid="{525D6F12-D575-4FEF-AD90-EB6062526F01}"/>
    <cellStyle name="Input 2 8 3 7" xfId="3896" xr:uid="{189EAC44-76BB-43F1-BB2D-25DB3DACEF7E}"/>
    <cellStyle name="Input 2 8 4" xfId="791" xr:uid="{92A02BC5-8160-4DD3-BBC3-F370849B9E68}"/>
    <cellStyle name="Input 2 8 4 2" xfId="1390" xr:uid="{5A8FCF81-4F64-4F20-B48E-175F2BCF4D45}"/>
    <cellStyle name="Input 2 8 4 2 2" xfId="4542" xr:uid="{42935072-227D-4AD6-8B14-34F75359C803}"/>
    <cellStyle name="Input 2 8 4 3" xfId="1924" xr:uid="{8B649817-8C94-45E6-B7BC-899512DFDEA7}"/>
    <cellStyle name="Input 2 8 4 3 2" xfId="5076" xr:uid="{2B086AE4-1E23-471A-9076-418C05E22256}"/>
    <cellStyle name="Input 2 8 4 4" xfId="2399" xr:uid="{F63AF96E-61F4-4618-8CA7-07F5C31E1372}"/>
    <cellStyle name="Input 2 8 4 4 2" xfId="5551" xr:uid="{95BDAE3C-B7F6-4DF4-A509-357B0FC2BAB2}"/>
    <cellStyle name="Input 2 8 4 5" xfId="2178" xr:uid="{E4A16144-9D56-4A1C-9D25-695BE0E50E32}"/>
    <cellStyle name="Input 2 8 4 5 2" xfId="5330" xr:uid="{68A626F7-E789-4411-8CAF-9A8BFC1E1E7E}"/>
    <cellStyle name="Input 2 8 4 6" xfId="3154" xr:uid="{E6C88AD8-0C3C-4C49-BA52-BB6E7072B420}"/>
    <cellStyle name="Input 2 8 4 6 2" xfId="6306" xr:uid="{599914EE-9082-4F14-81BC-710636E6AEB7}"/>
    <cellStyle name="Input 2 8 4 7" xfId="3954" xr:uid="{15208D01-A28D-43A6-ACA1-11AF24CF87B9}"/>
    <cellStyle name="Input 2 8 5" xfId="910" xr:uid="{55F265DE-38D5-4162-A9B9-A5A546544DD7}"/>
    <cellStyle name="Input 2 8 5 2" xfId="1509" xr:uid="{A877B241-0DCE-46B1-8CCD-33A228749C3B}"/>
    <cellStyle name="Input 2 8 5 2 2" xfId="4661" xr:uid="{21565D75-A275-4190-8AC7-6C6CBBD57C15}"/>
    <cellStyle name="Input 2 8 5 3" xfId="2043" xr:uid="{4A0C270D-53E7-4455-8A60-8B1CCBC59008}"/>
    <cellStyle name="Input 2 8 5 3 2" xfId="5195" xr:uid="{1891E692-3E9F-47C5-8FB3-6040A09FCC1B}"/>
    <cellStyle name="Input 2 8 5 4" xfId="2692" xr:uid="{523B7FB6-E7C8-4965-A6A2-2C07ED34B4A9}"/>
    <cellStyle name="Input 2 8 5 4 2" xfId="5844" xr:uid="{3A562714-804E-4729-B36A-88EA7A3FCFE9}"/>
    <cellStyle name="Input 2 8 5 5" xfId="2860" xr:uid="{92B7005D-04D1-4FC9-8380-9FE02B7140AE}"/>
    <cellStyle name="Input 2 8 5 5 2" xfId="6012" xr:uid="{C689B6E0-FF42-4918-933D-52EDDBB3BE49}"/>
    <cellStyle name="Input 2 8 5 6" xfId="3273" xr:uid="{82390E85-AA57-4839-A37A-D8D1C25B6473}"/>
    <cellStyle name="Input 2 8 5 7" xfId="4073" xr:uid="{97CAAC59-76EE-40D4-8C23-5CC2953C42B2}"/>
    <cellStyle name="Input 2 8 6" xfId="488" xr:uid="{E703D8A4-F6F8-42EB-A90C-7A5DE448FD2C}"/>
    <cellStyle name="Input 2 8 6 2" xfId="3660" xr:uid="{870B6AAD-9612-409E-974D-0C6C3935FF19}"/>
    <cellStyle name="Input 2 8 7" xfId="1086" xr:uid="{F7A21DE5-5C60-43A2-BA8B-1F2C7A7401D8}"/>
    <cellStyle name="Input 2 8 7 2" xfId="4247" xr:uid="{2923DFDF-0E77-452C-B767-48DA15F39C8B}"/>
    <cellStyle name="Input 2 8 8" xfId="1624" xr:uid="{DFA8CE72-EC54-4C05-A916-9D07972D55E3}"/>
    <cellStyle name="Input 2 8 8 2" xfId="4776" xr:uid="{49F9E8E3-A703-42A4-9062-5E69E3590DC2}"/>
    <cellStyle name="Input 2 8 9" xfId="3438" xr:uid="{603F594E-219A-4CC6-A23E-ED87580D0FB7}"/>
    <cellStyle name="Input 2 9" xfId="135" xr:uid="{2EA9459F-4E09-4D37-B8F9-32976E8016B9}"/>
    <cellStyle name="Input 2 9 2" xfId="419" xr:uid="{D4A0C52D-A2DA-432B-AC6E-7BBF24D6433F}"/>
    <cellStyle name="Input 2 9 2 2" xfId="670" xr:uid="{14F89DDE-942B-49F5-841F-F7B7B6314161}"/>
    <cellStyle name="Input 2 9 2 2 2" xfId="3833" xr:uid="{30D303A2-9639-45AC-BD48-956EC0D1A600}"/>
    <cellStyle name="Input 2 9 2 3" xfId="1269" xr:uid="{24FB970B-22DE-495C-BA24-7B4730931DF8}"/>
    <cellStyle name="Input 2 9 2 3 2" xfId="4421" xr:uid="{CB59D1B9-9C78-4751-AC66-7CAA0A9A7DCB}"/>
    <cellStyle name="Input 2 9 2 4" xfId="1803" xr:uid="{5AFBA012-AE4C-4290-B5A0-B25E890697F5}"/>
    <cellStyle name="Input 2 9 2 4 2" xfId="4955" xr:uid="{42538774-81F7-449E-BBD1-6C62F236E702}"/>
    <cellStyle name="Input 2 9 2 5" xfId="2278" xr:uid="{DD0C4E5C-1C8A-4DBA-A32E-08CD2EE56C03}"/>
    <cellStyle name="Input 2 9 2 5 2" xfId="5430" xr:uid="{A2DF685A-06A1-469A-B1F5-80EC8B202C60}"/>
    <cellStyle name="Input 2 9 2 6" xfId="2176" xr:uid="{1EB0873C-87E4-46E1-A091-699BBC103ACB}"/>
    <cellStyle name="Input 2 9 2 6 2" xfId="5328" xr:uid="{B5009F71-A4AE-40CB-836B-5C5A8F4B04E8}"/>
    <cellStyle name="Input 2 9 2 7" xfId="3033" xr:uid="{9973B663-9311-4520-99D2-B868CA9E4FFE}"/>
    <cellStyle name="Input 2 9 2 7 2" xfId="6185" xr:uid="{C86F18C1-CB72-44A1-B00F-2C778488D048}"/>
    <cellStyle name="Input 2 9 2 8" xfId="3594" xr:uid="{61BA845E-0849-4133-B91F-AC5BA083739B}"/>
    <cellStyle name="Input 2 9 3" xfId="754" xr:uid="{3402C906-9253-469B-B739-561D471AF878}"/>
    <cellStyle name="Input 2 9 3 2" xfId="1353" xr:uid="{A990DD7D-D755-4065-973B-8152F1EE72F8}"/>
    <cellStyle name="Input 2 9 3 2 2" xfId="4505" xr:uid="{703547E8-B311-460F-A7F1-7C445F6843A5}"/>
    <cellStyle name="Input 2 9 3 3" xfId="1887" xr:uid="{9ABA16D7-4A7B-491B-A054-524D9AAD033C}"/>
    <cellStyle name="Input 2 9 3 3 2" xfId="5039" xr:uid="{920EEA57-3DB1-4C68-B89F-E4C4639895BC}"/>
    <cellStyle name="Input 2 9 3 4" xfId="2362" xr:uid="{63A4A9EC-B61E-4D6F-B0CA-EDB329EBC03D}"/>
    <cellStyle name="Input 2 9 3 4 2" xfId="5514" xr:uid="{1F90CBF2-50F2-4571-BE64-4AFC5B6AF69E}"/>
    <cellStyle name="Input 2 9 3 5" xfId="2509" xr:uid="{BADF988C-8549-4074-A4CB-06B87F0D7F8A}"/>
    <cellStyle name="Input 2 9 3 5 2" xfId="5661" xr:uid="{CEC884D1-60EE-49D3-909C-567891222E06}"/>
    <cellStyle name="Input 2 9 3 6" xfId="3117" xr:uid="{E81029BC-4D4B-47D0-A325-73E02D44FCE6}"/>
    <cellStyle name="Input 2 9 3 6 2" xfId="6269" xr:uid="{3FDCE307-E4BC-411A-AE60-AE38995C22B0}"/>
    <cellStyle name="Input 2 9 3 7" xfId="3917" xr:uid="{9723625E-D56C-4C60-BD8B-8D13468752EC}"/>
    <cellStyle name="Input 2 9 4" xfId="844" xr:uid="{B021C80F-297F-4E3B-97CD-53F31A83F2A9}"/>
    <cellStyle name="Input 2 9 4 2" xfId="1443" xr:uid="{4643D7D3-C363-40A1-BB33-462CE4F5D7F9}"/>
    <cellStyle name="Input 2 9 4 2 2" xfId="4595" xr:uid="{3C0C8302-0F8B-4513-BF5D-A8E9B323794B}"/>
    <cellStyle name="Input 2 9 4 3" xfId="1977" xr:uid="{8E701891-CDF5-4BA1-9CC3-7CA04205153B}"/>
    <cellStyle name="Input 2 9 4 3 2" xfId="5129" xr:uid="{59F4A749-F33C-4A3B-8BAC-8B9C39811117}"/>
    <cellStyle name="Input 2 9 4 4" xfId="2452" xr:uid="{4DAAE387-7562-4433-85C1-2679C2EF52A1}"/>
    <cellStyle name="Input 2 9 4 4 2" xfId="5604" xr:uid="{E42CC722-DEBB-4893-AEA2-C8FCE1A92E5A}"/>
    <cellStyle name="Input 2 9 4 5" xfId="2516" xr:uid="{8168273D-EAF4-482A-96B6-E21A80D6FD9C}"/>
    <cellStyle name="Input 2 9 4 5 2" xfId="5668" xr:uid="{C91EFDC3-4FE2-4B41-B41F-34B81CF6C149}"/>
    <cellStyle name="Input 2 9 4 6" xfId="3207" xr:uid="{2BD75AA6-AD68-45B6-AFFF-B23B78A15935}"/>
    <cellStyle name="Input 2 9 4 6 2" xfId="6359" xr:uid="{33C6C035-3153-4A92-B3F0-A124C5758626}"/>
    <cellStyle name="Input 2 9 4 7" xfId="4007" xr:uid="{5F830D2E-230D-4A27-9E41-52E9C612F7F2}"/>
    <cellStyle name="Input 2 9 5" xfId="963" xr:uid="{034F7E44-C87D-4A22-A75A-7C776B9E79E9}"/>
    <cellStyle name="Input 2 9 5 2" xfId="1562" xr:uid="{A1D1DA08-E682-407C-9C71-355D935E6942}"/>
    <cellStyle name="Input 2 9 5 2 2" xfId="4714" xr:uid="{A2B2665E-95E2-4F44-AB1F-792F10995E9D}"/>
    <cellStyle name="Input 2 9 5 3" xfId="2096" xr:uid="{48E1225D-1983-4D76-8522-60A19C76DE0C}"/>
    <cellStyle name="Input 2 9 5 3 2" xfId="5248" xr:uid="{73FF6221-CFEA-4A49-A37D-D3ABFF974BA0}"/>
    <cellStyle name="Input 2 9 5 4" xfId="2745" xr:uid="{EC0261D5-D956-440E-B8B0-C931008124AB}"/>
    <cellStyle name="Input 2 9 5 4 2" xfId="5897" xr:uid="{33D3798B-437A-4FA0-8047-E680E9972A55}"/>
    <cellStyle name="Input 2 9 5 5" xfId="2913" xr:uid="{7884FCA9-5127-4128-856F-E21852A6B441}"/>
    <cellStyle name="Input 2 9 5 5 2" xfId="6065" xr:uid="{089A119B-09D9-4A19-94AB-7A4601A823F5}"/>
    <cellStyle name="Input 2 9 5 6" xfId="3326" xr:uid="{9856891D-9D11-41D9-948E-0533D0FDF22A}"/>
    <cellStyle name="Input 2 9 5 7" xfId="4126" xr:uid="{3F208A7A-F546-447E-9787-FC78C183E898}"/>
    <cellStyle name="Input 2 9 6" xfId="549" xr:uid="{A14A72EE-0AE7-446D-A21D-ED60981487A7}"/>
    <cellStyle name="Input 2 9 6 2" xfId="3713" xr:uid="{E4D70331-0AB2-462C-AECC-46BA6153C929}"/>
    <cellStyle name="Input 2 9 7" xfId="1148" xr:uid="{9A30FFF5-0712-40CD-93B6-E6445B050066}"/>
    <cellStyle name="Input 2 9 7 2" xfId="4301" xr:uid="{C0485F4A-9A4C-43CF-A9BF-D2D4040E864F}"/>
    <cellStyle name="Input 2 9 8" xfId="1683" xr:uid="{ABF4FA52-1489-4F7E-B4EF-3709BF05D330}"/>
    <cellStyle name="Input 2 9 8 2" xfId="4835" xr:uid="{24708C4F-C8C7-4692-839F-209DB866A655}"/>
    <cellStyle name="Input 2 9 9" xfId="3455" xr:uid="{FDCA258F-AB36-4725-8E8F-9FA217E6564E}"/>
    <cellStyle name="Linked Cell 2" xfId="40" xr:uid="{FC1FCD24-2E42-4D9E-80FC-D7F3BC8535D9}"/>
    <cellStyle name="Linked Cell 2 2" xfId="331" xr:uid="{54CF1E12-39ED-48D5-961B-2910A73E2C3B}"/>
    <cellStyle name="Linked Cell 2 3" xfId="269" xr:uid="{ACBDD44E-8AC1-452E-8ACF-65A8B7F95EBE}"/>
    <cellStyle name="Neutral 2" xfId="41" xr:uid="{8020793E-5321-447C-A0E5-1886A8F4577D}"/>
    <cellStyle name="Neutral 2 2" xfId="332" xr:uid="{5E59EBDA-1197-4983-98D8-9F0A443B7CA9}"/>
    <cellStyle name="Neutral 2 3" xfId="270" xr:uid="{41760E52-7B20-43F8-A322-56536934F575}"/>
    <cellStyle name="Normal" xfId="0" builtinId="0"/>
    <cellStyle name="Normal 2" xfId="1" xr:uid="{503CC478-2143-4D2B-B684-8F705C4CC916}"/>
    <cellStyle name="Normal 2 2" xfId="48" xr:uid="{8F9F22BE-0E24-4019-BF5F-2A67B663C3FC}"/>
    <cellStyle name="Normal 2 2 2" xfId="273" xr:uid="{B8900EE8-8423-4227-ACBD-5867AE072A7C}"/>
    <cellStyle name="Normal 2 2 3" xfId="274" xr:uid="{A0973B00-8D24-4C20-89D0-56AA39594F37}"/>
    <cellStyle name="Normal 2 2 4" xfId="339" xr:uid="{3FE320F5-782F-472B-ABCD-4824A44F85ED}"/>
    <cellStyle name="Normal 2 2 5" xfId="272" xr:uid="{B572A384-50E8-408D-BBCB-329E6B68D496}"/>
    <cellStyle name="Normal 2 3" xfId="50" xr:uid="{AC5ECF32-D19E-4363-86E1-AC5B3D36D0FE}"/>
    <cellStyle name="Normal 2 3 2" xfId="341" xr:uid="{EAF950F8-B4DE-4165-A586-DB2C2DEA4279}"/>
    <cellStyle name="Normal 2 3 3" xfId="275" xr:uid="{AB0041FA-EA9C-4D07-B12F-8172AE8E061A}"/>
    <cellStyle name="Normal 2 4" xfId="276" xr:uid="{3D28B1E8-5E19-45F7-8E16-DE37E5BBFD45}"/>
    <cellStyle name="Normal 2 5" xfId="292" xr:uid="{9CF27320-F0B2-4A22-A031-5EB3DED6DAA6}"/>
    <cellStyle name="Normal 2 6" xfId="271" xr:uid="{25B44D0F-4D88-4826-8B7A-F6242C723F71}"/>
    <cellStyle name="Normal 3" xfId="2" xr:uid="{E34C9B98-2249-4994-9B36-0F5496B9EF50}"/>
    <cellStyle name="Normal 3 2" xfId="52" xr:uid="{89F9540C-C051-4261-8138-AEE16FD4CF96}"/>
    <cellStyle name="Normal 3 2 2" xfId="343" xr:uid="{A838DB2B-A8F2-4448-BDB9-F6C6FF5D93CB}"/>
    <cellStyle name="Normal 3 2 3" xfId="278" xr:uid="{A006C383-D755-40C5-AB4F-FA17B138F8CE}"/>
    <cellStyle name="Normal 3 3" xfId="293" xr:uid="{3EB83414-8BAC-4297-8340-CF78E5896468}"/>
    <cellStyle name="Normal 3 4" xfId="277" xr:uid="{91338E54-BCAC-4A8F-9C89-B2C5051FF39E}"/>
    <cellStyle name="Normal 4" xfId="4" xr:uid="{B15C3885-A4B3-476D-B300-32E2CAB8A7F9}"/>
    <cellStyle name="Normal 4 2" xfId="49" xr:uid="{7BB0BDA3-4FA5-4410-93F7-96C217A04481}"/>
    <cellStyle name="Normal 4 2 2" xfId="340" xr:uid="{3C1F770F-801D-4E96-B525-64FAAAB219EB}"/>
    <cellStyle name="Normal 4 2 3" xfId="358" xr:uid="{91784B1F-391F-40C1-ABB3-6BF7EABD1626}"/>
    <cellStyle name="Normal 4 2 4" xfId="280" xr:uid="{8FDB3725-8056-47D2-A394-E2608C90DB93}"/>
    <cellStyle name="Normal 4 3" xfId="295" xr:uid="{3A47DCE8-687E-40EC-B2D1-6E360CDFCB72}"/>
    <cellStyle name="Normal 4 4" xfId="279" xr:uid="{ADDE5A98-23BE-47E5-9860-A72FEF319287}"/>
    <cellStyle name="Normal 4 5" xfId="3381" xr:uid="{DB1C53BB-1A6F-4AED-B098-62847D4CC612}"/>
    <cellStyle name="Normal 5" xfId="281" xr:uid="{AD811782-1DB4-4A9D-978B-C245E8D25AC2}"/>
    <cellStyle name="Normal 6" xfId="84" xr:uid="{94BCAB3B-341C-417C-BD0D-9F670D71071B}"/>
    <cellStyle name="Normal 6 2" xfId="350" xr:uid="{A07A8BDC-9C1E-48FD-8532-FD65389C5658}"/>
    <cellStyle name="Normal 6 3" xfId="391" xr:uid="{CB75979E-386B-42D7-BCBC-DE274CF7C823}"/>
    <cellStyle name="Normal 6 4" xfId="282" xr:uid="{31F17473-7559-4434-A7D0-126C43EE8D03}"/>
    <cellStyle name="Normal 7" xfId="125" xr:uid="{C8EAED9C-DF4C-46CF-AB46-D330F079951A}"/>
    <cellStyle name="Normal 8" xfId="351" xr:uid="{C5156D9A-7B74-4F86-A2D3-6921A2AC636C}"/>
    <cellStyle name="Normal 9" xfId="223" xr:uid="{B16A539C-CA7A-4FBA-9F55-8BECE7E939E6}"/>
    <cellStyle name="Note 2" xfId="42" xr:uid="{73CFFE40-2284-4F83-9F12-3211FCC2F7C8}"/>
    <cellStyle name="Note 2 10" xfId="134" xr:uid="{EFA1C8AA-B39B-4847-BA78-4C32AFAEE20C}"/>
    <cellStyle name="Note 2 10 2" xfId="3454" xr:uid="{5FFB4AA7-1155-411E-942E-7E3CF7F5F9D9}"/>
    <cellStyle name="Note 2 11" xfId="202" xr:uid="{22F2ADE9-BF4B-41D6-94F9-3BC482099C7D}"/>
    <cellStyle name="Note 2 11 2" xfId="3511" xr:uid="{14852C89-396C-4E82-B1C1-F84C2A951DAB}"/>
    <cellStyle name="Note 2 12" xfId="214" xr:uid="{6B953EA6-6388-487E-B9E7-28D939767204}"/>
    <cellStyle name="Note 2 12 2" xfId="3521" xr:uid="{B3F78E57-24EF-4370-B4F4-016361449B8A}"/>
    <cellStyle name="Note 2 13" xfId="283" xr:uid="{1E7F52E0-0F2E-493F-B94B-1F04484A718C}"/>
    <cellStyle name="Note 2 14" xfId="3384" xr:uid="{20F1B025-931A-4990-B44E-DD8EA4B74BAD}"/>
    <cellStyle name="Note 2 2" xfId="81" xr:uid="{547541B8-C151-4F55-AE91-AB8C7A94A1C1}"/>
    <cellStyle name="Note 2 2 10" xfId="220" xr:uid="{DD1D44EF-02FC-437F-8832-D640146E8DED}"/>
    <cellStyle name="Note 2 2 10 2" xfId="3526" xr:uid="{80A12AB3-ED8A-491B-9844-1CF5E9953548}"/>
    <cellStyle name="Note 2 2 11" xfId="284" xr:uid="{EA589531-B217-40F2-B830-E14CB1412288}"/>
    <cellStyle name="Note 2 2 12" xfId="3412" xr:uid="{FA3097AE-7F24-4586-A333-11B29109360A}"/>
    <cellStyle name="Note 2 2 2" xfId="54" xr:uid="{6EB0077F-7B7E-409E-B468-9D803BC1D30F}"/>
    <cellStyle name="Note 2 2 2 10" xfId="3388" xr:uid="{5521DAEE-73CF-4D6C-9177-829156146E89}"/>
    <cellStyle name="Note 2 2 2 2" xfId="139" xr:uid="{4ECC69D0-3596-4122-A7C5-8ED1660D2498}"/>
    <cellStyle name="Note 2 2 2 2 2" xfId="362" xr:uid="{174BC11A-3D46-420F-AF82-5BE936006F1E}"/>
    <cellStyle name="Note 2 2 2 2 2 2" xfId="678" xr:uid="{30DE6A82-771B-4E7B-A21F-3B5B7BB2A72F}"/>
    <cellStyle name="Note 2 2 2 2 2 2 2" xfId="3841" xr:uid="{47F9BCB2-4265-46D7-9A39-ECD0F448B1BB}"/>
    <cellStyle name="Note 2 2 2 2 2 3" xfId="1277" xr:uid="{C420C234-3D8F-4DC3-A360-8CA03264476F}"/>
    <cellStyle name="Note 2 2 2 2 2 3 2" xfId="4429" xr:uid="{69FF64ED-A706-4885-B9B5-6072124E8A82}"/>
    <cellStyle name="Note 2 2 2 2 2 4" xfId="1811" xr:uid="{B386F6FC-800F-402E-8CD0-A981CFFF5BC9}"/>
    <cellStyle name="Note 2 2 2 2 2 4 2" xfId="4963" xr:uid="{E3CE1B9F-5002-4DFC-B368-A16056399D85}"/>
    <cellStyle name="Note 2 2 2 2 2 5" xfId="2286" xr:uid="{147E67A5-94B6-4BED-B848-A94E4EFD5416}"/>
    <cellStyle name="Note 2 2 2 2 2 5 2" xfId="5438" xr:uid="{188CE7EF-4C1F-4971-B75D-FEEA6E31F38F}"/>
    <cellStyle name="Note 2 2 2 2 2 6" xfId="2560" xr:uid="{A872AA50-AF1B-4AD5-A8C4-3D351DAC067B}"/>
    <cellStyle name="Note 2 2 2 2 2 6 2" xfId="5712" xr:uid="{1573F662-2A8D-4BD7-8B9F-F0CA4043D007}"/>
    <cellStyle name="Note 2 2 2 2 2 7" xfId="3041" xr:uid="{D81045BA-1F7E-4A9D-AACF-77F0ADFBFCE8}"/>
    <cellStyle name="Note 2 2 2 2 2 7 2" xfId="6193" xr:uid="{D510111A-E8DF-43B5-9D9C-7754F2CDF84B}"/>
    <cellStyle name="Note 2 2 2 2 2 8" xfId="3545" xr:uid="{85972EC8-990D-42EB-BF56-85D0BD46E6B7}"/>
    <cellStyle name="Note 2 2 2 2 3" xfId="795" xr:uid="{07EA8724-B69E-4E81-BC09-174207E4FA5C}"/>
    <cellStyle name="Note 2 2 2 2 3 2" xfId="1394" xr:uid="{8003A925-8E49-4D2D-A95E-3FC3FED9E511}"/>
    <cellStyle name="Note 2 2 2 2 3 2 2" xfId="4546" xr:uid="{EBE5C397-3FC1-4023-9C70-FD60031FD47B}"/>
    <cellStyle name="Note 2 2 2 2 3 3" xfId="1928" xr:uid="{163DFB73-3B6F-45E5-A596-CEE56AF02FD6}"/>
    <cellStyle name="Note 2 2 2 2 3 3 2" xfId="5080" xr:uid="{EF6EA6F0-D6FB-4EBF-B8F5-4C0679305D5B}"/>
    <cellStyle name="Note 2 2 2 2 3 4" xfId="2403" xr:uid="{0439BD78-F98B-4E6B-93BD-95989210C475}"/>
    <cellStyle name="Note 2 2 2 2 3 4 2" xfId="5555" xr:uid="{EFB22C99-8C1D-4335-9998-8A972647F667}"/>
    <cellStyle name="Note 2 2 2 2 3 5" xfId="1048" xr:uid="{BDE1E75C-4859-4B21-9AD8-7D90DAEED2DE}"/>
    <cellStyle name="Note 2 2 2 2 3 5 2" xfId="4211" xr:uid="{484ED08D-2E7F-478C-8482-B962E082CC17}"/>
    <cellStyle name="Note 2 2 2 2 3 6" xfId="3158" xr:uid="{B8088F5A-E27C-42C5-8684-A438C44C9508}"/>
    <cellStyle name="Note 2 2 2 2 3 6 2" xfId="6310" xr:uid="{194EB655-EC8F-46F1-B3AD-1260AD9D98A0}"/>
    <cellStyle name="Note 2 2 2 2 3 7" xfId="3958" xr:uid="{8252A3B9-DE27-4754-8372-1AC6B7ABCD19}"/>
    <cellStyle name="Note 2 2 2 2 4" xfId="914" xr:uid="{C470F529-B1C8-4CED-A8E6-6897D45DFA87}"/>
    <cellStyle name="Note 2 2 2 2 4 2" xfId="1513" xr:uid="{89092229-253E-479D-A6C5-AC6ADB4EC334}"/>
    <cellStyle name="Note 2 2 2 2 4 2 2" xfId="4665" xr:uid="{E0DBEFF5-9434-4AAD-8921-BFF29AC0FB91}"/>
    <cellStyle name="Note 2 2 2 2 4 3" xfId="2047" xr:uid="{111C1861-4BD3-4A3C-B7DC-17C53ABC613A}"/>
    <cellStyle name="Note 2 2 2 2 4 3 2" xfId="5199" xr:uid="{19728BD9-6EB9-4A5C-A60C-FB802C201C10}"/>
    <cellStyle name="Note 2 2 2 2 4 4" xfId="2696" xr:uid="{6530CAD4-FDB5-49F7-95C2-12887BFABB9E}"/>
    <cellStyle name="Note 2 2 2 2 4 4 2" xfId="5848" xr:uid="{2C8EF87A-EF5E-45FB-991B-3F879FC3DB20}"/>
    <cellStyle name="Note 2 2 2 2 4 5" xfId="2864" xr:uid="{21047538-A107-4A89-BFCF-DFD010CD0D94}"/>
    <cellStyle name="Note 2 2 2 2 4 5 2" xfId="6016" xr:uid="{027DBE65-CC1A-42D6-B299-7CD88B788AA7}"/>
    <cellStyle name="Note 2 2 2 2 4 6" xfId="3277" xr:uid="{FB902263-1CD4-4749-9148-A25E6DBD413C}"/>
    <cellStyle name="Note 2 2 2 2 4 7" xfId="4077" xr:uid="{73D87539-444F-432C-99DF-37A36305FB6B}"/>
    <cellStyle name="Note 2 2 2 2 5" xfId="493" xr:uid="{6C4C99DF-BFC5-4F08-BE29-9F1FF21C53D2}"/>
    <cellStyle name="Note 2 2 2 2 5 2" xfId="3664" xr:uid="{BD571003-8070-425A-B240-4EFF85CE60AF}"/>
    <cellStyle name="Note 2 2 2 2 6" xfId="1091" xr:uid="{47AC0B56-5B1F-41E3-B4CA-082B7202FE9B}"/>
    <cellStyle name="Note 2 2 2 2 6 2" xfId="4251" xr:uid="{97A91B8D-38DE-41FD-BB96-349CF07EA3D1}"/>
    <cellStyle name="Note 2 2 2 2 7" xfId="1629" xr:uid="{7C7A166A-1513-4640-AAA8-D1074BD0CAFE}"/>
    <cellStyle name="Note 2 2 2 2 7 2" xfId="4781" xr:uid="{BF5DA03C-A62E-4E49-883E-0E9B789D968E}"/>
    <cellStyle name="Note 2 2 2 2 8" xfId="3458" xr:uid="{D365B64C-30EC-4DB3-989E-36B7A3C9D69A}"/>
    <cellStyle name="Note 2 2 2 3" xfId="424" xr:uid="{0EFA47A6-EAC0-4993-8D42-7AFCA017FC40}"/>
    <cellStyle name="Note 2 2 2 3 2" xfId="626" xr:uid="{2902D53D-1600-4D98-84D0-63314622C1CD}"/>
    <cellStyle name="Note 2 2 2 3 2 2" xfId="1225" xr:uid="{071BC713-065A-4B25-A766-597C106D8830}"/>
    <cellStyle name="Note 2 2 2 3 2 2 2" xfId="4377" xr:uid="{4DB4D175-CF0B-429D-AE4B-0FF544D3F134}"/>
    <cellStyle name="Note 2 2 2 3 2 3" xfId="1759" xr:uid="{12294B85-D810-4129-8AEF-E4EF7330912C}"/>
    <cellStyle name="Note 2 2 2 3 2 3 2" xfId="4911" xr:uid="{0BD2D4EC-7422-4826-B104-C252A1FFFC3C}"/>
    <cellStyle name="Note 2 2 2 3 2 4" xfId="2234" xr:uid="{6F2677F5-EA1C-4626-9707-EE31AD10FF3B}"/>
    <cellStyle name="Note 2 2 2 3 2 4 2" xfId="5386" xr:uid="{D69CACE7-F653-463B-9FE8-DD8B623E2D82}"/>
    <cellStyle name="Note 2 2 2 3 2 5" xfId="2649" xr:uid="{E368C284-B816-47D2-90F8-A55F8187C6E2}"/>
    <cellStyle name="Note 2 2 2 3 2 5 2" xfId="5801" xr:uid="{CC0DA4CD-580B-415D-9218-5A0DDC6F85F7}"/>
    <cellStyle name="Note 2 2 2 3 2 6" xfId="2989" xr:uid="{997F7401-84FE-4D9A-B315-9DAA53A9A6EA}"/>
    <cellStyle name="Note 2 2 2 3 2 6 2" xfId="6141" xr:uid="{DF0B66CE-3D6E-480E-82C4-28071CAC0676}"/>
    <cellStyle name="Note 2 2 2 3 2 7" xfId="3789" xr:uid="{9DED839C-C8F4-460E-8A8B-DA180E907338}"/>
    <cellStyle name="Note 2 2 2 3 3" xfId="849" xr:uid="{B7264359-5C34-495A-B393-AB958F738839}"/>
    <cellStyle name="Note 2 2 2 3 3 2" xfId="1448" xr:uid="{D6F40AD8-D5EE-44DC-A881-9F9E93DDF312}"/>
    <cellStyle name="Note 2 2 2 3 3 2 2" xfId="4600" xr:uid="{E470AD46-7B8B-4C45-A7EA-287B3F205A99}"/>
    <cellStyle name="Note 2 2 2 3 3 3" xfId="1982" xr:uid="{A968DA07-A34A-49EC-9BD4-E1BE28C7B5BC}"/>
    <cellStyle name="Note 2 2 2 3 3 3 2" xfId="5134" xr:uid="{4EFAB048-5990-4A65-A7E7-7DF68E8FF751}"/>
    <cellStyle name="Note 2 2 2 3 3 4" xfId="2457" xr:uid="{3058E0A6-9D66-4C40-9175-3D300CAE0F57}"/>
    <cellStyle name="Note 2 2 2 3 3 4 2" xfId="5609" xr:uid="{0663A396-E7C1-40CF-9EDA-C5B6E38CBAAE}"/>
    <cellStyle name="Note 2 2 2 3 3 5" xfId="2799" xr:uid="{16A960BF-4AE5-49FE-8CD2-FD872CD8CA2C}"/>
    <cellStyle name="Note 2 2 2 3 3 5 2" xfId="5951" xr:uid="{D2C2B573-E1EA-4325-B132-0DF74F73E7BE}"/>
    <cellStyle name="Note 2 2 2 3 3 6" xfId="3212" xr:uid="{6CFDCA05-C710-46C7-AD48-29BB29C1E60F}"/>
    <cellStyle name="Note 2 2 2 3 3 6 2" xfId="6364" xr:uid="{D937CB81-3AEF-438E-B1F8-13323251F815}"/>
    <cellStyle name="Note 2 2 2 3 3 7" xfId="4012" xr:uid="{8DE62198-4B37-4B94-952D-21AF15295359}"/>
    <cellStyle name="Note 2 2 2 3 4" xfId="968" xr:uid="{ADE84727-9569-4BF2-8909-ABD2A6C9DF7B}"/>
    <cellStyle name="Note 2 2 2 3 4 2" xfId="1567" xr:uid="{185E17BD-3CDC-4D28-AFCF-7E2158A33180}"/>
    <cellStyle name="Note 2 2 2 3 4 2 2" xfId="4719" xr:uid="{33CA76D3-26AE-44EF-9754-C245131EEA42}"/>
    <cellStyle name="Note 2 2 2 3 4 3" xfId="2101" xr:uid="{25486949-2E27-41C7-B8BB-A80018F9A33F}"/>
    <cellStyle name="Note 2 2 2 3 4 3 2" xfId="5253" xr:uid="{07ADFD43-4D59-48F5-BE2F-BA20AADC837D}"/>
    <cellStyle name="Note 2 2 2 3 4 4" xfId="2750" xr:uid="{A959E29D-0102-44D0-8069-E7BFE2D33A12}"/>
    <cellStyle name="Note 2 2 2 3 4 4 2" xfId="5902" xr:uid="{43562FAB-1AB5-4415-8A8C-CE979D68430B}"/>
    <cellStyle name="Note 2 2 2 3 4 5" xfId="2918" xr:uid="{E3231EF0-1A21-4868-997B-491EDE02353E}"/>
    <cellStyle name="Note 2 2 2 3 4 5 2" xfId="6070" xr:uid="{3350C502-C3E5-4DC3-8666-E675A973B545}"/>
    <cellStyle name="Note 2 2 2 3 4 6" xfId="3331" xr:uid="{465F1C62-B63A-49D3-A8E1-53E22D94B5E2}"/>
    <cellStyle name="Note 2 2 2 3 4 7" xfId="4131" xr:uid="{CB87DE2A-282C-41B2-87AE-1D57516A9C4B}"/>
    <cellStyle name="Note 2 2 2 3 5" xfId="554" xr:uid="{CD591C4B-C8F0-4EBE-A837-D44DB0881211}"/>
    <cellStyle name="Note 2 2 2 3 5 2" xfId="3718" xr:uid="{776A1881-AEF3-4872-AC90-DB3DB098A0B5}"/>
    <cellStyle name="Note 2 2 2 3 6" xfId="1153" xr:uid="{0B1C4F6A-4E57-4B03-919D-7C07A0F773D0}"/>
    <cellStyle name="Note 2 2 2 3 6 2" xfId="4306" xr:uid="{0EA47919-BD51-4B07-A791-F60C943966FD}"/>
    <cellStyle name="Note 2 2 2 3 7" xfId="1688" xr:uid="{D6D0B927-765B-443D-8999-46C1BE6F12D3}"/>
    <cellStyle name="Note 2 2 2 3 7 2" xfId="4840" xr:uid="{C76C0948-D09F-4A3C-BDF5-0935844ED5DF}"/>
    <cellStyle name="Note 2 2 2 3 8" xfId="3599" xr:uid="{59F832BF-72A7-4019-A2D3-F175CBB75A79}"/>
    <cellStyle name="Note 2 2 2 4" xfId="347" xr:uid="{F8918E92-B71A-4E9E-BA53-61485DBDC516}"/>
    <cellStyle name="Note 2 2 2 4 2" xfId="698" xr:uid="{830F913F-EE6C-4ADB-B030-1AABC2168948}"/>
    <cellStyle name="Note 2 2 2 4 2 2" xfId="3861" xr:uid="{08ADE96A-FE1B-4928-B140-F4236CAF3543}"/>
    <cellStyle name="Note 2 2 2 4 3" xfId="1297" xr:uid="{A07F79FA-3A1E-440F-8F8E-E7422381900A}"/>
    <cellStyle name="Note 2 2 2 4 3 2" xfId="4449" xr:uid="{3F12B6B2-D9B5-44C6-95F3-0351733EAA6D}"/>
    <cellStyle name="Note 2 2 2 4 4" xfId="1831" xr:uid="{72211F37-1F62-429E-99AE-17D3830C529F}"/>
    <cellStyle name="Note 2 2 2 4 4 2" xfId="4983" xr:uid="{BFDCEAFC-9DFC-4C1D-BA58-9DC4736D6066}"/>
    <cellStyle name="Note 2 2 2 4 5" xfId="2306" xr:uid="{BBD1A3B2-9549-42BD-AD07-509CCF48AFC5}"/>
    <cellStyle name="Note 2 2 2 4 5 2" xfId="5458" xr:uid="{7B659A2D-DFDF-40DC-9D36-CC5B1EFE4AC3}"/>
    <cellStyle name="Note 2 2 2 4 6" xfId="2580" xr:uid="{EE12B2F8-2F06-4CCB-B802-947E467D8628}"/>
    <cellStyle name="Note 2 2 2 4 6 2" xfId="5732" xr:uid="{07D8F377-0393-4ACA-88FF-914AABBC2B7B}"/>
    <cellStyle name="Note 2 2 2 4 7" xfId="3061" xr:uid="{0DFC423D-ACEE-4D46-B7DC-212669E9B3F0}"/>
    <cellStyle name="Note 2 2 2 4 7 2" xfId="6213" xr:uid="{2D3AB119-9520-40F1-885B-060E34966735}"/>
    <cellStyle name="Note 2 2 2 4 8" xfId="3536" xr:uid="{61B953FB-756D-4F8C-BB7C-3A52D8BE3BE3}"/>
    <cellStyle name="Note 2 2 2 5" xfId="786" xr:uid="{2E682CB5-2F07-4377-B81C-932556EB82D3}"/>
    <cellStyle name="Note 2 2 2 5 2" xfId="1385" xr:uid="{16A48936-7F74-4483-B273-1BCE3CC2E786}"/>
    <cellStyle name="Note 2 2 2 5 2 2" xfId="4537" xr:uid="{18F92C76-CB1F-4458-BA39-064DB24888B8}"/>
    <cellStyle name="Note 2 2 2 5 3" xfId="1919" xr:uid="{7238E448-9AD3-4621-8981-AB43DF9706A6}"/>
    <cellStyle name="Note 2 2 2 5 3 2" xfId="5071" xr:uid="{B43403FA-445D-43AF-92B6-AF227156A9DA}"/>
    <cellStyle name="Note 2 2 2 5 4" xfId="2394" xr:uid="{B65B99C0-5FCD-42DC-BB80-84A856990C39}"/>
    <cellStyle name="Note 2 2 2 5 4 2" xfId="5546" xr:uid="{598A82AF-C64D-42CE-B043-4FB8FA24CB44}"/>
    <cellStyle name="Note 2 2 2 5 5" xfId="1043" xr:uid="{CBE33034-7FDA-425A-BABA-892219AE6294}"/>
    <cellStyle name="Note 2 2 2 5 5 2" xfId="4206" xr:uid="{A7CA0472-10B2-4AB4-B385-4D6637C599EF}"/>
    <cellStyle name="Note 2 2 2 5 6" xfId="3149" xr:uid="{D51D7632-3190-469E-AB85-A034F1143698}"/>
    <cellStyle name="Note 2 2 2 5 6 2" xfId="6301" xr:uid="{D81F74E0-A4E5-4236-A6A0-0A050126E4B5}"/>
    <cellStyle name="Note 2 2 2 5 7" xfId="3949" xr:uid="{9EA69958-AE2D-4FAD-91C0-0E17386B1259}"/>
    <cellStyle name="Note 2 2 2 6" xfId="905" xr:uid="{ADBF31D5-20CB-489A-80AA-6762F095E97D}"/>
    <cellStyle name="Note 2 2 2 6 2" xfId="1504" xr:uid="{F5EAFB11-E39D-4279-B440-5BFED785A9CA}"/>
    <cellStyle name="Note 2 2 2 6 2 2" xfId="4656" xr:uid="{A22E25E4-03B8-43E3-B95A-DC3AF95E2DB2}"/>
    <cellStyle name="Note 2 2 2 6 3" xfId="2038" xr:uid="{8FABD5D5-8807-4E80-833D-3B8B789EE3D9}"/>
    <cellStyle name="Note 2 2 2 6 3 2" xfId="5190" xr:uid="{7FC31E69-F86F-4567-B2D4-FEB45E081E42}"/>
    <cellStyle name="Note 2 2 2 6 4" xfId="2687" xr:uid="{C7F62C02-AF0A-4F3B-877E-F2A08F5B2274}"/>
    <cellStyle name="Note 2 2 2 6 4 2" xfId="5839" xr:uid="{0F942AD6-9BF1-4661-A726-10C5724E9EA2}"/>
    <cellStyle name="Note 2 2 2 6 5" xfId="2855" xr:uid="{DDF6D685-9EA3-4FB6-9B60-FB7B5F7020D4}"/>
    <cellStyle name="Note 2 2 2 6 5 2" xfId="6007" xr:uid="{9CB97F04-C6B6-45B2-B3D1-A638B352C8E1}"/>
    <cellStyle name="Note 2 2 2 6 6" xfId="3268" xr:uid="{7D29C776-25E3-499A-964F-224A8ACCC8FD}"/>
    <cellStyle name="Note 2 2 2 6 7" xfId="4068" xr:uid="{1E3E41D3-37F1-4F85-873D-298FDC828639}"/>
    <cellStyle name="Note 2 2 2 7" xfId="483" xr:uid="{D9C844E3-A3D4-42DF-8BAD-6649E74CEAEF}"/>
    <cellStyle name="Note 2 2 2 7 2" xfId="3655" xr:uid="{4DBF0F43-DA3E-433A-A5BF-EC4EDF3C5E5D}"/>
    <cellStyle name="Note 2 2 2 8" xfId="1080" xr:uid="{FFE206DB-F6CC-4335-AA86-3B2B9E24362A}"/>
    <cellStyle name="Note 2 2 2 8 2" xfId="4241" xr:uid="{49F9BB80-7108-4F4F-A0F8-61B6DC6E6338}"/>
    <cellStyle name="Note 2 2 2 9" xfId="1619" xr:uid="{0D6EA693-66F3-43DB-A4B7-76DD6A97E6FC}"/>
    <cellStyle name="Note 2 2 2 9 2" xfId="4771" xr:uid="{7FC14480-13DE-4A62-B16D-7FA9275474CE}"/>
    <cellStyle name="Note 2 2 3" xfId="94" xr:uid="{AEABB880-D2FD-48AF-8810-504DF59ADA80}"/>
    <cellStyle name="Note 2 2 3 2" xfId="174" xr:uid="{E3C932C7-6962-4EDF-B114-4ECBD1402F01}"/>
    <cellStyle name="Note 2 2 3 2 2" xfId="460" xr:uid="{E281FC90-7345-4D9C-BE6E-462BAE05FBFF}"/>
    <cellStyle name="Note 2 2 3 2 2 2" xfId="608" xr:uid="{E29D938E-6602-46BA-87DA-1EE8811E89E4}"/>
    <cellStyle name="Note 2 2 3 2 2 2 2" xfId="3771" xr:uid="{48639ABD-0531-4653-8AD3-390A7A434E51}"/>
    <cellStyle name="Note 2 2 3 2 2 3" xfId="1207" xr:uid="{EDA32466-56A9-493B-9939-A2852F3A75E4}"/>
    <cellStyle name="Note 2 2 3 2 2 3 2" xfId="4359" xr:uid="{80759BC2-6F22-48AE-9B6F-D0B31368E21F}"/>
    <cellStyle name="Note 2 2 3 2 2 4" xfId="1741" xr:uid="{4C8F1CB6-5B70-451D-BEC1-C93D1252EBCE}"/>
    <cellStyle name="Note 2 2 3 2 2 4 2" xfId="4893" xr:uid="{28664C4C-1D7F-4AD8-AE63-3CF6F0C2B8DB}"/>
    <cellStyle name="Note 2 2 3 2 2 5" xfId="2216" xr:uid="{227A65E8-C8C4-4A69-8083-33B0DC653D81}"/>
    <cellStyle name="Note 2 2 3 2 2 5 2" xfId="5368" xr:uid="{14CE8930-30EC-4F52-9208-DDB9E5C4F930}"/>
    <cellStyle name="Note 2 2 3 2 2 6" xfId="1037" xr:uid="{B1E31C62-61E2-4C46-8C87-FF7BF370164B}"/>
    <cellStyle name="Note 2 2 3 2 2 6 2" xfId="4200" xr:uid="{F22AE4E4-F89C-4B1C-AA7C-A55ED8C98A72}"/>
    <cellStyle name="Note 2 2 3 2 2 7" xfId="2971" xr:uid="{A3405DB8-95C9-44A9-9F8A-177E1FDC7F2D}"/>
    <cellStyle name="Note 2 2 3 2 2 7 2" xfId="6123" xr:uid="{22A7F2DE-812B-4B91-9A42-1B0592BCAAED}"/>
    <cellStyle name="Note 2 2 3 2 2 8" xfId="3635" xr:uid="{06DAED06-EC43-41C2-99A3-4FD6ADCDFEBB}"/>
    <cellStyle name="Note 2 2 3 2 3" xfId="885" xr:uid="{7BA41BB4-CB51-4D76-A325-2E5C23022DAD}"/>
    <cellStyle name="Note 2 2 3 2 3 2" xfId="1484" xr:uid="{5A472FEF-EB92-4555-9452-F4369313C256}"/>
    <cellStyle name="Note 2 2 3 2 3 2 2" xfId="4636" xr:uid="{0FFF9728-1541-4A35-B330-4F6275650598}"/>
    <cellStyle name="Note 2 2 3 2 3 3" xfId="2018" xr:uid="{38A53A1A-5FD4-4554-973B-57B2119CB8E5}"/>
    <cellStyle name="Note 2 2 3 2 3 3 2" xfId="5170" xr:uid="{29834D2A-4756-4CBD-AE7F-1A3AF2EB6255}"/>
    <cellStyle name="Note 2 2 3 2 3 4" xfId="2493" xr:uid="{08992570-4DBA-4B98-B062-720446175836}"/>
    <cellStyle name="Note 2 2 3 2 3 4 2" xfId="5645" xr:uid="{6944DEA4-053C-4E21-9671-4D05DAA0559B}"/>
    <cellStyle name="Note 2 2 3 2 3 5" xfId="2835" xr:uid="{95FDA4F1-3718-4C2E-AA35-E19781EB2ADA}"/>
    <cellStyle name="Note 2 2 3 2 3 5 2" xfId="5987" xr:uid="{D5BF1C6B-4A1C-4C82-92A7-018EA7A54F90}"/>
    <cellStyle name="Note 2 2 3 2 3 6" xfId="3248" xr:uid="{EB0BEE1E-8300-471D-8AB5-8D4D30909D56}"/>
    <cellStyle name="Note 2 2 3 2 3 6 2" xfId="6400" xr:uid="{1842EC82-F109-470E-8C9D-014011682413}"/>
    <cellStyle name="Note 2 2 3 2 3 7" xfId="4048" xr:uid="{A422EA48-0725-42FB-92AD-DAA2ECCEE68B}"/>
    <cellStyle name="Note 2 2 3 2 4" xfId="1004" xr:uid="{AF97BD17-C2B2-4883-A571-EFC9978845C6}"/>
    <cellStyle name="Note 2 2 3 2 4 2" xfId="1603" xr:uid="{A585862D-4F50-4AF4-9622-D9C90AECAE6C}"/>
    <cellStyle name="Note 2 2 3 2 4 2 2" xfId="4755" xr:uid="{74D635BF-F101-4C91-8391-8C44AE0D65BF}"/>
    <cellStyle name="Note 2 2 3 2 4 3" xfId="2137" xr:uid="{9F6F2C03-D8F7-41B1-861E-B23ED354A7BE}"/>
    <cellStyle name="Note 2 2 3 2 4 3 2" xfId="5289" xr:uid="{6B6DAF7D-4781-4A67-AF1D-98FEF256AE90}"/>
    <cellStyle name="Note 2 2 3 2 4 4" xfId="2786" xr:uid="{8680C3F0-BCFC-4559-A0C6-D3D96162DF2D}"/>
    <cellStyle name="Note 2 2 3 2 4 4 2" xfId="5938" xr:uid="{2C1815D8-E6CB-452E-8CBE-F7CFE0D2BB46}"/>
    <cellStyle name="Note 2 2 3 2 4 5" xfId="2954" xr:uid="{742EA324-4D38-4595-8FDF-0507275A868E}"/>
    <cellStyle name="Note 2 2 3 2 4 5 2" xfId="6106" xr:uid="{186D2119-B7D2-43F9-AE49-B491C62C4287}"/>
    <cellStyle name="Note 2 2 3 2 4 6" xfId="3367" xr:uid="{865AEEA6-5A83-455A-8EAF-5F39E86BC927}"/>
    <cellStyle name="Note 2 2 3 2 4 7" xfId="4167" xr:uid="{78CC27EA-AFBF-45C0-9E40-9C7B535B1439}"/>
    <cellStyle name="Note 2 2 3 2 5" xfId="590" xr:uid="{0C23E0AA-20B2-433B-80C9-A15BF0A7F723}"/>
    <cellStyle name="Note 2 2 3 2 5 2" xfId="3754" xr:uid="{0AD636F9-057C-4EEB-96C4-3FEEA6023F24}"/>
    <cellStyle name="Note 2 2 3 2 6" xfId="1189" xr:uid="{FECA9B2E-453D-4A26-AFF8-C07ED0E1FC01}"/>
    <cellStyle name="Note 2 2 3 2 6 2" xfId="4342" xr:uid="{17DBD1AD-8BAF-4B4F-9D36-C25EC169A543}"/>
    <cellStyle name="Note 2 2 3 2 7" xfId="1724" xr:uid="{297BF6DF-DC04-4C84-8EE9-CB9963D39826}"/>
    <cellStyle name="Note 2 2 3 2 7 2" xfId="4876" xr:uid="{C3164FC9-1007-4C16-914C-3F7B8403BE6F}"/>
    <cellStyle name="Note 2 2 3 2 8" xfId="3491" xr:uid="{53B04A13-0725-4B48-87DC-EC5CBF32CD35}"/>
    <cellStyle name="Note 2 2 3 3" xfId="401" xr:uid="{6B225CA9-1DFA-465F-B120-BD7F6123ED15}"/>
    <cellStyle name="Note 2 2 3 3 2" xfId="700" xr:uid="{FD352032-DA5F-439A-B2F2-ED3AB1FEEEC3}"/>
    <cellStyle name="Note 2 2 3 3 2 2" xfId="3863" xr:uid="{62CB6E3B-5CB2-4EFB-B09C-F5093AAEB60F}"/>
    <cellStyle name="Note 2 2 3 3 3" xfId="1299" xr:uid="{363F73B6-0D1F-429F-A9D7-92AA3CE9EFCF}"/>
    <cellStyle name="Note 2 2 3 3 3 2" xfId="4451" xr:uid="{9FE0DAFB-6BE2-461C-ACFD-C970D0AAE6A7}"/>
    <cellStyle name="Note 2 2 3 3 4" xfId="1833" xr:uid="{28DD2559-C165-4B98-AEDC-35BF31CB1256}"/>
    <cellStyle name="Note 2 2 3 3 4 2" xfId="4985" xr:uid="{0875F740-BC8D-46B2-A854-2780B2D28121}"/>
    <cellStyle name="Note 2 2 3 3 5" xfId="2308" xr:uid="{7B789B7A-4BFC-4266-91F7-2FF1C8189B35}"/>
    <cellStyle name="Note 2 2 3 3 5 2" xfId="5460" xr:uid="{B391B314-7A8F-40AE-94F4-D51C5AE6AF50}"/>
    <cellStyle name="Note 2 2 3 3 6" xfId="2524" xr:uid="{76647BFA-22BC-4E62-967F-FF6D663F27A2}"/>
    <cellStyle name="Note 2 2 3 3 6 2" xfId="5676" xr:uid="{28DB7392-F295-458F-9BF1-F37E3B3FF5AA}"/>
    <cellStyle name="Note 2 2 3 3 7" xfId="3063" xr:uid="{113AC024-9D7D-4867-ADC7-5341DE8C48F6}"/>
    <cellStyle name="Note 2 2 3 3 7 2" xfId="6215" xr:uid="{BDA53355-6A9E-421E-AC9E-8A4265253DD6}"/>
    <cellStyle name="Note 2 2 3 3 8" xfId="3581" xr:uid="{7375BDA0-E1C6-40BA-B2B2-7994092D4A22}"/>
    <cellStyle name="Note 2 2 3 4" xfId="831" xr:uid="{616131E9-B804-4C80-A1DC-E2A6DCB59C14}"/>
    <cellStyle name="Note 2 2 3 4 2" xfId="1430" xr:uid="{6577876D-D73D-40AC-BC83-1429F76CBFBB}"/>
    <cellStyle name="Note 2 2 3 4 2 2" xfId="4582" xr:uid="{E60E3A71-FC51-4310-BE7A-F5690CA88AD0}"/>
    <cellStyle name="Note 2 2 3 4 3" xfId="1964" xr:uid="{9529B1F2-5CA3-4FED-9D18-A3A192CFEA9B}"/>
    <cellStyle name="Note 2 2 3 4 3 2" xfId="5116" xr:uid="{184C18FE-FB73-40B7-B43F-6A27ED7E4184}"/>
    <cellStyle name="Note 2 2 3 4 4" xfId="2439" xr:uid="{A4218A9E-3C51-4A1A-ACC2-B21FC6F42106}"/>
    <cellStyle name="Note 2 2 3 4 4 2" xfId="5591" xr:uid="{62FECA90-C938-4084-8E5A-7316AF81A45B}"/>
    <cellStyle name="Note 2 2 3 4 5" xfId="2197" xr:uid="{FFFAB8FD-CDB7-4D22-A6AE-20F07B0C9070}"/>
    <cellStyle name="Note 2 2 3 4 5 2" xfId="5349" xr:uid="{F610271D-D4F0-4856-8D44-2A30220DFD9F}"/>
    <cellStyle name="Note 2 2 3 4 6" xfId="3194" xr:uid="{166EA781-2F3B-498B-B110-967F978E958C}"/>
    <cellStyle name="Note 2 2 3 4 6 2" xfId="6346" xr:uid="{3A006EFF-6B4A-40AD-B5D7-72AC1764D8A5}"/>
    <cellStyle name="Note 2 2 3 4 7" xfId="3994" xr:uid="{06B0E09E-EBA0-410D-9B69-A8E7927C4BB2}"/>
    <cellStyle name="Note 2 2 3 5" xfId="950" xr:uid="{06223F13-0DEC-4E0A-ACF9-E85FC644D4C3}"/>
    <cellStyle name="Note 2 2 3 5 2" xfId="1549" xr:uid="{96CD789F-CAC6-4D2A-AB14-0EFF29A4767A}"/>
    <cellStyle name="Note 2 2 3 5 2 2" xfId="4701" xr:uid="{1A5092F8-4945-4691-90C4-84EFD2CE1833}"/>
    <cellStyle name="Note 2 2 3 5 3" xfId="2083" xr:uid="{1F89BD88-B429-4277-B585-FF5C05B74962}"/>
    <cellStyle name="Note 2 2 3 5 3 2" xfId="5235" xr:uid="{14CA0E21-E14F-4DC9-9A20-7A20864F217F}"/>
    <cellStyle name="Note 2 2 3 5 4" xfId="2732" xr:uid="{FEFD4623-31CE-4B66-94FF-70276CE845A5}"/>
    <cellStyle name="Note 2 2 3 5 4 2" xfId="5884" xr:uid="{6743D028-6696-4C2D-9C2C-2D2B3B8CCDF9}"/>
    <cellStyle name="Note 2 2 3 5 5" xfId="2900" xr:uid="{A18E2913-BB34-4192-A5AF-ACA628C3FE2B}"/>
    <cellStyle name="Note 2 2 3 5 5 2" xfId="6052" xr:uid="{DFF44C6A-9459-4AD7-922D-B6DF85AE93EB}"/>
    <cellStyle name="Note 2 2 3 5 6" xfId="3313" xr:uid="{750C5916-F38B-4918-A598-CF381F16154A}"/>
    <cellStyle name="Note 2 2 3 5 7" xfId="4113" xr:uid="{5EBFEE54-B33D-4417-86A8-001395238E7E}"/>
    <cellStyle name="Note 2 2 3 6" xfId="531" xr:uid="{2CD07519-54E8-4C44-A59C-2B6AEAB5022E}"/>
    <cellStyle name="Note 2 2 3 6 2" xfId="3700" xr:uid="{C155260D-6753-4517-9F39-15E559E0C022}"/>
    <cellStyle name="Note 2 2 3 7" xfId="1129" xr:uid="{20405FDD-C0EC-42E1-9C5F-5B9657534A67}"/>
    <cellStyle name="Note 2 2 3 7 2" xfId="4287" xr:uid="{9E11D258-46AA-449C-9D2D-B6B9D8EA8F16}"/>
    <cellStyle name="Note 2 2 3 8" xfId="1666" xr:uid="{42DD76B6-CEC0-4A95-B4AA-3AA9323144D9}"/>
    <cellStyle name="Note 2 2 3 8 2" xfId="4818" xr:uid="{DCB125EF-C9B8-45BE-BF65-584D86D426C3}"/>
    <cellStyle name="Note 2 2 3 9" xfId="3424" xr:uid="{DA129B8E-A6D1-49E7-9569-44BA95F2D553}"/>
    <cellStyle name="Note 2 2 4" xfId="99" xr:uid="{B89270E4-AF6E-4D59-9BCD-A6C8377C373C}"/>
    <cellStyle name="Note 2 2 4 2" xfId="179" xr:uid="{4C013667-7AE4-4759-8602-057FC92964E2}"/>
    <cellStyle name="Note 2 2 4 2 2" xfId="465" xr:uid="{BFE74CDB-A6AC-4B9B-9F08-30BE474BD8EB}"/>
    <cellStyle name="Note 2 2 4 2 2 2" xfId="647" xr:uid="{36564EB2-1148-4EF9-9A75-139E4CD6547A}"/>
    <cellStyle name="Note 2 2 4 2 2 2 2" xfId="3810" xr:uid="{DABEE449-D010-4CEE-A6A0-4E0BD116AC28}"/>
    <cellStyle name="Note 2 2 4 2 2 3" xfId="1246" xr:uid="{D65EC330-FEF5-4F24-A0A4-B99F1A80E0AA}"/>
    <cellStyle name="Note 2 2 4 2 2 3 2" xfId="4398" xr:uid="{D7D0EB38-CD7D-4B8A-8253-51891535C7E3}"/>
    <cellStyle name="Note 2 2 4 2 2 4" xfId="1780" xr:uid="{D5D2B605-C949-4C53-AFA7-288CCB4C1006}"/>
    <cellStyle name="Note 2 2 4 2 2 4 2" xfId="4932" xr:uid="{8D0B165D-4D68-43A8-88D1-5FAA54E1E70A}"/>
    <cellStyle name="Note 2 2 4 2 2 5" xfId="2255" xr:uid="{4F91FA94-71D3-432B-B74B-4B4CEAA763FE}"/>
    <cellStyle name="Note 2 2 4 2 2 5 2" xfId="5407" xr:uid="{BC588EB4-F975-4E5B-95D2-36CF8211F82A}"/>
    <cellStyle name="Note 2 2 4 2 2 6" xfId="2655" xr:uid="{96B7E01C-038B-44C9-819F-18A365B0C689}"/>
    <cellStyle name="Note 2 2 4 2 2 6 2" xfId="5807" xr:uid="{C828000B-8862-4FB8-BE53-C9A5B4F027BA}"/>
    <cellStyle name="Note 2 2 4 2 2 7" xfId="3010" xr:uid="{6FEAC615-7090-4CA4-ABCC-1E694335CCEB}"/>
    <cellStyle name="Note 2 2 4 2 2 7 2" xfId="6162" xr:uid="{D128A6E0-0145-48E5-934F-D32D6524B785}"/>
    <cellStyle name="Note 2 2 4 2 2 8" xfId="3640" xr:uid="{47AFB6DF-36EE-464B-8DB9-69A5FB0AD2AD}"/>
    <cellStyle name="Note 2 2 4 2 3" xfId="890" xr:uid="{956BDBF9-315B-4816-A9AB-9CF0878283B8}"/>
    <cellStyle name="Note 2 2 4 2 3 2" xfId="1489" xr:uid="{DFEF830A-6C9E-4E25-BE19-E2DBE3D5477A}"/>
    <cellStyle name="Note 2 2 4 2 3 2 2" xfId="4641" xr:uid="{5D1BD5A3-7052-4352-89CF-2B51C69319EF}"/>
    <cellStyle name="Note 2 2 4 2 3 3" xfId="2023" xr:uid="{60500954-C2AB-4541-8076-B671B97C061D}"/>
    <cellStyle name="Note 2 2 4 2 3 3 2" xfId="5175" xr:uid="{BF219C45-3267-407A-A5FD-6214A99BE2E6}"/>
    <cellStyle name="Note 2 2 4 2 3 4" xfId="2498" xr:uid="{CF14DAEF-3996-4359-B807-228616D52713}"/>
    <cellStyle name="Note 2 2 4 2 3 4 2" xfId="5650" xr:uid="{87D3DB45-C6C9-418C-91CD-65FAD8AFE08D}"/>
    <cellStyle name="Note 2 2 4 2 3 5" xfId="2840" xr:uid="{26A195E9-67E2-4238-9A9E-C8FE66D99373}"/>
    <cellStyle name="Note 2 2 4 2 3 5 2" xfId="5992" xr:uid="{973B1257-0226-457A-8C18-20D0BDBA3A7F}"/>
    <cellStyle name="Note 2 2 4 2 3 6" xfId="3253" xr:uid="{2A8F64B5-99D4-4AA7-97B1-84963A874661}"/>
    <cellStyle name="Note 2 2 4 2 3 6 2" xfId="6405" xr:uid="{B999CCD9-EA19-4659-904E-9510E50FB4A4}"/>
    <cellStyle name="Note 2 2 4 2 3 7" xfId="4053" xr:uid="{F92571D0-580F-4BD4-B956-607418ABE8ED}"/>
    <cellStyle name="Note 2 2 4 2 4" xfId="1009" xr:uid="{96ED1FAF-4057-4879-AC19-9FBB872B764B}"/>
    <cellStyle name="Note 2 2 4 2 4 2" xfId="1608" xr:uid="{406B441C-CE43-47B7-B830-FA0E8A935B85}"/>
    <cellStyle name="Note 2 2 4 2 4 2 2" xfId="4760" xr:uid="{85A14806-056F-458B-8243-5144AE150D87}"/>
    <cellStyle name="Note 2 2 4 2 4 3" xfId="2142" xr:uid="{E0265DAB-4069-4090-B28F-53F246C5EFFC}"/>
    <cellStyle name="Note 2 2 4 2 4 3 2" xfId="5294" xr:uid="{3390CE9A-3787-43A8-852B-3D3FF34E7531}"/>
    <cellStyle name="Note 2 2 4 2 4 4" xfId="2791" xr:uid="{D09BC3F4-A973-45E0-AA8C-063D117EC1A0}"/>
    <cellStyle name="Note 2 2 4 2 4 4 2" xfId="5943" xr:uid="{83526990-68B4-4E3B-8225-9478BF0A6F7D}"/>
    <cellStyle name="Note 2 2 4 2 4 5" xfId="2959" xr:uid="{423FF330-B33B-49D1-B577-CC52BD1F9452}"/>
    <cellStyle name="Note 2 2 4 2 4 5 2" xfId="6111" xr:uid="{8BF5DA32-7D18-4059-A735-EB88ABE13BB6}"/>
    <cellStyle name="Note 2 2 4 2 4 6" xfId="3372" xr:uid="{1F483839-4563-4C59-B60F-58C7B5E7FD87}"/>
    <cellStyle name="Note 2 2 4 2 4 7" xfId="4172" xr:uid="{51529127-F38B-40BA-B830-0BEF032D3732}"/>
    <cellStyle name="Note 2 2 4 2 5" xfId="595" xr:uid="{24766F14-D635-47D9-8C72-332313308189}"/>
    <cellStyle name="Note 2 2 4 2 5 2" xfId="3759" xr:uid="{E1DC6852-36F6-4BC7-9249-27052DA805C3}"/>
    <cellStyle name="Note 2 2 4 2 6" xfId="1194" xr:uid="{E16ED930-46C7-42D7-B6CD-EB95C7148034}"/>
    <cellStyle name="Note 2 2 4 2 6 2" xfId="4347" xr:uid="{858F5864-9C7E-4060-8278-87224C9D26FC}"/>
    <cellStyle name="Note 2 2 4 2 7" xfId="1729" xr:uid="{230CBE73-FB9E-49A9-8491-97F584D8BC13}"/>
    <cellStyle name="Note 2 2 4 2 7 2" xfId="4881" xr:uid="{55EC476B-B543-47CE-817E-F98FEE8AC4A1}"/>
    <cellStyle name="Note 2 2 4 2 8" xfId="3496" xr:uid="{82415052-E47E-43E2-AE42-38662FAE0F91}"/>
    <cellStyle name="Note 2 2 4 3" xfId="406" xr:uid="{D4D499C8-BD73-4F19-B71C-FAECE8D05C86}"/>
    <cellStyle name="Note 2 2 4 3 2" xfId="716" xr:uid="{9E469EBC-5984-4F8F-94B2-1438274A44D2}"/>
    <cellStyle name="Note 2 2 4 3 2 2" xfId="3879" xr:uid="{0BD5CDE0-F7FC-41AC-9631-7D5BD6F37046}"/>
    <cellStyle name="Note 2 2 4 3 3" xfId="1315" xr:uid="{3C064C5E-F4CB-431E-9CAF-087CAC475F93}"/>
    <cellStyle name="Note 2 2 4 3 3 2" xfId="4467" xr:uid="{AB873444-A1C0-4B46-AC1A-4D789F156256}"/>
    <cellStyle name="Note 2 2 4 3 4" xfId="1849" xr:uid="{4DB5460F-BBDF-4DE9-9854-E77615826C61}"/>
    <cellStyle name="Note 2 2 4 3 4 2" xfId="5001" xr:uid="{EAF4D581-600F-4EDA-82A3-6A8B370F49D9}"/>
    <cellStyle name="Note 2 2 4 3 5" xfId="2324" xr:uid="{A228E4A4-AC6A-49B5-9A11-79603D06F307}"/>
    <cellStyle name="Note 2 2 4 3 5 2" xfId="5476" xr:uid="{3231E9BA-B683-4F66-8AAB-824D46FA95A2}"/>
    <cellStyle name="Note 2 2 4 3 6" xfId="2670" xr:uid="{5E4EDBE3-4618-4E61-BB7A-3AAF38FE6930}"/>
    <cellStyle name="Note 2 2 4 3 6 2" xfId="5822" xr:uid="{D905A3BC-0D00-4E9F-BF68-29B83412C464}"/>
    <cellStyle name="Note 2 2 4 3 7" xfId="3079" xr:uid="{A3C3DB94-F749-4B70-8A74-76B8D3F8F2C8}"/>
    <cellStyle name="Note 2 2 4 3 7 2" xfId="6231" xr:uid="{4B167B35-BC27-41DC-ADB6-F57CC6D63FC7}"/>
    <cellStyle name="Note 2 2 4 3 8" xfId="3586" xr:uid="{3CDCEA7A-85D2-411A-87F6-B581A529FDD6}"/>
    <cellStyle name="Note 2 2 4 4" xfId="836" xr:uid="{0DDC328F-8E14-4B5F-A47E-9F89935A7C18}"/>
    <cellStyle name="Note 2 2 4 4 2" xfId="1435" xr:uid="{601BEE47-58F4-40B4-96C1-4827DE9B96B6}"/>
    <cellStyle name="Note 2 2 4 4 2 2" xfId="4587" xr:uid="{E7E25057-1907-4DDF-B8EB-98642BA9F2D9}"/>
    <cellStyle name="Note 2 2 4 4 3" xfId="1969" xr:uid="{68527D35-DCF5-40D1-829E-0B78BFFD1AC1}"/>
    <cellStyle name="Note 2 2 4 4 3 2" xfId="5121" xr:uid="{77884FDC-D251-4D8C-8347-F93CE99B0885}"/>
    <cellStyle name="Note 2 2 4 4 4" xfId="2444" xr:uid="{53AC9EB6-2538-4E83-BC16-4D8B22C7D8D6}"/>
    <cellStyle name="Note 2 2 4 4 4 2" xfId="5596" xr:uid="{599536E1-BF10-4F79-8FC4-2F2CF49BE171}"/>
    <cellStyle name="Note 2 2 4 4 5" xfId="2530" xr:uid="{F6911991-AC9C-438D-BCDA-28746BB5E002}"/>
    <cellStyle name="Note 2 2 4 4 5 2" xfId="5682" xr:uid="{99BE520E-95B3-445A-A3D8-3F3484B65342}"/>
    <cellStyle name="Note 2 2 4 4 6" xfId="3199" xr:uid="{AECCD235-6ED7-4D2A-9533-7E32DDE72670}"/>
    <cellStyle name="Note 2 2 4 4 6 2" xfId="6351" xr:uid="{B2E9E0F3-E5E8-434C-8360-C1D5643B3CFC}"/>
    <cellStyle name="Note 2 2 4 4 7" xfId="3999" xr:uid="{C745E4E1-AFEF-412E-A089-8DCBCC084FDC}"/>
    <cellStyle name="Note 2 2 4 5" xfId="955" xr:uid="{2D9183E6-1800-4584-8A99-BED56E74A2E0}"/>
    <cellStyle name="Note 2 2 4 5 2" xfId="1554" xr:uid="{D09A7773-5593-4EEB-9247-57B7ADA1E8F9}"/>
    <cellStyle name="Note 2 2 4 5 2 2" xfId="4706" xr:uid="{1B24CEE8-5D11-460A-A9EB-29037973F23C}"/>
    <cellStyle name="Note 2 2 4 5 3" xfId="2088" xr:uid="{FBBA6B82-ECFC-4F15-A301-ED6311DBE744}"/>
    <cellStyle name="Note 2 2 4 5 3 2" xfId="5240" xr:uid="{F14C2F9D-F0AB-4087-87AE-CDC784A30191}"/>
    <cellStyle name="Note 2 2 4 5 4" xfId="2737" xr:uid="{C3D10784-EDD2-4A11-80E8-320C2F7FC86C}"/>
    <cellStyle name="Note 2 2 4 5 4 2" xfId="5889" xr:uid="{874973ED-4FF1-4FBC-9E2C-51876EBD043E}"/>
    <cellStyle name="Note 2 2 4 5 5" xfId="2905" xr:uid="{D455D116-145B-4ED3-8107-0D982AB9767D}"/>
    <cellStyle name="Note 2 2 4 5 5 2" xfId="6057" xr:uid="{0EDA0729-C9AA-4A9C-8859-10D4655E7474}"/>
    <cellStyle name="Note 2 2 4 5 6" xfId="3318" xr:uid="{38522188-72B5-4546-B568-3D53E41E5D0F}"/>
    <cellStyle name="Note 2 2 4 5 7" xfId="4118" xr:uid="{C2D231D2-7484-4C66-BC8A-CC69992EC8FC}"/>
    <cellStyle name="Note 2 2 4 6" xfId="536" xr:uid="{46048B11-B735-45A9-BF6F-851225CD280A}"/>
    <cellStyle name="Note 2 2 4 6 2" xfId="3705" xr:uid="{4C823C9A-9C0B-4CAA-B180-110E389621A1}"/>
    <cellStyle name="Note 2 2 4 7" xfId="1134" xr:uid="{36113CE2-6899-4673-B52C-12AFBD6F6255}"/>
    <cellStyle name="Note 2 2 4 7 2" xfId="4292" xr:uid="{882D003E-5821-4050-897A-C8B0A9DD0249}"/>
    <cellStyle name="Note 2 2 4 8" xfId="1671" xr:uid="{B526F2E0-E5C9-4833-9FFA-9C9A97C5D84C}"/>
    <cellStyle name="Note 2 2 4 8 2" xfId="4823" xr:uid="{D30F281A-558D-4373-A447-D75AD8E4D907}"/>
    <cellStyle name="Note 2 2 4 9" xfId="3429" xr:uid="{FE58761B-6B93-4EAD-A4C5-46788ABC31B6}"/>
    <cellStyle name="Note 2 2 5" xfId="104" xr:uid="{9EA46E0B-E8D7-45D5-8E51-BF85A4D9A4A5}"/>
    <cellStyle name="Note 2 2 5 2" xfId="184" xr:uid="{AAEE078F-A51D-4BD4-984E-649220EAAAE7}"/>
    <cellStyle name="Note 2 2 5 2 2" xfId="470" xr:uid="{AC406759-6EC7-4D98-A397-921D4728030C}"/>
    <cellStyle name="Note 2 2 5 2 2 2" xfId="730" xr:uid="{1B0F0890-53B3-41CA-8F07-B9C87BD22E4E}"/>
    <cellStyle name="Note 2 2 5 2 2 2 2" xfId="3893" xr:uid="{E4B42CE7-D6CB-4B2F-AF81-3570AFA0FF7C}"/>
    <cellStyle name="Note 2 2 5 2 2 3" xfId="1329" xr:uid="{B26D3FAC-81F2-48BB-B124-D6657589C9A3}"/>
    <cellStyle name="Note 2 2 5 2 2 3 2" xfId="4481" xr:uid="{BD66FB6E-A0C8-4857-BA8D-1E76525574CF}"/>
    <cellStyle name="Note 2 2 5 2 2 4" xfId="1863" xr:uid="{47CBB841-A872-4212-AF5E-F30B44494B13}"/>
    <cellStyle name="Note 2 2 5 2 2 4 2" xfId="5015" xr:uid="{B9CA9DE0-C456-49CF-894D-E3F76B6BDEFB}"/>
    <cellStyle name="Note 2 2 5 2 2 5" xfId="2338" xr:uid="{BBFCF690-86CB-4D53-BCA5-30B6115670E4}"/>
    <cellStyle name="Note 2 2 5 2 2 5 2" xfId="5490" xr:uid="{0C2CE00D-7B76-48D6-9EB0-EA541AFA8083}"/>
    <cellStyle name="Note 2 2 5 2 2 6" xfId="2594" xr:uid="{3EE3681E-55B4-4C35-B620-85A6AC5B49DB}"/>
    <cellStyle name="Note 2 2 5 2 2 6 2" xfId="5746" xr:uid="{6B762DAB-A505-4BFB-AEB3-C660733EB980}"/>
    <cellStyle name="Note 2 2 5 2 2 7" xfId="3093" xr:uid="{E1152F4A-735F-41A1-9415-BC19A6554281}"/>
    <cellStyle name="Note 2 2 5 2 2 7 2" xfId="6245" xr:uid="{F83B37D7-6CB1-446B-A115-E90086EF7964}"/>
    <cellStyle name="Note 2 2 5 2 2 8" xfId="3645" xr:uid="{68192678-DB29-44F5-873D-FEC847A1CBD4}"/>
    <cellStyle name="Note 2 2 5 2 3" xfId="895" xr:uid="{8D2A07C1-1E6D-4ECA-88E1-87513FCAA5D1}"/>
    <cellStyle name="Note 2 2 5 2 3 2" xfId="1494" xr:uid="{6AA65450-B953-4A6F-9980-A92F58227C65}"/>
    <cellStyle name="Note 2 2 5 2 3 2 2" xfId="4646" xr:uid="{D2E272C2-B02D-49F8-81BA-CF2A56A3C18D}"/>
    <cellStyle name="Note 2 2 5 2 3 3" xfId="2028" xr:uid="{1E505313-247B-469A-985E-D1C3AF43F07A}"/>
    <cellStyle name="Note 2 2 5 2 3 3 2" xfId="5180" xr:uid="{CC99AB2A-4E63-4932-8266-91E918CD93F4}"/>
    <cellStyle name="Note 2 2 5 2 3 4" xfId="2503" xr:uid="{6C2944CF-EF59-4841-9424-E58F2A8E913E}"/>
    <cellStyle name="Note 2 2 5 2 3 4 2" xfId="5655" xr:uid="{FF7086F8-39C2-4F02-9A40-BAAE61C73DC7}"/>
    <cellStyle name="Note 2 2 5 2 3 5" xfId="2845" xr:uid="{D602D3E0-C418-4921-841B-DFEB5DC68553}"/>
    <cellStyle name="Note 2 2 5 2 3 5 2" xfId="5997" xr:uid="{ED3DE2E3-D038-4F79-8EC9-4B36454CA685}"/>
    <cellStyle name="Note 2 2 5 2 3 6" xfId="3258" xr:uid="{1A070153-712F-4F03-8B6B-90E754AD682C}"/>
    <cellStyle name="Note 2 2 5 2 3 6 2" xfId="6410" xr:uid="{5A5441C4-9288-42BF-A223-71C2E1A95764}"/>
    <cellStyle name="Note 2 2 5 2 3 7" xfId="4058" xr:uid="{CBB3C7D0-284D-44FA-898F-C7245734E8D7}"/>
    <cellStyle name="Note 2 2 5 2 4" xfId="1014" xr:uid="{6D6DCD6D-0DC8-4FE8-8868-F89BD0CEBCA6}"/>
    <cellStyle name="Note 2 2 5 2 4 2" xfId="1613" xr:uid="{2D5161CF-9465-4D3C-AB6F-8E0584299115}"/>
    <cellStyle name="Note 2 2 5 2 4 2 2" xfId="4765" xr:uid="{8D388A5B-065E-4D78-B90B-B538D3FE6156}"/>
    <cellStyle name="Note 2 2 5 2 4 3" xfId="2147" xr:uid="{466A8D69-880C-4C29-B61C-35654025B7AC}"/>
    <cellStyle name="Note 2 2 5 2 4 3 2" xfId="5299" xr:uid="{EFA54455-5B4F-4088-BCA9-387512F7B475}"/>
    <cellStyle name="Note 2 2 5 2 4 4" xfId="2796" xr:uid="{2F3220BF-6838-4424-9129-EC95F006A9A5}"/>
    <cellStyle name="Note 2 2 5 2 4 4 2" xfId="5948" xr:uid="{26F9B185-5EDB-435D-81C7-81F55F6AD47E}"/>
    <cellStyle name="Note 2 2 5 2 4 5" xfId="2964" xr:uid="{2F42981C-D53C-4941-9364-8E14C83E393E}"/>
    <cellStyle name="Note 2 2 5 2 4 5 2" xfId="6116" xr:uid="{DA07ED09-EED8-448A-9355-2B37B67EBBE7}"/>
    <cellStyle name="Note 2 2 5 2 4 6" xfId="3377" xr:uid="{147C848A-616F-4153-9B05-085CFA0DCBED}"/>
    <cellStyle name="Note 2 2 5 2 4 7" xfId="4177" xr:uid="{DF5E3E60-0B20-4C8E-A378-D27907C8A9BE}"/>
    <cellStyle name="Note 2 2 5 2 5" xfId="600" xr:uid="{59012818-C143-401A-BE83-C4F1AEA92FF4}"/>
    <cellStyle name="Note 2 2 5 2 5 2" xfId="3764" xr:uid="{6F029348-AD0F-4E6C-9C35-5FC31FC4FCA3}"/>
    <cellStyle name="Note 2 2 5 2 6" xfId="1199" xr:uid="{2C3FB844-CE59-4134-AFF4-29A5F1550F77}"/>
    <cellStyle name="Note 2 2 5 2 6 2" xfId="4352" xr:uid="{2D090527-B1B4-4D05-B856-D5E3CF477893}"/>
    <cellStyle name="Note 2 2 5 2 7" xfId="1734" xr:uid="{8F16DDB9-7B52-442B-823F-99AC851178B3}"/>
    <cellStyle name="Note 2 2 5 2 7 2" xfId="4886" xr:uid="{2E5FDF27-0962-4150-AB86-5C8EB6720062}"/>
    <cellStyle name="Note 2 2 5 2 8" xfId="3501" xr:uid="{17F338C4-F34C-4876-8575-3B3940BBC164}"/>
    <cellStyle name="Note 2 2 5 3" xfId="411" xr:uid="{65BDB2D6-60F4-49D5-B8A1-5DFC32078EE7}"/>
    <cellStyle name="Note 2 2 5 3 2" xfId="704" xr:uid="{01DE3C37-9D3E-4D07-9AE6-7AB888792087}"/>
    <cellStyle name="Note 2 2 5 3 2 2" xfId="3867" xr:uid="{46C14673-3C44-4AA3-A05A-2514616BABA8}"/>
    <cellStyle name="Note 2 2 5 3 3" xfId="1303" xr:uid="{FE11C3C1-5F2C-4358-AE3A-237608CFA051}"/>
    <cellStyle name="Note 2 2 5 3 3 2" xfId="4455" xr:uid="{BCD1EC95-D95B-40F2-B06E-D31E0B138A71}"/>
    <cellStyle name="Note 2 2 5 3 4" xfId="1837" xr:uid="{E3F2818D-3A8D-4EE4-8DE2-EC9C5F4FC1AB}"/>
    <cellStyle name="Note 2 2 5 3 4 2" xfId="4989" xr:uid="{86234012-C875-489A-9DCE-5709E7C7C887}"/>
    <cellStyle name="Note 2 2 5 3 5" xfId="2312" xr:uid="{814690C0-DA89-4B48-9A3D-69E14D45EA22}"/>
    <cellStyle name="Note 2 2 5 3 5 2" xfId="5464" xr:uid="{B60CC604-719D-4904-8D39-38CED437D672}"/>
    <cellStyle name="Note 2 2 5 3 6" xfId="2165" xr:uid="{03F45025-99B6-4FA3-AFDF-A0AAC05EBE38}"/>
    <cellStyle name="Note 2 2 5 3 6 2" xfId="5317" xr:uid="{4ACD7D5F-3F55-4EB5-90D3-9763B647A8F6}"/>
    <cellStyle name="Note 2 2 5 3 7" xfId="3067" xr:uid="{3681771D-856B-4C2B-9299-C1F6C9EF7D38}"/>
    <cellStyle name="Note 2 2 5 3 7 2" xfId="6219" xr:uid="{5CCEB3FD-DDD3-4488-8BDB-4E159F369B3A}"/>
    <cellStyle name="Note 2 2 5 3 8" xfId="3591" xr:uid="{B68D56FA-35C7-4451-A428-F0922EC47E7F}"/>
    <cellStyle name="Note 2 2 5 4" xfId="841" xr:uid="{69FA4F3F-E00E-4B51-B37D-42BDA2036C1D}"/>
    <cellStyle name="Note 2 2 5 4 2" xfId="1440" xr:uid="{4A519A3A-BB6C-446C-815E-87BFE9DB3678}"/>
    <cellStyle name="Note 2 2 5 4 2 2" xfId="4592" xr:uid="{0D64C19E-6774-43F5-B099-2440CF6FA395}"/>
    <cellStyle name="Note 2 2 5 4 3" xfId="1974" xr:uid="{730AA3A9-24E1-4D6C-B679-47F51B1C4AA0}"/>
    <cellStyle name="Note 2 2 5 4 3 2" xfId="5126" xr:uid="{0F630168-4336-4ED7-A092-D58282839C04}"/>
    <cellStyle name="Note 2 2 5 4 4" xfId="2449" xr:uid="{C0783F89-074B-4B1F-AFB3-460DFD23CF3E}"/>
    <cellStyle name="Note 2 2 5 4 4 2" xfId="5601" xr:uid="{19FC373C-4D00-4D4F-ACE1-268701667E9F}"/>
    <cellStyle name="Note 2 2 5 4 5" xfId="2189" xr:uid="{3C38D557-DECB-42CA-BB7A-FC4455EB9E00}"/>
    <cellStyle name="Note 2 2 5 4 5 2" xfId="5341" xr:uid="{7603CC0D-A60B-4063-A1D8-D2445EC7026A}"/>
    <cellStyle name="Note 2 2 5 4 6" xfId="3204" xr:uid="{6BE256B2-A64E-401F-AE19-33DD663F598F}"/>
    <cellStyle name="Note 2 2 5 4 6 2" xfId="6356" xr:uid="{4444ECC3-F6A9-4BA0-BECB-073ED111A1E2}"/>
    <cellStyle name="Note 2 2 5 4 7" xfId="4004" xr:uid="{CEB878D6-D7C1-4BAE-BD4A-5C54D186C6A1}"/>
    <cellStyle name="Note 2 2 5 5" xfId="960" xr:uid="{EBF75110-0702-4B41-96C4-65B1C61B8C0B}"/>
    <cellStyle name="Note 2 2 5 5 2" xfId="1559" xr:uid="{57FAEE99-AA02-4C45-80C1-BB5197ACF9C9}"/>
    <cellStyle name="Note 2 2 5 5 2 2" xfId="4711" xr:uid="{B12598D1-E6C6-43BF-9EBE-50AC4651B119}"/>
    <cellStyle name="Note 2 2 5 5 3" xfId="2093" xr:uid="{3845192C-7FF5-4396-86D9-EAFFFB6E92F8}"/>
    <cellStyle name="Note 2 2 5 5 3 2" xfId="5245" xr:uid="{4B92B037-B24B-47C7-9780-1AAEF1471EA5}"/>
    <cellStyle name="Note 2 2 5 5 4" xfId="2742" xr:uid="{052CBF65-F984-4CB7-A7B4-7B938039740E}"/>
    <cellStyle name="Note 2 2 5 5 4 2" xfId="5894" xr:uid="{DBB4F05C-FE02-49C0-8AA2-CF0C59249A10}"/>
    <cellStyle name="Note 2 2 5 5 5" xfId="2910" xr:uid="{1F06F135-0661-48AB-9434-ED01AAD30FE7}"/>
    <cellStyle name="Note 2 2 5 5 5 2" xfId="6062" xr:uid="{550C2670-753E-4827-85C7-590D94A97E41}"/>
    <cellStyle name="Note 2 2 5 5 6" xfId="3323" xr:uid="{A8656ABC-CD4F-41BD-B6A1-C339CD051A78}"/>
    <cellStyle name="Note 2 2 5 5 7" xfId="4123" xr:uid="{BCA3B241-6991-4E5A-BF54-03DB589030F7}"/>
    <cellStyle name="Note 2 2 5 6" xfId="541" xr:uid="{8E1C5799-0004-4420-9C5B-DBE5E375D939}"/>
    <cellStyle name="Note 2 2 5 6 2" xfId="3710" xr:uid="{426446DD-1675-4578-A4AC-1CAE6C677F64}"/>
    <cellStyle name="Note 2 2 5 7" xfId="1139" xr:uid="{EC347287-C655-46FA-BD9F-F620BF3B4500}"/>
    <cellStyle name="Note 2 2 5 7 2" xfId="4297" xr:uid="{ABE6B28F-A99B-4CD3-8C38-2EAFFBCA8AB9}"/>
    <cellStyle name="Note 2 2 5 8" xfId="1676" xr:uid="{6AF7A2E0-29F1-4CBB-AE46-D4E9F8A7DD56}"/>
    <cellStyle name="Note 2 2 5 8 2" xfId="4828" xr:uid="{09AC4D6A-CCAB-4979-9A36-CB55231365A1}"/>
    <cellStyle name="Note 2 2 5 9" xfId="3434" xr:uid="{C66EC0E1-3DA7-42B7-A80E-3B08C8B3C51B}"/>
    <cellStyle name="Note 2 2 6" xfId="122" xr:uid="{876ED112-BA99-4217-B975-9A6340B8B352}"/>
    <cellStyle name="Note 2 2 6 2" xfId="197" xr:uid="{39A46477-D5B1-4C89-93AF-D17D0F46648F}"/>
    <cellStyle name="Note 2 2 6 2 2" xfId="709" xr:uid="{7E716D18-AD10-4761-897F-7BA3DF0FC2AA}"/>
    <cellStyle name="Note 2 2 6 2 2 2" xfId="3872" xr:uid="{11CFBF5D-B7CC-47AD-8C48-9DAC03617007}"/>
    <cellStyle name="Note 2 2 6 2 3" xfId="1308" xr:uid="{33D4AF49-4FE2-41B8-A563-8102E90A7B55}"/>
    <cellStyle name="Note 2 2 6 2 3 2" xfId="4460" xr:uid="{57E5208D-B914-44E8-82F0-EED9297866F4}"/>
    <cellStyle name="Note 2 2 6 2 4" xfId="1842" xr:uid="{53CF16A8-F385-4605-840F-C2A3D9660E64}"/>
    <cellStyle name="Note 2 2 6 2 4 2" xfId="4994" xr:uid="{8C3281DB-F9EA-49A8-B00E-613877476713}"/>
    <cellStyle name="Note 2 2 6 2 5" xfId="2317" xr:uid="{A746AD05-FCA1-41B1-B7DB-8D49FC608585}"/>
    <cellStyle name="Note 2 2 6 2 5 2" xfId="5469" xr:uid="{201A1286-A743-42E9-9744-84923826DBF4}"/>
    <cellStyle name="Note 2 2 6 2 6" xfId="2603" xr:uid="{4CF46B06-47C0-45AE-97B9-E407BABCF9CD}"/>
    <cellStyle name="Note 2 2 6 2 6 2" xfId="5755" xr:uid="{70ED45DF-2B6B-4BDB-8622-9CEF8BC2E94E}"/>
    <cellStyle name="Note 2 2 6 2 7" xfId="3072" xr:uid="{C8188A1E-CAB9-42F5-A4BD-785932124BC2}"/>
    <cellStyle name="Note 2 2 6 2 7 2" xfId="6224" xr:uid="{D6A08B9F-B1B5-47C3-9912-9AFD3AA0307D}"/>
    <cellStyle name="Note 2 2 6 2 8" xfId="3507" xr:uid="{20C0C132-32B3-4C87-9EBA-90F9C462C4D7}"/>
    <cellStyle name="Note 2 2 6 3" xfId="388" xr:uid="{EA3CA01B-B37D-4FFF-A7F7-66FC26AD82E3}"/>
    <cellStyle name="Note 2 2 6 3 2" xfId="819" xr:uid="{4D541986-6C03-49D9-AFFF-E59154D880D2}"/>
    <cellStyle name="Note 2 2 6 3 2 2" xfId="3982" xr:uid="{6B64D49E-9B9C-43DB-A659-62973CFFEEA5}"/>
    <cellStyle name="Note 2 2 6 3 3" xfId="1418" xr:uid="{D446B113-D303-4CCC-9CCE-1F93BB013712}"/>
    <cellStyle name="Note 2 2 6 3 3 2" xfId="4570" xr:uid="{2F70EAF5-9329-49EB-9584-4A8A169B1E06}"/>
    <cellStyle name="Note 2 2 6 3 4" xfId="1952" xr:uid="{29D8AA5D-F781-4723-A6A8-89EDFF625A6C}"/>
    <cellStyle name="Note 2 2 6 3 4 2" xfId="5104" xr:uid="{694B0C7A-9071-4A0F-8809-102AB3AF318D}"/>
    <cellStyle name="Note 2 2 6 3 5" xfId="2427" xr:uid="{7EFB7AAE-FE18-41ED-B897-FD97C5A6FE76}"/>
    <cellStyle name="Note 2 2 6 3 5 2" xfId="5579" xr:uid="{F4D338D7-3419-430C-978B-510FCDF40442}"/>
    <cellStyle name="Note 2 2 6 3 6" xfId="2179" xr:uid="{11B79DCA-48F0-45D6-BBB2-4EF1238BD504}"/>
    <cellStyle name="Note 2 2 6 3 6 2" xfId="5331" xr:uid="{157F3B87-4472-4081-A1CB-3CA942B0A146}"/>
    <cellStyle name="Note 2 2 6 3 7" xfId="3182" xr:uid="{10159404-6467-422A-83D4-261E17D56197}"/>
    <cellStyle name="Note 2 2 6 3 7 2" xfId="6334" xr:uid="{E18CA939-C767-440E-9079-DAC8F38028AD}"/>
    <cellStyle name="Note 2 2 6 3 8" xfId="3569" xr:uid="{DE0D051E-62C2-4406-A171-C22076FD2FB7}"/>
    <cellStyle name="Note 2 2 6 4" xfId="938" xr:uid="{3C3A552E-576E-46D5-868B-54CC881589DB}"/>
    <cellStyle name="Note 2 2 6 4 2" xfId="1537" xr:uid="{4099E462-6C65-48B2-BC02-27A59B1F4452}"/>
    <cellStyle name="Note 2 2 6 4 2 2" xfId="4689" xr:uid="{686769D9-AD36-459C-B397-F6E6B450FA88}"/>
    <cellStyle name="Note 2 2 6 4 3" xfId="2071" xr:uid="{CF92B920-8863-4C0E-A048-1AAA8880C585}"/>
    <cellStyle name="Note 2 2 6 4 3 2" xfId="5223" xr:uid="{E36A0FA2-4E7A-4F6B-BABB-0CB85736B995}"/>
    <cellStyle name="Note 2 2 6 4 4" xfId="2720" xr:uid="{A1DF972A-ADE7-4385-92D1-4FA98A601DB4}"/>
    <cellStyle name="Note 2 2 6 4 4 2" xfId="5872" xr:uid="{272EAB12-B624-4DA4-86E6-3FF34C3A1F6D}"/>
    <cellStyle name="Note 2 2 6 4 5" xfId="2888" xr:uid="{F643FADB-135C-4563-BA2E-4F1C1FDD7353}"/>
    <cellStyle name="Note 2 2 6 4 5 2" xfId="6040" xr:uid="{3BA63682-1BD3-4AFA-9A1F-1F4A7DB10A16}"/>
    <cellStyle name="Note 2 2 6 4 6" xfId="3301" xr:uid="{46EF61DA-B4EA-4C74-8B2E-0299ACA6C3A1}"/>
    <cellStyle name="Note 2 2 6 4 7" xfId="4101" xr:uid="{718B78AE-926F-46F7-8D13-4B1F783E3B6E}"/>
    <cellStyle name="Note 2 2 6 5" xfId="519" xr:uid="{D8931F6A-30B4-442C-B0DB-546C79425D24}"/>
    <cellStyle name="Note 2 2 6 5 2" xfId="3688" xr:uid="{C5E2AAAB-B8D9-40E9-8108-778A98102B9D}"/>
    <cellStyle name="Note 2 2 6 6" xfId="1117" xr:uid="{0B7070C5-E11E-42F2-8F2C-8553BDEFE00F}"/>
    <cellStyle name="Note 2 2 6 6 2" xfId="4275" xr:uid="{6550FF09-B98D-454D-87C7-D5222C43C5DA}"/>
    <cellStyle name="Note 2 2 6 7" xfId="1654" xr:uid="{B5D785B4-F62C-4585-A63E-200B321F9727}"/>
    <cellStyle name="Note 2 2 6 7 2" xfId="4806" xr:uid="{68582BC6-6985-403B-AF7E-D3179AF2A144}"/>
    <cellStyle name="Note 2 2 6 8" xfId="3444" xr:uid="{5B1A8513-AD30-4AE7-8920-5CA7330C9D74}"/>
    <cellStyle name="Note 2 2 7" xfId="163" xr:uid="{730FE34B-136A-4372-8B05-51279DC34F75}"/>
    <cellStyle name="Note 2 2 7 2" xfId="448" xr:uid="{A8A424C9-C0B0-498F-B879-1E1454B5DF8D}"/>
    <cellStyle name="Note 2 2 7 2 2" xfId="614" xr:uid="{B2F2EB9B-196E-4159-91D0-BB13A21710C7}"/>
    <cellStyle name="Note 2 2 7 2 2 2" xfId="3777" xr:uid="{2AE064AC-2F4D-462B-9DAF-3D264FFF86CC}"/>
    <cellStyle name="Note 2 2 7 2 3" xfId="1213" xr:uid="{CB367705-6E04-4394-BB2C-AFA9B5A010C8}"/>
    <cellStyle name="Note 2 2 7 2 3 2" xfId="4365" xr:uid="{E725890B-DDA7-4789-A909-582AA1740C85}"/>
    <cellStyle name="Note 2 2 7 2 4" xfId="1747" xr:uid="{EE2E6E95-1DC7-4903-9C8E-46A6379A751A}"/>
    <cellStyle name="Note 2 2 7 2 4 2" xfId="4899" xr:uid="{011C7B3C-1937-4935-A1B0-1AE6D3353B26}"/>
    <cellStyle name="Note 2 2 7 2 5" xfId="2222" xr:uid="{2B04F93F-9D62-4BBA-AA41-E2FFF6848AA2}"/>
    <cellStyle name="Note 2 2 7 2 5 2" xfId="5374" xr:uid="{9C9A32D9-CE87-481A-ADAA-7FABC0FA3DBD}"/>
    <cellStyle name="Note 2 2 7 2 6" xfId="2639" xr:uid="{E419A5B1-E84E-4AED-A520-6A183D5AE1D9}"/>
    <cellStyle name="Note 2 2 7 2 6 2" xfId="5791" xr:uid="{0DAE3AF5-119A-44A2-AE07-0AB0BAAA58E5}"/>
    <cellStyle name="Note 2 2 7 2 7" xfId="2977" xr:uid="{5EF1565F-AA88-4A99-9DB6-8EA52146F21D}"/>
    <cellStyle name="Note 2 2 7 2 7 2" xfId="6129" xr:uid="{63EE673E-C641-4CA4-8B74-E5271F6ADFA1}"/>
    <cellStyle name="Note 2 2 7 2 8" xfId="3623" xr:uid="{DB9F35C6-8482-4192-838A-E29296388F29}"/>
    <cellStyle name="Note 2 2 7 3" xfId="873" xr:uid="{6712D223-D9D7-417F-A27F-AB26CFE73B66}"/>
    <cellStyle name="Note 2 2 7 3 2" xfId="1472" xr:uid="{9509D8BE-5438-4B5C-9EC7-22383D4740A7}"/>
    <cellStyle name="Note 2 2 7 3 2 2" xfId="4624" xr:uid="{6A9DD22D-1FA2-4F99-8FEF-BEC2D0226D6F}"/>
    <cellStyle name="Note 2 2 7 3 3" xfId="2006" xr:uid="{7014BC7B-DB68-472E-B54D-4CB03AC1C141}"/>
    <cellStyle name="Note 2 2 7 3 3 2" xfId="5158" xr:uid="{42331975-F262-4904-B905-5A052A6A8A58}"/>
    <cellStyle name="Note 2 2 7 3 4" xfId="2481" xr:uid="{55AE223A-881C-4E0B-8716-C2B1F8E755F4}"/>
    <cellStyle name="Note 2 2 7 3 4 2" xfId="5633" xr:uid="{B5279154-21E2-408C-A78A-1616E6035830}"/>
    <cellStyle name="Note 2 2 7 3 5" xfId="2823" xr:uid="{B957C063-B33A-4753-877E-F99D18D4B05F}"/>
    <cellStyle name="Note 2 2 7 3 5 2" xfId="5975" xr:uid="{D95DDDD3-169C-4972-BC62-CB30A04F1DD6}"/>
    <cellStyle name="Note 2 2 7 3 6" xfId="3236" xr:uid="{1417C152-5A5D-4617-8C67-70A01C4EF0B2}"/>
    <cellStyle name="Note 2 2 7 3 6 2" xfId="6388" xr:uid="{47C7EBD2-A044-4183-B830-D63F3E4BA554}"/>
    <cellStyle name="Note 2 2 7 3 7" xfId="4036" xr:uid="{A40B777E-C313-4520-9873-68CAC960F85D}"/>
    <cellStyle name="Note 2 2 7 4" xfId="992" xr:uid="{D9487324-86EC-49F0-8BA0-3FA0A394A88A}"/>
    <cellStyle name="Note 2 2 7 4 2" xfId="1591" xr:uid="{58F7D6A3-7338-47A7-B0D8-28E5BCB7EAFF}"/>
    <cellStyle name="Note 2 2 7 4 2 2" xfId="4743" xr:uid="{C454BB68-F894-45F1-BE46-37F04819E722}"/>
    <cellStyle name="Note 2 2 7 4 3" xfId="2125" xr:uid="{1EFAD3A7-7C52-411F-91BA-0EE805EC49CC}"/>
    <cellStyle name="Note 2 2 7 4 3 2" xfId="5277" xr:uid="{52F79E56-7AA3-4705-9DE8-DA2B6101E488}"/>
    <cellStyle name="Note 2 2 7 4 4" xfId="2774" xr:uid="{B61F0A38-892E-4A96-9AF0-D9B6C99F7FDD}"/>
    <cellStyle name="Note 2 2 7 4 4 2" xfId="5926" xr:uid="{674EEAF8-A921-4DBE-9EE3-0E6EA9B50738}"/>
    <cellStyle name="Note 2 2 7 4 5" xfId="2942" xr:uid="{A1C986E3-C8B7-450E-9560-BBDCA84FF6C9}"/>
    <cellStyle name="Note 2 2 7 4 5 2" xfId="6094" xr:uid="{8990CC07-D0DB-4DF1-A5C0-3EA7620EC40A}"/>
    <cellStyle name="Note 2 2 7 4 6" xfId="3355" xr:uid="{F39680DA-18FC-459E-A88F-B9A4E0EFDBE8}"/>
    <cellStyle name="Note 2 2 7 4 7" xfId="4155" xr:uid="{B150CB5D-A8BE-4A92-B621-346FEC59BFD9}"/>
    <cellStyle name="Note 2 2 7 5" xfId="578" xr:uid="{9AD6CBE1-E7DF-41D1-A474-992F05E0FB67}"/>
    <cellStyle name="Note 2 2 7 5 2" xfId="3742" xr:uid="{B218185A-D312-4D22-95D4-44A9CBC000C1}"/>
    <cellStyle name="Note 2 2 7 6" xfId="1177" xr:uid="{30DE781E-109D-498B-92BE-0B9B685874B6}"/>
    <cellStyle name="Note 2 2 7 6 2" xfId="4330" xr:uid="{43342BD9-7DC8-4543-B4D9-6DC9ACC702A9}"/>
    <cellStyle name="Note 2 2 7 7" xfId="1712" xr:uid="{9702A9FB-F63D-42EF-AB25-8601D0560824}"/>
    <cellStyle name="Note 2 2 7 7 2" xfId="4864" xr:uid="{7473B679-D805-41DA-8C0E-CE98D750E7E3}"/>
    <cellStyle name="Note 2 2 7 8" xfId="3480" xr:uid="{F8C344C3-FD18-4E41-BB5C-E57A76C0ADF8}"/>
    <cellStyle name="Note 2 2 8" xfId="129" xr:uid="{891EE674-54A4-4953-B573-2C988D1E5E76}"/>
    <cellStyle name="Note 2 2 8 2" xfId="3449" xr:uid="{98065657-EED8-4979-8433-C3C79C11C646}"/>
    <cellStyle name="Note 2 2 9" xfId="208" xr:uid="{DC1775F0-7782-4211-AC82-B0605BE3677B}"/>
    <cellStyle name="Note 2 2 9 2" xfId="3516" xr:uid="{F105D144-E2A3-4F1F-B422-64F93FEC2B9F}"/>
    <cellStyle name="Note 2 3" xfId="69" xr:uid="{84639C92-14F1-4224-AF76-265D0572D07C}"/>
    <cellStyle name="Note 2 3 10" xfId="3402" xr:uid="{85FC16B2-1F69-47B4-999D-971CF28C2884}"/>
    <cellStyle name="Note 2 3 2" xfId="154" xr:uid="{0A1CCE31-9E02-4B55-89E8-B494F61D432A}"/>
    <cellStyle name="Note 2 3 2 2" xfId="377" xr:uid="{EC6A9E1D-1B9C-46EE-92C6-15708D51F30C}"/>
    <cellStyle name="Note 2 3 2 2 2" xfId="634" xr:uid="{F8CCB6E4-6D60-444B-9996-375FA3F11BFB}"/>
    <cellStyle name="Note 2 3 2 2 2 2" xfId="3797" xr:uid="{03B3CCAC-710D-41F2-A7B8-AC3552057F1E}"/>
    <cellStyle name="Note 2 3 2 2 3" xfId="1233" xr:uid="{C72828DC-FC7A-474F-8669-11FC08C34C93}"/>
    <cellStyle name="Note 2 3 2 2 3 2" xfId="4385" xr:uid="{23E6F78A-0123-4EE5-A032-6F1077DA80D4}"/>
    <cellStyle name="Note 2 3 2 2 4" xfId="1767" xr:uid="{CF1EE7E8-C525-4E5D-90D0-943FAF9E0D2D}"/>
    <cellStyle name="Note 2 3 2 2 4 2" xfId="4919" xr:uid="{B756CFEA-FD22-4951-8088-1FD9E0938347}"/>
    <cellStyle name="Note 2 3 2 2 5" xfId="2242" xr:uid="{6D9B69EA-D2D4-4C8E-B2FA-AB73103E5B07}"/>
    <cellStyle name="Note 2 3 2 2 5 2" xfId="5394" xr:uid="{B7011B84-8E6D-4365-818E-69C7B9FD71CF}"/>
    <cellStyle name="Note 2 3 2 2 6" xfId="2646" xr:uid="{1D256B23-F9E6-4F16-8A56-632362CCABFF}"/>
    <cellStyle name="Note 2 3 2 2 6 2" xfId="5798" xr:uid="{7C6B639B-BB9F-4675-A4E2-D7B69C59C692}"/>
    <cellStyle name="Note 2 3 2 2 7" xfId="2997" xr:uid="{2CDB228D-B3D7-4AD3-9E02-1D9154634FC9}"/>
    <cellStyle name="Note 2 3 2 2 7 2" xfId="6149" xr:uid="{E3971C6C-1BEA-438B-9B09-50D239DC962C}"/>
    <cellStyle name="Note 2 3 2 2 8" xfId="3559" xr:uid="{947DC3B6-825B-4167-A827-830CCDFFBC3B}"/>
    <cellStyle name="Note 2 3 2 3" xfId="809" xr:uid="{74E6217E-F4EC-467A-97B2-17F0E0D79961}"/>
    <cellStyle name="Note 2 3 2 3 2" xfId="1408" xr:uid="{27C13F30-40A8-4D43-88CF-ADD61E4264B9}"/>
    <cellStyle name="Note 2 3 2 3 2 2" xfId="4560" xr:uid="{7BA92068-4B78-48CC-902A-736322149877}"/>
    <cellStyle name="Note 2 3 2 3 3" xfId="1942" xr:uid="{374A90FE-7F9C-40AE-9FC5-ED16EB76B3B9}"/>
    <cellStyle name="Note 2 3 2 3 3 2" xfId="5094" xr:uid="{7D55A851-8E8B-4F01-8D89-705ED10EDC94}"/>
    <cellStyle name="Note 2 3 2 3 4" xfId="2417" xr:uid="{50496A2A-2AA7-468B-9C76-851DE375A159}"/>
    <cellStyle name="Note 2 3 2 3 4 2" xfId="5569" xr:uid="{67793587-4EAA-4D78-9C87-00BA0497B00A}"/>
    <cellStyle name="Note 2 3 2 3 5" xfId="2533" xr:uid="{3FF7DCA1-12B1-4207-BE6B-3E197BCD95C7}"/>
    <cellStyle name="Note 2 3 2 3 5 2" xfId="5685" xr:uid="{1E07B6B9-C41D-4533-9FC4-68B268134076}"/>
    <cellStyle name="Note 2 3 2 3 6" xfId="3172" xr:uid="{03C4A67C-2E8B-4BFA-879F-E29C233327D8}"/>
    <cellStyle name="Note 2 3 2 3 6 2" xfId="6324" xr:uid="{D956F3E2-B531-4F0C-AE68-B6525578C29F}"/>
    <cellStyle name="Note 2 3 2 3 7" xfId="3972" xr:uid="{3AA065AC-6FF0-476E-B57A-3A7DEE5547F8}"/>
    <cellStyle name="Note 2 3 2 4" xfId="928" xr:uid="{C3A00A09-3358-4A43-8A66-F238AE86A53B}"/>
    <cellStyle name="Note 2 3 2 4 2" xfId="1527" xr:uid="{709D950F-F8CD-4CE8-9720-6C4F912A5A0D}"/>
    <cellStyle name="Note 2 3 2 4 2 2" xfId="4679" xr:uid="{0687B607-C996-4DC2-8EF9-DE5D9BC1B2D4}"/>
    <cellStyle name="Note 2 3 2 4 3" xfId="2061" xr:uid="{DC78BD7D-4301-4C31-B53F-7A847DD9970A}"/>
    <cellStyle name="Note 2 3 2 4 3 2" xfId="5213" xr:uid="{32D1D9DE-7792-4628-9557-988F202D8901}"/>
    <cellStyle name="Note 2 3 2 4 4" xfId="2710" xr:uid="{D1B55FF8-F889-4C5C-B3B2-C90F7B9196B3}"/>
    <cellStyle name="Note 2 3 2 4 4 2" xfId="5862" xr:uid="{32A14764-BE4B-495E-A4AC-E0FC6F0056B5}"/>
    <cellStyle name="Note 2 3 2 4 5" xfId="2878" xr:uid="{3B98CBF9-5AF9-4BB8-874F-423E4DB07F56}"/>
    <cellStyle name="Note 2 3 2 4 5 2" xfId="6030" xr:uid="{7803D521-E55F-4835-BDBA-72F5EFA45188}"/>
    <cellStyle name="Note 2 3 2 4 6" xfId="3291" xr:uid="{F58E4147-B383-4BA2-B914-FB27D54AA3AA}"/>
    <cellStyle name="Note 2 3 2 4 7" xfId="4091" xr:uid="{C9D52371-BED2-4C0A-ABD1-39468DF0A00D}"/>
    <cellStyle name="Note 2 3 2 5" xfId="508" xr:uid="{8B2AE901-70E3-4AF4-995F-1F308562797D}"/>
    <cellStyle name="Note 2 3 2 5 2" xfId="3678" xr:uid="{921FB31D-2178-40C0-B91B-B5702B371D05}"/>
    <cellStyle name="Note 2 3 2 6" xfId="1106" xr:uid="{013DE2DE-1C39-4A16-B4E9-0D00270F7F13}"/>
    <cellStyle name="Note 2 3 2 6 2" xfId="4265" xr:uid="{8C013778-A44D-4B5F-A2F6-6ECF07B6E8ED}"/>
    <cellStyle name="Note 2 3 2 7" xfId="1643" xr:uid="{C582DAAC-2D04-42C7-99BA-96D74383D098}"/>
    <cellStyle name="Note 2 3 2 7 2" xfId="4795" xr:uid="{5EA3EAA4-862B-44CC-B170-8D495756ED4C}"/>
    <cellStyle name="Note 2 3 2 8" xfId="3472" xr:uid="{5BB3137C-ADC6-4B9C-920D-E01507B0A7AD}"/>
    <cellStyle name="Note 2 3 3" xfId="438" xr:uid="{0E8362EC-3A49-4C91-990B-4FEE4D824C7A}"/>
    <cellStyle name="Note 2 3 3 2" xfId="619" xr:uid="{A9261BF3-9A52-48A9-8D2A-5D604FB3CF6C}"/>
    <cellStyle name="Note 2 3 3 2 2" xfId="1218" xr:uid="{0AAB765A-72A8-4FE2-84EB-A59C9D9C9590}"/>
    <cellStyle name="Note 2 3 3 2 2 2" xfId="4370" xr:uid="{4DA7D741-D5E5-453C-AC32-C2E2EAFCAAB6}"/>
    <cellStyle name="Note 2 3 3 2 3" xfId="1752" xr:uid="{B69790BA-E63F-4117-8A7E-E6E05979A0F6}"/>
    <cellStyle name="Note 2 3 3 2 3 2" xfId="4904" xr:uid="{95EEE35C-CC00-46AA-B671-7AFEE67C3FEA}"/>
    <cellStyle name="Note 2 3 3 2 4" xfId="2227" xr:uid="{E0764D85-B8A5-4E76-82AB-4F895EA2FE0B}"/>
    <cellStyle name="Note 2 3 3 2 4 2" xfId="5379" xr:uid="{398D1C12-2D49-4B7D-B7DC-397D3D2443E8}"/>
    <cellStyle name="Note 2 3 3 2 5" xfId="2601" xr:uid="{5E2F4A66-D757-4F7B-8DA8-2802281AFD7B}"/>
    <cellStyle name="Note 2 3 3 2 5 2" xfId="5753" xr:uid="{9573742F-D49A-4FA9-B5AD-75EE49F0B8F2}"/>
    <cellStyle name="Note 2 3 3 2 6" xfId="2982" xr:uid="{A889765C-3F1F-44E4-B6C6-13A39890835F}"/>
    <cellStyle name="Note 2 3 3 2 6 2" xfId="6134" xr:uid="{C2CFFEA3-EA2A-4341-87DA-9CFBDD151729}"/>
    <cellStyle name="Note 2 3 3 2 7" xfId="3782" xr:uid="{2346CFFF-BC32-4CA0-940D-073FBEE9B05A}"/>
    <cellStyle name="Note 2 3 3 3" xfId="863" xr:uid="{557E5E4F-AF9E-4A76-9651-A65B7BE1DD7B}"/>
    <cellStyle name="Note 2 3 3 3 2" xfId="1462" xr:uid="{D78CACCE-2270-4960-AE32-94350AF8166B}"/>
    <cellStyle name="Note 2 3 3 3 2 2" xfId="4614" xr:uid="{C9910842-E4A2-4027-AB95-9D89399F149D}"/>
    <cellStyle name="Note 2 3 3 3 3" xfId="1996" xr:uid="{09681DF3-85DF-47A4-826D-36141B5AEFBA}"/>
    <cellStyle name="Note 2 3 3 3 3 2" xfId="5148" xr:uid="{CEDED9AD-1859-442B-A4CB-9CE0A535E9F0}"/>
    <cellStyle name="Note 2 3 3 3 4" xfId="2471" xr:uid="{DEAF259D-3433-43FB-A5EB-2887D2DF84D9}"/>
    <cellStyle name="Note 2 3 3 3 4 2" xfId="5623" xr:uid="{7C029257-EA5B-44FC-B0BB-881C4815071C}"/>
    <cellStyle name="Note 2 3 3 3 5" xfId="2813" xr:uid="{7E32A2F5-7595-43D0-B9E9-15A52817624D}"/>
    <cellStyle name="Note 2 3 3 3 5 2" xfId="5965" xr:uid="{FB2D03F5-DF41-4D10-B897-B93895FBBBD6}"/>
    <cellStyle name="Note 2 3 3 3 6" xfId="3226" xr:uid="{7B6568D6-64FB-4AD6-8646-0AA33565BAB9}"/>
    <cellStyle name="Note 2 3 3 3 6 2" xfId="6378" xr:uid="{310CC1C9-D71D-4ED4-B27C-4C57D338EE73}"/>
    <cellStyle name="Note 2 3 3 3 7" xfId="4026" xr:uid="{4763ECEC-B9B8-44EF-AC90-E36E2EDC6144}"/>
    <cellStyle name="Note 2 3 3 4" xfId="982" xr:uid="{E81D79E7-4CB3-402B-8718-D072A77A61B5}"/>
    <cellStyle name="Note 2 3 3 4 2" xfId="1581" xr:uid="{79FE6B5D-3A1E-4857-878F-A764A24B44B1}"/>
    <cellStyle name="Note 2 3 3 4 2 2" xfId="4733" xr:uid="{529BF9C8-F10F-478F-9A3B-9B039E6288AC}"/>
    <cellStyle name="Note 2 3 3 4 3" xfId="2115" xr:uid="{DB9357C9-53B8-44E0-9C44-FABEFA6B4A1A}"/>
    <cellStyle name="Note 2 3 3 4 3 2" xfId="5267" xr:uid="{CB97261B-6876-443E-87CA-CFDCEE218302}"/>
    <cellStyle name="Note 2 3 3 4 4" xfId="2764" xr:uid="{1FCD5A23-D237-4B08-94F7-0D8BB706B609}"/>
    <cellStyle name="Note 2 3 3 4 4 2" xfId="5916" xr:uid="{11965799-F072-443C-A509-2790ED9DD99F}"/>
    <cellStyle name="Note 2 3 3 4 5" xfId="2932" xr:uid="{C51C71C0-6D31-4220-8617-0DA2BE51F367}"/>
    <cellStyle name="Note 2 3 3 4 5 2" xfId="6084" xr:uid="{7B6FF99C-3488-4F03-8F99-1F8A2A9C60E8}"/>
    <cellStyle name="Note 2 3 3 4 6" xfId="3345" xr:uid="{7D370AAE-6671-461B-B325-80B451333C00}"/>
    <cellStyle name="Note 2 3 3 4 7" xfId="4145" xr:uid="{5AF93000-CDC1-4724-A1AA-66694C16920E}"/>
    <cellStyle name="Note 2 3 3 5" xfId="568" xr:uid="{F9FF81DD-9B82-450F-87B5-2E4ED0A07A4D}"/>
    <cellStyle name="Note 2 3 3 5 2" xfId="3732" xr:uid="{3D3192B9-EEBA-474E-88E4-5C2338BD75BE}"/>
    <cellStyle name="Note 2 3 3 6" xfId="1167" xr:uid="{B603B90F-D91A-4899-9007-50F101E94017}"/>
    <cellStyle name="Note 2 3 3 6 2" xfId="4320" xr:uid="{71A41358-AE8B-43B2-AB9C-C1F82E40C2B1}"/>
    <cellStyle name="Note 2 3 3 7" xfId="1702" xr:uid="{B2712B9D-5706-444C-93E2-FE54EB4F29C5}"/>
    <cellStyle name="Note 2 3 3 7 2" xfId="4854" xr:uid="{63D34350-8528-4378-896E-D0765CFF9058}"/>
    <cellStyle name="Note 2 3 3 8" xfId="3613" xr:uid="{8D3733CB-C2F4-483A-AE5C-501AF8BA90FF}"/>
    <cellStyle name="Note 2 3 4" xfId="333" xr:uid="{A8694FC9-52FE-4F5E-8BC6-E70F997FEF41}"/>
    <cellStyle name="Note 2 3 4 2" xfId="643" xr:uid="{F86D2614-E9D9-486D-B3D0-EC6747B3331E}"/>
    <cellStyle name="Note 2 3 4 2 2" xfId="3806" xr:uid="{AE9AB5DD-5076-4028-BACB-6873D3EDE0C4}"/>
    <cellStyle name="Note 2 3 4 3" xfId="1242" xr:uid="{DD9BFD6E-BA05-4F26-B0BA-3B58A36E6021}"/>
    <cellStyle name="Note 2 3 4 3 2" xfId="4394" xr:uid="{04A9E509-4A96-4648-82F5-8FBBD5C0F42C}"/>
    <cellStyle name="Note 2 3 4 4" xfId="1776" xr:uid="{3774370A-028D-4275-8965-B828722C63C7}"/>
    <cellStyle name="Note 2 3 4 4 2" xfId="4928" xr:uid="{2F5B2B7E-DE28-4460-871E-57F182F80016}"/>
    <cellStyle name="Note 2 3 4 5" xfId="2251" xr:uid="{CA3D778D-D31A-454E-9FA0-E637CFDDFFDE}"/>
    <cellStyle name="Note 2 3 4 5 2" xfId="5403" xr:uid="{D36CADA9-4298-4BAB-8EAE-A1C38257C4A2}"/>
    <cellStyle name="Note 2 3 4 6" xfId="2619" xr:uid="{F37CD7D3-F39A-45ED-966C-8CDFF9DC9D01}"/>
    <cellStyle name="Note 2 3 4 6 2" xfId="5771" xr:uid="{F4013DAD-C047-4FD7-99E2-7C714AA9D422}"/>
    <cellStyle name="Note 2 3 4 7" xfId="3006" xr:uid="{2E3C72A6-CAB8-4991-B000-9022C8C27E8E}"/>
    <cellStyle name="Note 2 3 4 7 2" xfId="6158" xr:uid="{707A16E7-7013-48FA-A0B5-AD1087B8F44D}"/>
    <cellStyle name="Note 2 3 4 8" xfId="3531" xr:uid="{51AC62C0-6086-414A-8267-A5E04A8D75B7}"/>
    <cellStyle name="Note 2 3 5" xfId="781" xr:uid="{AB87A015-1BB3-4068-BCB6-B9548D186E3B}"/>
    <cellStyle name="Note 2 3 5 2" xfId="1380" xr:uid="{1F53D1E3-3824-450F-914B-3CCE29934A66}"/>
    <cellStyle name="Note 2 3 5 2 2" xfId="4532" xr:uid="{5EC7080D-7770-46A2-9C98-872162A6BEAE}"/>
    <cellStyle name="Note 2 3 5 3" xfId="1914" xr:uid="{0F4CFCB6-0376-443B-BF35-6EB5D85D13DB}"/>
    <cellStyle name="Note 2 3 5 3 2" xfId="5066" xr:uid="{6F64900A-14B5-472B-AEC6-FB3F7A94A463}"/>
    <cellStyle name="Note 2 3 5 4" xfId="2389" xr:uid="{52BB6CAD-7A95-4E45-B1C5-B2C7C6713633}"/>
    <cellStyle name="Note 2 3 5 4 2" xfId="5541" xr:uid="{6C5A8408-AF8E-4D17-B555-F5DD35EC0709}"/>
    <cellStyle name="Note 2 3 5 5" xfId="1041" xr:uid="{60D8BA88-99BC-49A7-8BA9-8AAF8C98A576}"/>
    <cellStyle name="Note 2 3 5 5 2" xfId="4204" xr:uid="{C1325BB6-8064-4727-8B00-529A84F2CD2A}"/>
    <cellStyle name="Note 2 3 5 6" xfId="3144" xr:uid="{230F6EA4-8EAC-49CD-89D4-BCF6E324DD24}"/>
    <cellStyle name="Note 2 3 5 6 2" xfId="6296" xr:uid="{493C9E55-9F67-471C-927D-7955D3167B67}"/>
    <cellStyle name="Note 2 3 5 7" xfId="3944" xr:uid="{EB365D2C-B2BB-450C-8068-C128C491655C}"/>
    <cellStyle name="Note 2 3 6" xfId="900" xr:uid="{3D32D57A-3CFB-4B64-9B2A-C3BA362CF9C5}"/>
    <cellStyle name="Note 2 3 6 2" xfId="1499" xr:uid="{BF516EAB-B537-4D41-949C-D52E468CB452}"/>
    <cellStyle name="Note 2 3 6 2 2" xfId="4651" xr:uid="{6F0E6207-783C-472E-9267-256112AD5B39}"/>
    <cellStyle name="Note 2 3 6 3" xfId="2033" xr:uid="{E3710B29-8AB2-499D-90D5-7E9443DAD244}"/>
    <cellStyle name="Note 2 3 6 3 2" xfId="5185" xr:uid="{CA44A13B-1DC9-4148-A0D8-36D70D61DB4E}"/>
    <cellStyle name="Note 2 3 6 4" xfId="2682" xr:uid="{5724ADA3-70DE-43BB-815E-B99B614D8969}"/>
    <cellStyle name="Note 2 3 6 4 2" xfId="5834" xr:uid="{BB33CADB-C083-44D6-92F1-93F43704E50F}"/>
    <cellStyle name="Note 2 3 6 5" xfId="2850" xr:uid="{DC7FAAE7-8997-4D1E-BA1B-BC4CB0F088D9}"/>
    <cellStyle name="Note 2 3 6 5 2" xfId="6002" xr:uid="{3B5B20B8-7B93-4AAF-AADA-3588A39059B2}"/>
    <cellStyle name="Note 2 3 6 6" xfId="3263" xr:uid="{FC4E10A3-E31F-41A6-AC94-516F853B92D9}"/>
    <cellStyle name="Note 2 3 6 7" xfId="4063" xr:uid="{0BBB1DEB-D27B-4318-A860-CD001D03768A}"/>
    <cellStyle name="Note 2 3 7" xfId="477" xr:uid="{E9018367-1093-46FF-BBCE-544E8ED5F3B9}"/>
    <cellStyle name="Note 2 3 7 2" xfId="3650" xr:uid="{4E18FF07-CFD4-422F-8B5A-3EF53F9DAB20}"/>
    <cellStyle name="Note 2 3 8" xfId="1070" xr:uid="{E63A802D-8104-4FB8-B213-230C971414D4}"/>
    <cellStyle name="Note 2 3 8 2" xfId="4232" xr:uid="{EE16943F-CD8D-4F3C-9AEF-5DD6FA67F73F}"/>
    <cellStyle name="Note 2 3 9" xfId="1022" xr:uid="{40F12458-E217-4A1B-BD47-F1633EFDF2AA}"/>
    <cellStyle name="Note 2 3 9 2" xfId="4185" xr:uid="{73D00BD0-2A32-43C3-B6A8-5478F7F860D2}"/>
    <cellStyle name="Note 2 4" xfId="63" xr:uid="{86496EC2-3C1E-4E54-A18F-822DD92BC8A0}"/>
    <cellStyle name="Note 2 4 2" xfId="148" xr:uid="{B985BF5C-DE0B-499C-A6A0-65EAAC461DE8}"/>
    <cellStyle name="Note 2 4 2 2" xfId="432" xr:uid="{04CE62E1-2B37-4DFA-90AA-F4E4AB83A362}"/>
    <cellStyle name="Note 2 4 2 2 2" xfId="622" xr:uid="{3D3AC952-CFA4-462B-BF3F-0100E4781A47}"/>
    <cellStyle name="Note 2 4 2 2 2 2" xfId="3785" xr:uid="{DED47344-EBC0-4D1E-AC7E-01B370B2DD5A}"/>
    <cellStyle name="Note 2 4 2 2 3" xfId="1221" xr:uid="{CAB66277-F03F-4099-8F6B-5958CA489ED3}"/>
    <cellStyle name="Note 2 4 2 2 3 2" xfId="4373" xr:uid="{4DCF8A2C-A3AC-4CFC-AEC2-E505C47FD100}"/>
    <cellStyle name="Note 2 4 2 2 4" xfId="1755" xr:uid="{5DD50765-0959-47C3-860B-D63053F9E83F}"/>
    <cellStyle name="Note 2 4 2 2 4 2" xfId="4907" xr:uid="{6A742A5A-1B6A-45F5-84F6-4D6E66B855E2}"/>
    <cellStyle name="Note 2 4 2 2 5" xfId="2230" xr:uid="{EC3DA3BB-9815-421B-9651-9F44E7A34E14}"/>
    <cellStyle name="Note 2 4 2 2 5 2" xfId="5382" xr:uid="{2727C3AF-69D5-4CEC-A70A-F1E920C0D08A}"/>
    <cellStyle name="Note 2 4 2 2 6" xfId="2616" xr:uid="{6F14661F-01E5-496D-A256-A8605A26E8E2}"/>
    <cellStyle name="Note 2 4 2 2 6 2" xfId="5768" xr:uid="{6A2C034E-9E1B-43A2-BBCE-5DE0D4E4E70D}"/>
    <cellStyle name="Note 2 4 2 2 7" xfId="2985" xr:uid="{A8602604-23C0-4D14-8A1A-736565E1FD0E}"/>
    <cellStyle name="Note 2 4 2 2 7 2" xfId="6137" xr:uid="{203909B5-3952-4E29-9219-E70F8BDAC092}"/>
    <cellStyle name="Note 2 4 2 2 8" xfId="3607" xr:uid="{78386129-4BCA-4FAB-A325-EBA523185299}"/>
    <cellStyle name="Note 2 4 2 3" xfId="857" xr:uid="{228F4DBB-E601-445A-91F4-7D38B87E2FED}"/>
    <cellStyle name="Note 2 4 2 3 2" xfId="1456" xr:uid="{DE89E618-1E2A-4C60-8454-DC0AD19451EC}"/>
    <cellStyle name="Note 2 4 2 3 2 2" xfId="4608" xr:uid="{0DCA690A-3537-423F-B54F-97CF3A0B5FBB}"/>
    <cellStyle name="Note 2 4 2 3 3" xfId="1990" xr:uid="{02852A72-D4E6-435A-AF7B-7CD6CDC41A7A}"/>
    <cellStyle name="Note 2 4 2 3 3 2" xfId="5142" xr:uid="{583A726C-21FA-4C3D-BF08-DF0F20F8451D}"/>
    <cellStyle name="Note 2 4 2 3 4" xfId="2465" xr:uid="{A1D70200-6DAC-4BC3-B869-E86D4DEA85E6}"/>
    <cellStyle name="Note 2 4 2 3 4 2" xfId="5617" xr:uid="{E10D69B0-FD7D-4091-944A-810EB7C6BA82}"/>
    <cellStyle name="Note 2 4 2 3 5" xfId="2807" xr:uid="{2098B3EF-5D75-482B-B2A8-D45C9097F3CF}"/>
    <cellStyle name="Note 2 4 2 3 5 2" xfId="5959" xr:uid="{1FE99EF4-F2F1-4A5B-A873-6C103DCD64F4}"/>
    <cellStyle name="Note 2 4 2 3 6" xfId="3220" xr:uid="{0556406E-2EBE-4CC0-86E7-518F69AFDAEE}"/>
    <cellStyle name="Note 2 4 2 3 6 2" xfId="6372" xr:uid="{CC9BD274-2A5D-4B45-A043-DDB689FE7573}"/>
    <cellStyle name="Note 2 4 2 3 7" xfId="4020" xr:uid="{80D253AC-C96B-451F-980E-61506405D7A6}"/>
    <cellStyle name="Note 2 4 2 4" xfId="976" xr:uid="{54CE6D03-E094-4BB4-8E21-A5BAD375949E}"/>
    <cellStyle name="Note 2 4 2 4 2" xfId="1575" xr:uid="{0F209EAC-761F-4EF8-B57B-DB9EE10AE56B}"/>
    <cellStyle name="Note 2 4 2 4 2 2" xfId="4727" xr:uid="{93B4DC53-5350-43D9-836B-FB8A3F70AE66}"/>
    <cellStyle name="Note 2 4 2 4 3" xfId="2109" xr:uid="{E4732784-3F3F-4FFA-9F39-FC3332A25994}"/>
    <cellStyle name="Note 2 4 2 4 3 2" xfId="5261" xr:uid="{8DD331D1-3868-4729-861B-34259BCB4F6E}"/>
    <cellStyle name="Note 2 4 2 4 4" xfId="2758" xr:uid="{B34C269F-D402-4472-869C-EF882D10DD2E}"/>
    <cellStyle name="Note 2 4 2 4 4 2" xfId="5910" xr:uid="{F5144074-6604-4838-8467-2B97CE2A5079}"/>
    <cellStyle name="Note 2 4 2 4 5" xfId="2926" xr:uid="{AC46B4F4-C924-4C4E-AE2F-401232E4913D}"/>
    <cellStyle name="Note 2 4 2 4 5 2" xfId="6078" xr:uid="{17310F66-1358-4976-B3B2-77D64846D629}"/>
    <cellStyle name="Note 2 4 2 4 6" xfId="3339" xr:uid="{D2EDFCED-CA0D-41FA-A520-21E8F518B38B}"/>
    <cellStyle name="Note 2 4 2 4 7" xfId="4139" xr:uid="{AA320898-09E2-4E85-9923-4DF12DD949D1}"/>
    <cellStyle name="Note 2 4 2 5" xfId="562" xr:uid="{BC4CCA0A-4368-4D56-8043-EE9822ADDE44}"/>
    <cellStyle name="Note 2 4 2 5 2" xfId="3726" xr:uid="{D7F7EC03-BC6F-4731-8728-6A4699E7FA99}"/>
    <cellStyle name="Note 2 4 2 6" xfId="1161" xr:uid="{D25EEC2C-19BE-4337-8D0E-8FE4185DD638}"/>
    <cellStyle name="Note 2 4 2 6 2" xfId="4314" xr:uid="{64E3266D-55DE-4FAA-B899-C5CEED865579}"/>
    <cellStyle name="Note 2 4 2 7" xfId="1696" xr:uid="{0D170323-2F0D-43A9-814B-4973B12E4442}"/>
    <cellStyle name="Note 2 4 2 7 2" xfId="4848" xr:uid="{64746FC7-5F6A-4472-9E08-5339B5AC332D}"/>
    <cellStyle name="Note 2 4 2 8" xfId="3466" xr:uid="{5A5AC5E9-1AD6-4A6C-9D0E-CEBDD8AC76BD}"/>
    <cellStyle name="Note 2 4 3" xfId="371" xr:uid="{F49AE879-FC29-4466-A8E7-F9FD20788547}"/>
    <cellStyle name="Note 2 4 3 2" xfId="636" xr:uid="{F15887C8-563D-4A53-BD8B-79E72B09B3CC}"/>
    <cellStyle name="Note 2 4 3 2 2" xfId="3799" xr:uid="{35E16D61-CC2F-434F-A084-754CAAE33651}"/>
    <cellStyle name="Note 2 4 3 3" xfId="1235" xr:uid="{F06E62CA-8DAE-43D5-A356-3E35306756EA}"/>
    <cellStyle name="Note 2 4 3 3 2" xfId="4387" xr:uid="{1DB6D222-3C47-46DA-B980-C3CFE424B42E}"/>
    <cellStyle name="Note 2 4 3 4" xfId="1769" xr:uid="{92C0C3D1-FD54-4925-9E6D-F27869B36C5E}"/>
    <cellStyle name="Note 2 4 3 4 2" xfId="4921" xr:uid="{90B73C4D-EA90-45F5-82D2-2877E12F923D}"/>
    <cellStyle name="Note 2 4 3 5" xfId="2244" xr:uid="{4034780E-326F-49EF-9204-4D13030A01C5}"/>
    <cellStyle name="Note 2 4 3 5 2" xfId="5396" xr:uid="{8E0E8830-12C4-4ED1-AA2D-AAFE9945FAF9}"/>
    <cellStyle name="Note 2 4 3 6" xfId="2578" xr:uid="{D0F74D57-4960-4BE3-B2DE-A56F4A088C4D}"/>
    <cellStyle name="Note 2 4 3 6 2" xfId="5730" xr:uid="{96523F7D-52DC-478E-9DA3-F994FC6CCFA6}"/>
    <cellStyle name="Note 2 4 3 7" xfId="2999" xr:uid="{7CC90F6B-0F0F-41D3-912E-1494C88ED0CE}"/>
    <cellStyle name="Note 2 4 3 7 2" xfId="6151" xr:uid="{5F4C07E7-C36B-4AF0-9F5C-18EF371DD0A3}"/>
    <cellStyle name="Note 2 4 3 8" xfId="3553" xr:uid="{EBCB4117-B778-4EA1-ACB3-CBCB3528020A}"/>
    <cellStyle name="Note 2 4 4" xfId="803" xr:uid="{080287FA-EA86-4B51-BF4F-BB785691A08A}"/>
    <cellStyle name="Note 2 4 4 2" xfId="1402" xr:uid="{8C0842A0-257F-43A0-AEBA-9824416B3333}"/>
    <cellStyle name="Note 2 4 4 2 2" xfId="4554" xr:uid="{61EDF040-8100-4786-B0D3-BC5CF32B08A4}"/>
    <cellStyle name="Note 2 4 4 3" xfId="1936" xr:uid="{3DB2F35E-40B1-46C0-8B45-0E09994A7DEB}"/>
    <cellStyle name="Note 2 4 4 3 2" xfId="5088" xr:uid="{C999C4FB-2025-4785-B84A-B073E7F21621}"/>
    <cellStyle name="Note 2 4 4 4" xfId="2411" xr:uid="{E93AABE3-0130-4A14-AF96-A0245C84C4AB}"/>
    <cellStyle name="Note 2 4 4 4 2" xfId="5563" xr:uid="{4898BD38-9641-426F-B8A7-A9B91CAB6EFD}"/>
    <cellStyle name="Note 2 4 4 5" xfId="2172" xr:uid="{17E7C34A-F6D0-4C6A-9E50-7101C908E482}"/>
    <cellStyle name="Note 2 4 4 5 2" xfId="5324" xr:uid="{D923DF0F-6A5A-4261-BB82-FDA226F3B387}"/>
    <cellStyle name="Note 2 4 4 6" xfId="3166" xr:uid="{0BAB0BF0-F65B-4E52-8163-F1E7BAF84A58}"/>
    <cellStyle name="Note 2 4 4 6 2" xfId="6318" xr:uid="{6A19F594-49D8-4046-BBD8-AD42A1B36844}"/>
    <cellStyle name="Note 2 4 4 7" xfId="3966" xr:uid="{56084917-4BBA-4A01-8EBF-2025DE182987}"/>
    <cellStyle name="Note 2 4 5" xfId="922" xr:uid="{28E70D85-946C-4F83-BDB2-E16A08A2385A}"/>
    <cellStyle name="Note 2 4 5 2" xfId="1521" xr:uid="{7B1B8487-3485-43A8-ACBE-C04AE770834F}"/>
    <cellStyle name="Note 2 4 5 2 2" xfId="4673" xr:uid="{33803BBD-CF66-4612-9932-3AE75AA4F4F3}"/>
    <cellStyle name="Note 2 4 5 3" xfId="2055" xr:uid="{543AF62B-72A4-451E-BA81-606CFD0125DF}"/>
    <cellStyle name="Note 2 4 5 3 2" xfId="5207" xr:uid="{50411ADB-9B18-44F1-BDD2-9ED86E07E825}"/>
    <cellStyle name="Note 2 4 5 4" xfId="2704" xr:uid="{16EAAEE2-0DE6-4A05-8340-3CEAC4BC2420}"/>
    <cellStyle name="Note 2 4 5 4 2" xfId="5856" xr:uid="{9B491D5D-61AE-4F97-A325-781279B5B4DF}"/>
    <cellStyle name="Note 2 4 5 5" xfId="2872" xr:uid="{85482283-FA4A-412A-895B-D7807FBD09FC}"/>
    <cellStyle name="Note 2 4 5 5 2" xfId="6024" xr:uid="{87E4EC78-237E-40A8-9A70-FDECA5C08150}"/>
    <cellStyle name="Note 2 4 5 6" xfId="3285" xr:uid="{2435C22C-321D-41CB-B90B-A0D760EF0E8C}"/>
    <cellStyle name="Note 2 4 5 7" xfId="4085" xr:uid="{034FF5E1-4133-4EC3-8970-962BF25CC6B0}"/>
    <cellStyle name="Note 2 4 6" xfId="502" xr:uid="{C1463C75-54DE-4104-A716-55D499D7ACF6}"/>
    <cellStyle name="Note 2 4 6 2" xfId="3672" xr:uid="{65623EFD-67DB-42EC-B9EA-827E3AAEAFDB}"/>
    <cellStyle name="Note 2 4 7" xfId="1100" xr:uid="{95F403F1-7A35-4052-83A2-7D50E4957491}"/>
    <cellStyle name="Note 2 4 7 2" xfId="4259" xr:uid="{417E8230-0006-4CE2-82A5-76E519419787}"/>
    <cellStyle name="Note 2 4 8" xfId="1637" xr:uid="{870BCC54-3764-4481-8D15-253DA9FC97FD}"/>
    <cellStyle name="Note 2 4 8 2" xfId="4789" xr:uid="{3D82E5FF-71F0-4779-A7E9-570C5531F06F}"/>
    <cellStyle name="Note 2 4 9" xfId="3396" xr:uid="{E74631A7-C037-4F20-B015-6DFCC3093601}"/>
    <cellStyle name="Note 2 5" xfId="75" xr:uid="{9FCC5132-766E-4C63-BA0A-CFE752FC474D}"/>
    <cellStyle name="Note 2 5 2" xfId="160" xr:uid="{3DF58F17-6992-463A-B223-2B6B1905BC9E}"/>
    <cellStyle name="Note 2 5 2 2" xfId="444" xr:uid="{7E9CD75E-21F9-4964-A152-1B39A9174B3C}"/>
    <cellStyle name="Note 2 5 2 2 2" xfId="616" xr:uid="{E1510C5E-90A8-4E91-B5A1-73E53AE0B3A6}"/>
    <cellStyle name="Note 2 5 2 2 2 2" xfId="3779" xr:uid="{B07FE512-A2BA-4EA7-8BD9-80304F77ABDB}"/>
    <cellStyle name="Note 2 5 2 2 3" xfId="1215" xr:uid="{BAA65473-8A50-45C1-8289-8D0097A06DD6}"/>
    <cellStyle name="Note 2 5 2 2 3 2" xfId="4367" xr:uid="{DF5A4F94-704C-47EF-B1B5-84322AA67F6A}"/>
    <cellStyle name="Note 2 5 2 2 4" xfId="1749" xr:uid="{2858F20D-7AD7-4345-BE4C-F7444EECDA0D}"/>
    <cellStyle name="Note 2 5 2 2 4 2" xfId="4901" xr:uid="{D7C2877A-97B5-4BBB-8F11-5AF88A97A413}"/>
    <cellStyle name="Note 2 5 2 2 5" xfId="2224" xr:uid="{8ED06C5C-DFE4-42E5-AF7F-4D75EBE3BBCB}"/>
    <cellStyle name="Note 2 5 2 2 5 2" xfId="5376" xr:uid="{264F6114-DE78-463C-8B88-34144446B4A7}"/>
    <cellStyle name="Note 2 5 2 2 6" xfId="1143" xr:uid="{7C3DDEBA-B927-41C0-B6BB-DCDE4F3B91FA}"/>
    <cellStyle name="Note 2 5 2 2 6 2" xfId="4300" xr:uid="{AE221700-009C-4795-9DD9-34C15A7DEA41}"/>
    <cellStyle name="Note 2 5 2 2 7" xfId="2979" xr:uid="{5CE55E9E-6633-450C-B809-458368FC1F46}"/>
    <cellStyle name="Note 2 5 2 2 7 2" xfId="6131" xr:uid="{8F83E659-EAC9-40EE-9B87-97B06CB56A15}"/>
    <cellStyle name="Note 2 5 2 2 8" xfId="3619" xr:uid="{D2632889-2354-4D36-8E72-003CB29B91D5}"/>
    <cellStyle name="Note 2 5 2 3" xfId="869" xr:uid="{5EED0302-F16B-4C55-86FF-789CBB6DDAAF}"/>
    <cellStyle name="Note 2 5 2 3 2" xfId="1468" xr:uid="{F096CFDB-C624-40A2-88F2-4F4FFDB5EAB0}"/>
    <cellStyle name="Note 2 5 2 3 2 2" xfId="4620" xr:uid="{8026DE44-372F-40D2-9083-633994083D1B}"/>
    <cellStyle name="Note 2 5 2 3 3" xfId="2002" xr:uid="{BD57103C-4D4B-4BA2-BE1A-09DB5C0EC1F4}"/>
    <cellStyle name="Note 2 5 2 3 3 2" xfId="5154" xr:uid="{629A45A6-D511-4123-91D6-40037CF56739}"/>
    <cellStyle name="Note 2 5 2 3 4" xfId="2477" xr:uid="{7C1B1180-1F4C-481F-B329-404B13036ED1}"/>
    <cellStyle name="Note 2 5 2 3 4 2" xfId="5629" xr:uid="{9365CB17-A4DC-4C61-BE74-83C7B82D095D}"/>
    <cellStyle name="Note 2 5 2 3 5" xfId="2819" xr:uid="{E7C2B4EF-8CA7-4F4D-A112-9F50B3F0C62F}"/>
    <cellStyle name="Note 2 5 2 3 5 2" xfId="5971" xr:uid="{9BB841EE-CC29-4F26-BBCD-4524916BB0AB}"/>
    <cellStyle name="Note 2 5 2 3 6" xfId="3232" xr:uid="{4F2E19F7-6C4D-4931-9287-CBB6F82006E3}"/>
    <cellStyle name="Note 2 5 2 3 6 2" xfId="6384" xr:uid="{58528BDD-C28F-4295-B668-217289F3CD3E}"/>
    <cellStyle name="Note 2 5 2 3 7" xfId="4032" xr:uid="{A645A54C-3FA4-4271-86A5-BA0F87175D13}"/>
    <cellStyle name="Note 2 5 2 4" xfId="988" xr:uid="{D6DEC2FF-BD86-46A8-A28D-DF0A27DF5BEE}"/>
    <cellStyle name="Note 2 5 2 4 2" xfId="1587" xr:uid="{03778065-366C-4C08-91EB-521BB9384765}"/>
    <cellStyle name="Note 2 5 2 4 2 2" xfId="4739" xr:uid="{C8A24888-5826-46C2-BA28-7E45C25A00F0}"/>
    <cellStyle name="Note 2 5 2 4 3" xfId="2121" xr:uid="{FC4F0056-135A-4A28-A91D-9BEE011F286D}"/>
    <cellStyle name="Note 2 5 2 4 3 2" xfId="5273" xr:uid="{F830A466-AB99-474B-A41B-339028C1F9D8}"/>
    <cellStyle name="Note 2 5 2 4 4" xfId="2770" xr:uid="{7733C16A-7FD7-4E42-99FB-AD74CADEE082}"/>
    <cellStyle name="Note 2 5 2 4 4 2" xfId="5922" xr:uid="{A7799900-A245-4932-9AD6-28149C8C0DE2}"/>
    <cellStyle name="Note 2 5 2 4 5" xfId="2938" xr:uid="{2053D8B5-64DA-4AE7-928F-C7706136A6E1}"/>
    <cellStyle name="Note 2 5 2 4 5 2" xfId="6090" xr:uid="{BCF00B3C-899A-40C2-82B3-BA00B205A307}"/>
    <cellStyle name="Note 2 5 2 4 6" xfId="3351" xr:uid="{144351D8-8FF3-4D52-BE40-27ED559AEBB3}"/>
    <cellStyle name="Note 2 5 2 4 7" xfId="4151" xr:uid="{F58B48A0-E7F5-4DF9-9F20-E6F13CDD392E}"/>
    <cellStyle name="Note 2 5 2 5" xfId="574" xr:uid="{D2EE8994-6BE9-436A-A159-BE36BB340287}"/>
    <cellStyle name="Note 2 5 2 5 2" xfId="3738" xr:uid="{313FD800-75BF-421D-89F1-9566B5B31E89}"/>
    <cellStyle name="Note 2 5 2 6" xfId="1173" xr:uid="{54230FB4-5852-4C2D-BE75-66882A18F99F}"/>
    <cellStyle name="Note 2 5 2 6 2" xfId="4326" xr:uid="{800FB4F0-FCED-4619-814F-1B81AD77D945}"/>
    <cellStyle name="Note 2 5 2 7" xfId="1708" xr:uid="{6ABD9831-54D7-46D6-B167-E5F0795A3A1F}"/>
    <cellStyle name="Note 2 5 2 7 2" xfId="4860" xr:uid="{DB1290B0-0A96-41F6-BE0E-78299C246939}"/>
    <cellStyle name="Note 2 5 2 8" xfId="3478" xr:uid="{7301A18F-1F96-418F-899A-B6559670E1F3}"/>
    <cellStyle name="Note 2 5 3" xfId="383" xr:uid="{8CCFA9AB-905B-4309-8CD8-A17969AD10C4}"/>
    <cellStyle name="Note 2 5 3 2" xfId="706" xr:uid="{5F92318C-9159-4FFA-9E6E-81C3A72E30E4}"/>
    <cellStyle name="Note 2 5 3 2 2" xfId="3869" xr:uid="{B5BDB621-E37E-4E12-8F2F-D73AF377051D}"/>
    <cellStyle name="Note 2 5 3 3" xfId="1305" xr:uid="{6553F5D4-FD50-4640-A0CC-8E8A4C9782FE}"/>
    <cellStyle name="Note 2 5 3 3 2" xfId="4457" xr:uid="{35F4D928-EAD2-4E5E-9B8A-20C3EC9F43D5}"/>
    <cellStyle name="Note 2 5 3 4" xfId="1839" xr:uid="{5A7EA61C-A6ED-4642-9D17-6658DA1525E3}"/>
    <cellStyle name="Note 2 5 3 4 2" xfId="4991" xr:uid="{4F0814D5-F5CF-4139-854A-C39EA10CF7E2}"/>
    <cellStyle name="Note 2 5 3 5" xfId="2314" xr:uid="{D0028691-530A-4C25-998F-EDAA28B8BD44}"/>
    <cellStyle name="Note 2 5 3 5 2" xfId="5466" xr:uid="{62248E33-3B36-40DB-9E48-76FC62CB5D4E}"/>
    <cellStyle name="Note 2 5 3 6" xfId="2587" xr:uid="{28463BF3-8CD9-4BC0-A52A-BC51E1DE6958}"/>
    <cellStyle name="Note 2 5 3 6 2" xfId="5739" xr:uid="{D6C263B4-007F-4ABD-8FFD-076BF298EE4B}"/>
    <cellStyle name="Note 2 5 3 7" xfId="3069" xr:uid="{822496BD-8D02-4F9E-ABD0-6E845A9413E1}"/>
    <cellStyle name="Note 2 5 3 7 2" xfId="6221" xr:uid="{94D8CEF3-4BB6-4371-BCE5-4BD2B3FA69F0}"/>
    <cellStyle name="Note 2 5 3 8" xfId="3565" xr:uid="{F6911B21-1ADD-4B7B-953C-180554A037C2}"/>
    <cellStyle name="Note 2 5 4" xfId="815" xr:uid="{1F2C9E68-CDDE-4C42-87EF-86E974B06962}"/>
    <cellStyle name="Note 2 5 4 2" xfId="1414" xr:uid="{95B659FE-4ACD-41DD-B4F0-24FCC4EF6D7F}"/>
    <cellStyle name="Note 2 5 4 2 2" xfId="4566" xr:uid="{1FB56F1C-F9C2-4A76-8EA7-378EB90C0EEB}"/>
    <cellStyle name="Note 2 5 4 3" xfId="1948" xr:uid="{6DEBC882-168C-48EE-9F2D-A9445A6A77CE}"/>
    <cellStyle name="Note 2 5 4 3 2" xfId="5100" xr:uid="{8808A345-9533-4FA4-B71E-9FBD5FF35A58}"/>
    <cellStyle name="Note 2 5 4 4" xfId="2423" xr:uid="{2A4E6178-7BFC-41AA-B097-D4B3423B8437}"/>
    <cellStyle name="Note 2 5 4 4 2" xfId="5575" xr:uid="{CA86B3F6-83D9-40B6-ACBC-30AA47E29217}"/>
    <cellStyle name="Note 2 5 4 5" xfId="2574" xr:uid="{697249E5-19BA-4A6D-B23D-874528600B56}"/>
    <cellStyle name="Note 2 5 4 5 2" xfId="5726" xr:uid="{DD3E81FF-9D3A-4948-8D13-FCAAFB1025A4}"/>
    <cellStyle name="Note 2 5 4 6" xfId="3178" xr:uid="{D7DA4D93-3F81-4136-9A6D-B3E32B5C9AF7}"/>
    <cellStyle name="Note 2 5 4 6 2" xfId="6330" xr:uid="{DF4AF52A-22AF-408F-A391-C654116FFEEB}"/>
    <cellStyle name="Note 2 5 4 7" xfId="3978" xr:uid="{807AADD5-3B4F-4C95-B712-B7E84CB4D821}"/>
    <cellStyle name="Note 2 5 5" xfId="934" xr:uid="{7BB56EB5-0AE5-4347-A30B-7E0AD751BA9C}"/>
    <cellStyle name="Note 2 5 5 2" xfId="1533" xr:uid="{B7B95316-D345-4F68-A4F6-210BE6B5FEB1}"/>
    <cellStyle name="Note 2 5 5 2 2" xfId="4685" xr:uid="{6CC7C6F9-1E58-4655-9110-DB0FA935C3EB}"/>
    <cellStyle name="Note 2 5 5 3" xfId="2067" xr:uid="{AA7DB655-E602-4777-9A52-07BEE29F8EA2}"/>
    <cellStyle name="Note 2 5 5 3 2" xfId="5219" xr:uid="{6F7A6241-D7B7-455B-9EFB-4B1CFF68DEA7}"/>
    <cellStyle name="Note 2 5 5 4" xfId="2716" xr:uid="{CFA55808-8A96-401E-A2EE-65DDF615D9A3}"/>
    <cellStyle name="Note 2 5 5 4 2" xfId="5868" xr:uid="{3BEE244F-F0C9-49F7-B65B-B876C763E0F3}"/>
    <cellStyle name="Note 2 5 5 5" xfId="2884" xr:uid="{97A564BC-AD30-43CD-8ADF-CAB879635F6B}"/>
    <cellStyle name="Note 2 5 5 5 2" xfId="6036" xr:uid="{E04991EE-6773-43DA-8BAA-0522C1FE7DB2}"/>
    <cellStyle name="Note 2 5 5 6" xfId="3297" xr:uid="{3B5A20A6-4E81-45E5-AD83-2E6364DB4C05}"/>
    <cellStyle name="Note 2 5 5 7" xfId="4097" xr:uid="{FB17ACED-A5E9-475E-A0B8-956CF4075369}"/>
    <cellStyle name="Note 2 5 6" xfId="514" xr:uid="{8CF272B1-AAD6-42D9-8204-1547AE548E55}"/>
    <cellStyle name="Note 2 5 6 2" xfId="3684" xr:uid="{CB5676AC-3FF4-4883-AA7D-C54254EDDC41}"/>
    <cellStyle name="Note 2 5 7" xfId="1112" xr:uid="{5130F8EB-0E12-4079-9634-C16B99C967CE}"/>
    <cellStyle name="Note 2 5 7 2" xfId="4271" xr:uid="{DDF6876D-CC01-4388-B77A-E13221440FB5}"/>
    <cellStyle name="Note 2 5 8" xfId="1649" xr:uid="{A475E18A-8351-4857-B602-3BF38D8B4109}"/>
    <cellStyle name="Note 2 5 8 2" xfId="4801" xr:uid="{A111FC9E-959F-472D-9224-F13D211DE0A6}"/>
    <cellStyle name="Note 2 5 9" xfId="3408" xr:uid="{83FDAE4E-B7E8-4C3D-A343-865FC85E815E}"/>
    <cellStyle name="Note 2 6" xfId="61" xr:uid="{B1E834DA-902C-41C6-8A13-ACD550431E4D}"/>
    <cellStyle name="Note 2 6 2" xfId="146" xr:uid="{0B1A7149-10F9-43ED-A166-6BEA272BEFD5}"/>
    <cellStyle name="Note 2 6 2 2" xfId="430" xr:uid="{3C7C1C86-12C8-4108-9888-F5A6FD33C3B7}"/>
    <cellStyle name="Note 2 6 2 2 2" xfId="623" xr:uid="{03D1748A-5315-4D5F-87B2-05827A400B75}"/>
    <cellStyle name="Note 2 6 2 2 2 2" xfId="3786" xr:uid="{55EFB736-F16A-494A-8E25-91316031CB19}"/>
    <cellStyle name="Note 2 6 2 2 3" xfId="1222" xr:uid="{3CCB1916-D314-456B-A24E-E7AEB73673A1}"/>
    <cellStyle name="Note 2 6 2 2 3 2" xfId="4374" xr:uid="{1A25330C-D4FB-4A2D-932B-7D7A44C61EB0}"/>
    <cellStyle name="Note 2 6 2 2 4" xfId="1756" xr:uid="{40D9058A-DD80-4CC0-953F-A86F962A31B1}"/>
    <cellStyle name="Note 2 6 2 2 4 2" xfId="4908" xr:uid="{B31A2A58-5250-4C5B-B054-DFD8CDA0DC34}"/>
    <cellStyle name="Note 2 6 2 2 5" xfId="2231" xr:uid="{87156397-4FDC-4C9B-B522-746E502381BB}"/>
    <cellStyle name="Note 2 6 2 2 5 2" xfId="5383" xr:uid="{261A63B6-1681-4F39-B09B-065BA540F27F}"/>
    <cellStyle name="Note 2 6 2 2 6" xfId="2584" xr:uid="{8630D4B8-8729-4040-ADCD-C89C770D7D74}"/>
    <cellStyle name="Note 2 6 2 2 6 2" xfId="5736" xr:uid="{878BCAC6-F60E-4F99-B104-0856D6BC253B}"/>
    <cellStyle name="Note 2 6 2 2 7" xfId="2986" xr:uid="{B4A82539-4FD9-4BB7-905D-E2A1430ABB8A}"/>
    <cellStyle name="Note 2 6 2 2 7 2" xfId="6138" xr:uid="{E90FEB01-042C-4110-9D45-0A0C097A2878}"/>
    <cellStyle name="Note 2 6 2 2 8" xfId="3605" xr:uid="{37577ECA-9FD6-4443-8179-CE091ABC6FB0}"/>
    <cellStyle name="Note 2 6 2 3" xfId="855" xr:uid="{CFAD9F1D-1435-4F61-8544-DADD3BF956B4}"/>
    <cellStyle name="Note 2 6 2 3 2" xfId="1454" xr:uid="{1F8C80F2-A9B7-4267-9A78-A85CBB2B8D50}"/>
    <cellStyle name="Note 2 6 2 3 2 2" xfId="4606" xr:uid="{617D942F-C906-455B-B6A1-541D18A8D6C7}"/>
    <cellStyle name="Note 2 6 2 3 3" xfId="1988" xr:uid="{90385624-7059-401C-A4C1-1C62A19A1F73}"/>
    <cellStyle name="Note 2 6 2 3 3 2" xfId="5140" xr:uid="{B2EE04C3-A67A-431C-9350-B692CA97DB24}"/>
    <cellStyle name="Note 2 6 2 3 4" xfId="2463" xr:uid="{645344A7-13D0-4849-B125-3E6A0FCEADCA}"/>
    <cellStyle name="Note 2 6 2 3 4 2" xfId="5615" xr:uid="{5889445D-D766-426A-A973-7C62D8B29326}"/>
    <cellStyle name="Note 2 6 2 3 5" xfId="2805" xr:uid="{17CC3292-8D10-4383-8640-F9F9FD1D2057}"/>
    <cellStyle name="Note 2 6 2 3 5 2" xfId="5957" xr:uid="{5EF69FDA-9F55-484D-B7C6-508717DAC43A}"/>
    <cellStyle name="Note 2 6 2 3 6" xfId="3218" xr:uid="{82E712FF-C1DA-4CB3-B4B2-C44A67C5C9BE}"/>
    <cellStyle name="Note 2 6 2 3 6 2" xfId="6370" xr:uid="{CB9A691B-3459-40D2-AC96-1EA8EBC4431F}"/>
    <cellStyle name="Note 2 6 2 3 7" xfId="4018" xr:uid="{A0F74DF1-DD5F-42EE-BB1A-2D477584320B}"/>
    <cellStyle name="Note 2 6 2 4" xfId="974" xr:uid="{8371050D-8AAC-4513-A3DD-4E8B1552FE8E}"/>
    <cellStyle name="Note 2 6 2 4 2" xfId="1573" xr:uid="{58B3185F-4CBA-47B4-8803-5D77709D689D}"/>
    <cellStyle name="Note 2 6 2 4 2 2" xfId="4725" xr:uid="{42ACBF9E-C711-4AD3-94DB-0EC73ECBCDFF}"/>
    <cellStyle name="Note 2 6 2 4 3" xfId="2107" xr:uid="{D50E67FE-18C0-4921-A6EA-81E8C333E2CB}"/>
    <cellStyle name="Note 2 6 2 4 3 2" xfId="5259" xr:uid="{7C52DB18-0CBB-4880-BBB8-1074047F7CCC}"/>
    <cellStyle name="Note 2 6 2 4 4" xfId="2756" xr:uid="{CB873551-0E4C-4BC1-AF7A-EB96C13A18A0}"/>
    <cellStyle name="Note 2 6 2 4 4 2" xfId="5908" xr:uid="{4D14C75F-F827-4EA4-9A42-1093543DC0E7}"/>
    <cellStyle name="Note 2 6 2 4 5" xfId="2924" xr:uid="{1E67A8F6-182C-4FC5-8E6D-A9CF0206309B}"/>
    <cellStyle name="Note 2 6 2 4 5 2" xfId="6076" xr:uid="{576CBFDD-A321-4CB5-BA57-FBCBDB08A473}"/>
    <cellStyle name="Note 2 6 2 4 6" xfId="3337" xr:uid="{00CFC07C-A586-493D-99BC-4B3BC8DACEA0}"/>
    <cellStyle name="Note 2 6 2 4 7" xfId="4137" xr:uid="{5BA9185B-78F7-44FA-A495-B4AE235423A8}"/>
    <cellStyle name="Note 2 6 2 5" xfId="560" xr:uid="{C1D80B5D-6EEF-4D46-A319-DBFF096B67FC}"/>
    <cellStyle name="Note 2 6 2 5 2" xfId="3724" xr:uid="{A9DF1000-F79E-4B1D-80F8-52FD6531A8D0}"/>
    <cellStyle name="Note 2 6 2 6" xfId="1159" xr:uid="{E30F2B04-7E71-429A-87A0-62DCAD07E51D}"/>
    <cellStyle name="Note 2 6 2 6 2" xfId="4312" xr:uid="{93C29C64-A0F8-4E4F-B7C7-7CBCD1457235}"/>
    <cellStyle name="Note 2 6 2 7" xfId="1694" xr:uid="{27B3BC46-AB26-4684-95D1-E713B7C3A9A8}"/>
    <cellStyle name="Note 2 6 2 7 2" xfId="4846" xr:uid="{F0FADC22-C08D-492E-81AD-732EEA33C7B1}"/>
    <cellStyle name="Note 2 6 2 8" xfId="3464" xr:uid="{58E16FB6-C16D-4054-9A2B-2DBC6ABC8F82}"/>
    <cellStyle name="Note 2 6 3" xfId="369" xr:uid="{C3990864-183E-4975-84C0-9794129AF1B1}"/>
    <cellStyle name="Note 2 6 3 2" xfId="637" xr:uid="{562928C9-9C8B-4B34-BAED-985266FDF344}"/>
    <cellStyle name="Note 2 6 3 2 2" xfId="3800" xr:uid="{83E0298A-61D9-42FA-B138-861F30FC557C}"/>
    <cellStyle name="Note 2 6 3 3" xfId="1236" xr:uid="{CD7BDDAD-52AF-4C30-A00D-BE801C491F8F}"/>
    <cellStyle name="Note 2 6 3 3 2" xfId="4388" xr:uid="{AC43CBF0-BC0C-41A0-B598-F38A7418D77F}"/>
    <cellStyle name="Note 2 6 3 4" xfId="1770" xr:uid="{886F7D0E-2D12-473E-954F-ABBD5C9418F9}"/>
    <cellStyle name="Note 2 6 3 4 2" xfId="4922" xr:uid="{6C954C75-354B-4DA9-AF0C-73ADD9A0260A}"/>
    <cellStyle name="Note 2 6 3 5" xfId="2245" xr:uid="{0C36E71E-3299-473D-AF49-92E70E0D8BCE}"/>
    <cellStyle name="Note 2 6 3 5 2" xfId="5397" xr:uid="{AA4C862B-F3F3-4D52-9CF6-B6B8DEF9A0A9}"/>
    <cellStyle name="Note 2 6 3 6" xfId="2672" xr:uid="{30E8A629-EFCB-49F2-9C58-41F972785E13}"/>
    <cellStyle name="Note 2 6 3 6 2" xfId="5824" xr:uid="{0954DCC8-B396-474B-A592-FC7D7A7F7373}"/>
    <cellStyle name="Note 2 6 3 7" xfId="3000" xr:uid="{A1E20C89-8EFF-470D-9683-D183613DC63A}"/>
    <cellStyle name="Note 2 6 3 7 2" xfId="6152" xr:uid="{ACB0C135-764B-403B-B95E-3883D0471026}"/>
    <cellStyle name="Note 2 6 3 8" xfId="3551" xr:uid="{89329E51-5904-47B9-B158-074AA0413ACA}"/>
    <cellStyle name="Note 2 6 4" xfId="801" xr:uid="{E00F2B26-228F-4DB0-A3E2-AD4A02F7A62F}"/>
    <cellStyle name="Note 2 6 4 2" xfId="1400" xr:uid="{A0ED74D9-C582-4719-98C0-49F39D96D444}"/>
    <cellStyle name="Note 2 6 4 2 2" xfId="4552" xr:uid="{9019D950-B59A-48D8-9811-C3624C5D5117}"/>
    <cellStyle name="Note 2 6 4 3" xfId="1934" xr:uid="{55E06C79-848C-41DA-98A5-2B895BB2FA13}"/>
    <cellStyle name="Note 2 6 4 3 2" xfId="5086" xr:uid="{F64297C7-0413-43EA-B1C5-A56C737926BA}"/>
    <cellStyle name="Note 2 6 4 4" xfId="2409" xr:uid="{93F7FAF3-1148-4BD4-88D4-007E34656081}"/>
    <cellStyle name="Note 2 6 4 4 2" xfId="5561" xr:uid="{30615F39-B3E0-4111-A66C-CF6D5A5325BF}"/>
    <cellStyle name="Note 2 6 4 5" xfId="2510" xr:uid="{7A644917-77C8-48D6-8A3C-50A1C44CF66D}"/>
    <cellStyle name="Note 2 6 4 5 2" xfId="5662" xr:uid="{8F7582C5-C496-4382-99D5-9DEA410914DF}"/>
    <cellStyle name="Note 2 6 4 6" xfId="3164" xr:uid="{9792439A-B2E8-4E1B-956A-A40A2B2B00B4}"/>
    <cellStyle name="Note 2 6 4 6 2" xfId="6316" xr:uid="{E82C9711-AB36-4E1D-B257-1351ADBFECC8}"/>
    <cellStyle name="Note 2 6 4 7" xfId="3964" xr:uid="{C732575D-B700-4996-8352-22374E823190}"/>
    <cellStyle name="Note 2 6 5" xfId="920" xr:uid="{46E625FF-9098-4156-AA22-CF99D3E000A0}"/>
    <cellStyle name="Note 2 6 5 2" xfId="1519" xr:uid="{7BDF29D9-2D98-4B62-8D8C-AE3A2CFD8C0C}"/>
    <cellStyle name="Note 2 6 5 2 2" xfId="4671" xr:uid="{91FDC592-C919-4759-9840-3623C889A1FE}"/>
    <cellStyle name="Note 2 6 5 3" xfId="2053" xr:uid="{7ED9058A-505F-4BD3-9F72-363387F7D3B9}"/>
    <cellStyle name="Note 2 6 5 3 2" xfId="5205" xr:uid="{6E273D02-F853-45A5-AFEF-AB19C038CB1A}"/>
    <cellStyle name="Note 2 6 5 4" xfId="2702" xr:uid="{AB08C294-EE7D-4A92-A158-F45A19D205DB}"/>
    <cellStyle name="Note 2 6 5 4 2" xfId="5854" xr:uid="{3BFA94D0-D911-4203-B1C9-6F367C8BE732}"/>
    <cellStyle name="Note 2 6 5 5" xfId="2870" xr:uid="{BE57AFC2-0BCB-46E6-AC43-9F6BF27F3D6D}"/>
    <cellStyle name="Note 2 6 5 5 2" xfId="6022" xr:uid="{7064B9DF-B593-4AD8-9EAF-E57ADF131C20}"/>
    <cellStyle name="Note 2 6 5 6" xfId="3283" xr:uid="{868FBD55-58B6-4365-B17D-B613F2C5A620}"/>
    <cellStyle name="Note 2 6 5 7" xfId="4083" xr:uid="{13F7B0DE-CFEB-4D14-B3A9-A0B53DFC07EC}"/>
    <cellStyle name="Note 2 6 6" xfId="500" xr:uid="{D08376C7-5BED-4B0A-905F-66A3BB9254EC}"/>
    <cellStyle name="Note 2 6 6 2" xfId="3670" xr:uid="{FEFE27AA-F71F-4F1F-8441-CD2A15CA85F9}"/>
    <cellStyle name="Note 2 6 7" xfId="1098" xr:uid="{15FCF83D-ED58-42C6-B8CF-5FB5BF089C0D}"/>
    <cellStyle name="Note 2 6 7 2" xfId="4257" xr:uid="{448EF814-870C-49A9-A0DC-94698A03F0E1}"/>
    <cellStyle name="Note 2 6 8" xfId="1635" xr:uid="{23E47F1E-3BC5-4D43-A2EC-83C08CCF1A5F}"/>
    <cellStyle name="Note 2 6 8 2" xfId="4787" xr:uid="{336B7549-7148-4C85-93A3-8C1AB15CE202}"/>
    <cellStyle name="Note 2 6 9" xfId="3394" xr:uid="{52953EAE-3DB7-4CAA-882E-EBCA2ED5DAB6}"/>
    <cellStyle name="Note 2 7" xfId="85" xr:uid="{0A56ECF8-293C-4B8F-8A3D-2BE95775ED50}"/>
    <cellStyle name="Note 2 7 2" xfId="165" xr:uid="{4BA3293F-7D67-4DE3-8A88-A8BCD222AC95}"/>
    <cellStyle name="Note 2 7 2 2" xfId="451" xr:uid="{A14249FD-A4B6-4751-99F5-998B4B798F0C}"/>
    <cellStyle name="Note 2 7 2 2 2" xfId="654" xr:uid="{DF92E746-1C8F-4F5C-9F99-159F11C9E244}"/>
    <cellStyle name="Note 2 7 2 2 2 2" xfId="3817" xr:uid="{2D2FF8D9-9BF9-4961-AC74-FFFC47CD2546}"/>
    <cellStyle name="Note 2 7 2 2 3" xfId="1253" xr:uid="{D69A829B-CAF2-450F-9883-543B49A6B508}"/>
    <cellStyle name="Note 2 7 2 2 3 2" xfId="4405" xr:uid="{FC134F55-38E7-44E1-BEFA-00DE4A486B6E}"/>
    <cellStyle name="Note 2 7 2 2 4" xfId="1787" xr:uid="{726C428E-0CA4-4283-BAC2-01BBDAA3AF0D}"/>
    <cellStyle name="Note 2 7 2 2 4 2" xfId="4939" xr:uid="{9408A60B-3146-4F83-BB3F-794A4634E941}"/>
    <cellStyle name="Note 2 7 2 2 5" xfId="2262" xr:uid="{C1E79124-5FAA-405F-AD5A-CB62B90E89C2}"/>
    <cellStyle name="Note 2 7 2 2 5 2" xfId="5414" xr:uid="{2CB93695-B1DA-4E77-91B9-CCBF4A467269}"/>
    <cellStyle name="Note 2 7 2 2 6" xfId="2205" xr:uid="{13FBC0FD-786F-4167-8F68-CEF2271C343F}"/>
    <cellStyle name="Note 2 7 2 2 6 2" xfId="5357" xr:uid="{1CF47680-298A-4071-A8BC-A8F82180A8A7}"/>
    <cellStyle name="Note 2 7 2 2 7" xfId="3017" xr:uid="{E8D31D2A-8EBD-4159-B1FA-21C001CE1330}"/>
    <cellStyle name="Note 2 7 2 2 7 2" xfId="6169" xr:uid="{F520456A-BC90-4F74-AA93-C2736B0AEFD9}"/>
    <cellStyle name="Note 2 7 2 2 8" xfId="3626" xr:uid="{C75AB44D-CC54-4E87-8DFB-800F936EB2E9}"/>
    <cellStyle name="Note 2 7 2 3" xfId="876" xr:uid="{DAB1AB52-DAF1-40D7-801A-43EC3E42D17C}"/>
    <cellStyle name="Note 2 7 2 3 2" xfId="1475" xr:uid="{EE699144-B2C2-4DCA-92A8-90DB22650DB4}"/>
    <cellStyle name="Note 2 7 2 3 2 2" xfId="4627" xr:uid="{64602422-895C-4B0F-B6AB-4AC9861F9BDC}"/>
    <cellStyle name="Note 2 7 2 3 3" xfId="2009" xr:uid="{35C34FDD-9312-47C1-B34A-E49C3BE2CD94}"/>
    <cellStyle name="Note 2 7 2 3 3 2" xfId="5161" xr:uid="{3C9E41A0-3EBD-4FA3-9141-AF53360C6CCD}"/>
    <cellStyle name="Note 2 7 2 3 4" xfId="2484" xr:uid="{4570AD34-2825-4AEF-B887-9A66B7D2834D}"/>
    <cellStyle name="Note 2 7 2 3 4 2" xfId="5636" xr:uid="{6CAF56EE-A0FE-4CF9-8734-FDA334059A0E}"/>
    <cellStyle name="Note 2 7 2 3 5" xfId="2826" xr:uid="{1E4EF75A-D9D1-4613-8357-E8458F277160}"/>
    <cellStyle name="Note 2 7 2 3 5 2" xfId="5978" xr:uid="{E7980B70-6B22-483B-B034-A9556C168D90}"/>
    <cellStyle name="Note 2 7 2 3 6" xfId="3239" xr:uid="{1779BCA3-0A98-41E8-BB4E-7FC9C13FE306}"/>
    <cellStyle name="Note 2 7 2 3 6 2" xfId="6391" xr:uid="{340AC99C-8A84-43BE-BE77-DA80961BE2F9}"/>
    <cellStyle name="Note 2 7 2 3 7" xfId="4039" xr:uid="{061F23D6-37DA-4DA8-8FB6-9AA593A05F09}"/>
    <cellStyle name="Note 2 7 2 4" xfId="995" xr:uid="{79F837A2-D201-4C25-9910-FFE4CD0CF84F}"/>
    <cellStyle name="Note 2 7 2 4 2" xfId="1594" xr:uid="{B27867D3-D854-40E4-A15B-C0E110D345DB}"/>
    <cellStyle name="Note 2 7 2 4 2 2" xfId="4746" xr:uid="{832C3B9B-3F27-4909-B405-2820555F0E91}"/>
    <cellStyle name="Note 2 7 2 4 3" xfId="2128" xr:uid="{E2617B04-11CC-463B-A39B-807249C3453A}"/>
    <cellStyle name="Note 2 7 2 4 3 2" xfId="5280" xr:uid="{B78099C3-F769-4521-AB29-297F47DF88FD}"/>
    <cellStyle name="Note 2 7 2 4 4" xfId="2777" xr:uid="{AB1FA0B8-1404-4E7F-9A54-9DC204644809}"/>
    <cellStyle name="Note 2 7 2 4 4 2" xfId="5929" xr:uid="{A02BD569-8605-4BF4-958C-5A2EF89A179A}"/>
    <cellStyle name="Note 2 7 2 4 5" xfId="2945" xr:uid="{A17D4D7C-8DB8-489D-A2A4-921C29BAAA4E}"/>
    <cellStyle name="Note 2 7 2 4 5 2" xfId="6097" xr:uid="{49A01419-5516-4D05-B998-C114A765340D}"/>
    <cellStyle name="Note 2 7 2 4 6" xfId="3358" xr:uid="{96272279-1AA4-4C4D-9258-73082D04AEFB}"/>
    <cellStyle name="Note 2 7 2 4 7" xfId="4158" xr:uid="{EE104045-188A-4922-A6B8-1991C4AE7B9B}"/>
    <cellStyle name="Note 2 7 2 5" xfId="581" xr:uid="{AB560B7C-DDAC-43A9-8A8A-E61122E4BCBD}"/>
    <cellStyle name="Note 2 7 2 5 2" xfId="3745" xr:uid="{96E73D54-4A3B-4418-BF66-C973D367F242}"/>
    <cellStyle name="Note 2 7 2 6" xfId="1180" xr:uid="{8E512FAB-39BC-4630-825E-4625C1CD1C93}"/>
    <cellStyle name="Note 2 7 2 6 2" xfId="4333" xr:uid="{554B24C5-96FD-463C-A230-C52FF1A66DB8}"/>
    <cellStyle name="Note 2 7 2 7" xfId="1715" xr:uid="{669236C6-9B58-4065-9CE8-1E97F318DAB4}"/>
    <cellStyle name="Note 2 7 2 7 2" xfId="4867" xr:uid="{D0C27937-E089-429F-AAF2-DB249A294206}"/>
    <cellStyle name="Note 2 7 2 8" xfId="3482" xr:uid="{B2B192C4-C744-4F4D-96CF-BBE762C9F976}"/>
    <cellStyle name="Note 2 7 3" xfId="392" xr:uid="{BCDEAF37-74C3-4E58-A668-BBFE580CF2E8}"/>
    <cellStyle name="Note 2 7 3 2" xfId="672" xr:uid="{7D779021-6E61-433F-BD99-568D74149BED}"/>
    <cellStyle name="Note 2 7 3 2 2" xfId="3835" xr:uid="{A8328466-9049-47F2-BE9E-8D26829783AF}"/>
    <cellStyle name="Note 2 7 3 3" xfId="1271" xr:uid="{43B00CCD-976F-4103-A51B-CF7A99F87FD0}"/>
    <cellStyle name="Note 2 7 3 3 2" xfId="4423" xr:uid="{A82F4437-48D1-449A-8EC0-59E1EFE7E2A6}"/>
    <cellStyle name="Note 2 7 3 4" xfId="1805" xr:uid="{3573DC1E-0B8A-4177-AB35-55BB42F4A435}"/>
    <cellStyle name="Note 2 7 3 4 2" xfId="4957" xr:uid="{900A2041-CA0E-4D21-9EBD-A16015D2C8F2}"/>
    <cellStyle name="Note 2 7 3 5" xfId="2280" xr:uid="{0C0D059B-B918-4C40-AE3E-904EFB0F9707}"/>
    <cellStyle name="Note 2 7 3 5 2" xfId="5432" xr:uid="{D4671FB2-A894-4C56-9A0B-BA7C2A38D78F}"/>
    <cellStyle name="Note 2 7 3 6" xfId="2207" xr:uid="{99A62F50-4ACF-43E4-95C4-1C63E6CCBE40}"/>
    <cellStyle name="Note 2 7 3 6 2" xfId="5359" xr:uid="{A0393027-223D-4280-97D8-D785B77A6F1B}"/>
    <cellStyle name="Note 2 7 3 7" xfId="3035" xr:uid="{B1BFDB70-0944-4370-ACD8-70E0096185D8}"/>
    <cellStyle name="Note 2 7 3 7 2" xfId="6187" xr:uid="{FDC7824E-B032-4F2F-88F2-367BEBF7A52A}"/>
    <cellStyle name="Note 2 7 3 8" xfId="3572" xr:uid="{7939AE85-B21D-4356-A7D1-9353DD833870}"/>
    <cellStyle name="Note 2 7 4" xfId="822" xr:uid="{C58B67A5-3167-48BB-83A2-65FA75B54A89}"/>
    <cellStyle name="Note 2 7 4 2" xfId="1421" xr:uid="{71DA5E57-F640-4E4B-B050-CF58A4BB00AD}"/>
    <cellStyle name="Note 2 7 4 2 2" xfId="4573" xr:uid="{C5795768-7AE8-436C-BD4F-D06C54FCDECB}"/>
    <cellStyle name="Note 2 7 4 3" xfId="1955" xr:uid="{34597CA4-122E-42DB-985E-68219C910672}"/>
    <cellStyle name="Note 2 7 4 3 2" xfId="5107" xr:uid="{4EED7590-A572-4EE4-A999-21FAA6EA13E2}"/>
    <cellStyle name="Note 2 7 4 4" xfId="2430" xr:uid="{C304E569-F68A-402E-AB82-5AE7FC0B5303}"/>
    <cellStyle name="Note 2 7 4 4 2" xfId="5582" xr:uid="{22B5AD1D-7D32-4442-9919-C6C9313145C2}"/>
    <cellStyle name="Note 2 7 4 5" xfId="2168" xr:uid="{0664C2FB-F2F0-41F5-AA0E-9FFF8500C53A}"/>
    <cellStyle name="Note 2 7 4 5 2" xfId="5320" xr:uid="{CD6CB56E-975E-42C1-8C48-B259B0F4A242}"/>
    <cellStyle name="Note 2 7 4 6" xfId="3185" xr:uid="{148FADC5-8D68-49A1-BE6D-3F1A7E50B045}"/>
    <cellStyle name="Note 2 7 4 6 2" xfId="6337" xr:uid="{1B039BC8-5B4A-40A8-9842-33DEAC92FD0E}"/>
    <cellStyle name="Note 2 7 4 7" xfId="3985" xr:uid="{84A8FB66-D063-4246-B11E-7F7B289C4EF4}"/>
    <cellStyle name="Note 2 7 5" xfId="941" xr:uid="{228A0BFE-FF3E-4A78-A6AB-C8404CDB5400}"/>
    <cellStyle name="Note 2 7 5 2" xfId="1540" xr:uid="{E3017D80-A7ED-44A0-8F87-B5F8C4086E64}"/>
    <cellStyle name="Note 2 7 5 2 2" xfId="4692" xr:uid="{32A8127D-80E3-49FB-880E-CC99F0784496}"/>
    <cellStyle name="Note 2 7 5 3" xfId="2074" xr:uid="{D564D937-E963-42B3-948D-8B5EDE415209}"/>
    <cellStyle name="Note 2 7 5 3 2" xfId="5226" xr:uid="{FE9F77E5-17F1-4DEB-A971-655870A48F68}"/>
    <cellStyle name="Note 2 7 5 4" xfId="2723" xr:uid="{3D36741A-D9CA-4490-B0CF-E7F88CDD2C37}"/>
    <cellStyle name="Note 2 7 5 4 2" xfId="5875" xr:uid="{824BC0BB-7563-46B0-98EE-3DAA085A71FB}"/>
    <cellStyle name="Note 2 7 5 5" xfId="2891" xr:uid="{777B49BE-E8D2-4BEA-B90E-44AD4EF6C670}"/>
    <cellStyle name="Note 2 7 5 5 2" xfId="6043" xr:uid="{10259EFB-6C1C-484E-83F0-60531BBB30B0}"/>
    <cellStyle name="Note 2 7 5 6" xfId="3304" xr:uid="{E5476F2D-6276-4064-B4F5-865828085CF7}"/>
    <cellStyle name="Note 2 7 5 7" xfId="4104" xr:uid="{8D451E3A-F61E-45B3-B187-334415E22A6E}"/>
    <cellStyle name="Note 2 7 6" xfId="522" xr:uid="{589F7A64-FEB0-4E93-B349-831CED8F6285}"/>
    <cellStyle name="Note 2 7 6 2" xfId="3691" xr:uid="{F84C4484-A0F3-41F7-A185-8CE103C27010}"/>
    <cellStyle name="Note 2 7 7" xfId="1120" xr:uid="{3587AE13-B0DE-452D-8F10-6DA9835455EB}"/>
    <cellStyle name="Note 2 7 7 2" xfId="4278" xr:uid="{CB1F866E-54D0-475E-AC83-3424134FB0C4}"/>
    <cellStyle name="Note 2 7 8" xfId="1657" xr:uid="{EF20FBB4-27F9-43BD-A4E0-037BB8AFAE51}"/>
    <cellStyle name="Note 2 7 8 2" xfId="4809" xr:uid="{B9BFFADF-51D0-49EF-9984-57E83E1D1448}"/>
    <cellStyle name="Note 2 7 9" xfId="3415" xr:uid="{02D1A054-91A1-40D9-B50E-2EAC3FD6DFBF}"/>
    <cellStyle name="Note 2 8" xfId="116" xr:uid="{4B1B6F87-785B-42C2-AED9-2E7A131E352A}"/>
    <cellStyle name="Note 2 8 2" xfId="194" xr:uid="{49265448-A63B-4E13-AA00-54D42A3DF068}"/>
    <cellStyle name="Note 2 8 2 2" xfId="628" xr:uid="{E4E6A0B0-7AC3-4012-8B20-59B11FA2BD0E}"/>
    <cellStyle name="Note 2 8 2 2 2" xfId="3791" xr:uid="{690556FD-9ABC-42E1-9862-14171DDB4989}"/>
    <cellStyle name="Note 2 8 2 3" xfId="1227" xr:uid="{93C20220-82AD-4B0D-AF34-8B7AB31ED9C5}"/>
    <cellStyle name="Note 2 8 2 3 2" xfId="4379" xr:uid="{B016B6D6-9E10-41E6-91D1-41ACAE32F863}"/>
    <cellStyle name="Note 2 8 2 4" xfId="1761" xr:uid="{549952E5-01F9-431B-96BE-F8699DC00E40}"/>
    <cellStyle name="Note 2 8 2 4 2" xfId="4913" xr:uid="{3EB590CB-AAD9-49DD-8E7D-DCF9DE19468F}"/>
    <cellStyle name="Note 2 8 2 5" xfId="2236" xr:uid="{6B0F58CA-8EBF-4053-970B-28107404A068}"/>
    <cellStyle name="Note 2 8 2 5 2" xfId="5388" xr:uid="{77F80268-8E7A-416F-A713-5BC773A159C7}"/>
    <cellStyle name="Note 2 8 2 6" xfId="1045" xr:uid="{D292AB73-43C2-498F-BCE2-B9D6777AD15B}"/>
    <cellStyle name="Note 2 8 2 6 2" xfId="4208" xr:uid="{D6818C71-827F-4CB1-834D-A8AD227219EE}"/>
    <cellStyle name="Note 2 8 2 7" xfId="2991" xr:uid="{CCB37E98-5EEE-4E3B-89D5-D650E8C35E6E}"/>
    <cellStyle name="Note 2 8 2 7 2" xfId="6143" xr:uid="{2EBBE784-9166-4D9F-98B5-CD283F336099}"/>
    <cellStyle name="Note 2 8 2 8" xfId="3505" xr:uid="{2595E383-76C2-4A6D-AAC8-C291671F5393}"/>
    <cellStyle name="Note 2 8 3" xfId="420" xr:uid="{2ECBBEE8-5F05-40CE-A318-5A83AD50A471}"/>
    <cellStyle name="Note 2 8 3 2" xfId="845" xr:uid="{4CDFE2C8-30F5-4B00-870A-905E69352D99}"/>
    <cellStyle name="Note 2 8 3 2 2" xfId="4008" xr:uid="{20BB08FF-4BE0-4101-B464-EF870A6EEBC7}"/>
    <cellStyle name="Note 2 8 3 3" xfId="1444" xr:uid="{9780A8FB-C03E-4922-B2DC-1B46A12F90A1}"/>
    <cellStyle name="Note 2 8 3 3 2" xfId="4596" xr:uid="{A1DBD871-43D5-4316-BAB9-0D2614D4E3F2}"/>
    <cellStyle name="Note 2 8 3 4" xfId="1978" xr:uid="{BF01B65A-B73A-49DE-BBE7-108CBCC67B37}"/>
    <cellStyle name="Note 2 8 3 4 2" xfId="5130" xr:uid="{48EEDA5F-C5A0-4DF2-9532-1F65AF7D2B7C}"/>
    <cellStyle name="Note 2 8 3 5" xfId="2453" xr:uid="{410D708A-329A-4297-8002-B2FA5A96DFBB}"/>
    <cellStyle name="Note 2 8 3 5 2" xfId="5605" xr:uid="{CA27DBA3-4A19-4D19-A5B8-97A9864E5077}"/>
    <cellStyle name="Note 2 8 3 6" xfId="2507" xr:uid="{2463135C-D70D-4A7E-A300-4C73D85732E6}"/>
    <cellStyle name="Note 2 8 3 6 2" xfId="5659" xr:uid="{F7938985-BA31-4C88-8A03-237FB9673AA1}"/>
    <cellStyle name="Note 2 8 3 7" xfId="3208" xr:uid="{B4DA52B6-5FEC-4ADF-9431-8FBC49893DD1}"/>
    <cellStyle name="Note 2 8 3 7 2" xfId="6360" xr:uid="{B36DB12B-D2E3-4C88-9BF4-96B07A11DC24}"/>
    <cellStyle name="Note 2 8 3 8" xfId="3595" xr:uid="{BC9D6985-A236-4106-8C5D-103E4D5B5756}"/>
    <cellStyle name="Note 2 8 4" xfId="964" xr:uid="{1FF8B259-8B04-4890-97A2-4F57F78E35F2}"/>
    <cellStyle name="Note 2 8 4 2" xfId="1563" xr:uid="{E12A1151-A3B8-4502-AA5E-8A981FB09563}"/>
    <cellStyle name="Note 2 8 4 2 2" xfId="4715" xr:uid="{ADF4EEB9-5477-431A-B31B-D5E1D620B4E1}"/>
    <cellStyle name="Note 2 8 4 3" xfId="2097" xr:uid="{2B863D66-519E-4F77-AB60-D638F50E7672}"/>
    <cellStyle name="Note 2 8 4 3 2" xfId="5249" xr:uid="{3CE988CD-7465-40E2-AFE7-8ABFB00ADD66}"/>
    <cellStyle name="Note 2 8 4 4" xfId="2746" xr:uid="{DF6CF4E6-2F26-4E42-A693-5FFA0079B614}"/>
    <cellStyle name="Note 2 8 4 4 2" xfId="5898" xr:uid="{A7F78BF8-E348-4B0F-BAE3-DF9FF093E8A6}"/>
    <cellStyle name="Note 2 8 4 5" xfId="2914" xr:uid="{51E03ECB-D3A8-4221-A7E9-FF79953AA2C6}"/>
    <cellStyle name="Note 2 8 4 5 2" xfId="6066" xr:uid="{4B16E90D-E0E3-4078-B811-C14117730B5B}"/>
    <cellStyle name="Note 2 8 4 6" xfId="3327" xr:uid="{08833AD8-3350-4F7B-9AD5-91BE72D1B4BC}"/>
    <cellStyle name="Note 2 8 4 7" xfId="4127" xr:uid="{7ED5AA32-BC65-4E98-A92F-C4CD1D5F14DA}"/>
    <cellStyle name="Note 2 8 5" xfId="550" xr:uid="{E5EB6F9F-2C4E-4451-8F39-FB34BD348024}"/>
    <cellStyle name="Note 2 8 5 2" xfId="3714" xr:uid="{0C4E058D-6D9B-41AE-99FC-59D3B48B2ED9}"/>
    <cellStyle name="Note 2 8 6" xfId="1149" xr:uid="{BD619A29-6DBC-4D78-A070-D9DFD38BF06A}"/>
    <cellStyle name="Note 2 8 6 2" xfId="4302" xr:uid="{8E4595BB-FA74-46E6-B0D8-467BB7D81C01}"/>
    <cellStyle name="Note 2 8 7" xfId="1684" xr:uid="{871F5545-580A-48F1-99FF-288AED91A6B6}"/>
    <cellStyle name="Note 2 8 7 2" xfId="4836" xr:uid="{8B344326-3855-4294-82DD-B66061FD54C0}"/>
    <cellStyle name="Note 2 8 8" xfId="3439" xr:uid="{9308001B-C965-408A-B262-CDBE134018FD}"/>
    <cellStyle name="Note 2 9" xfId="136" xr:uid="{B646DA3C-ED45-475D-86C3-B509854E5FD2}"/>
    <cellStyle name="Note 2 9 2" xfId="3456" xr:uid="{379045D4-A24E-4460-A528-08166D55537E}"/>
    <cellStyle name="Output 2" xfId="43" xr:uid="{7236264B-58F2-424A-8AE7-DCC6549AFC4F}"/>
    <cellStyle name="Output 2 10" xfId="203" xr:uid="{9D1EDF50-37C5-4D64-B6EF-151429F5DA63}"/>
    <cellStyle name="Output 2 10 2" xfId="3512" xr:uid="{BF2D7F44-6BDA-4F12-8462-1A51800F2E6B}"/>
    <cellStyle name="Output 2 11" xfId="215" xr:uid="{F35F435B-DD9A-4F64-AC1D-2E341F00EF28}"/>
    <cellStyle name="Output 2 11 2" xfId="3522" xr:uid="{1AB391CD-5C84-4EE7-97ED-1B1894529919}"/>
    <cellStyle name="Output 2 12" xfId="285" xr:uid="{A499CEFC-FEF0-443B-906B-FB2817156A6C}"/>
    <cellStyle name="Output 2 13" xfId="3385" xr:uid="{FA102A25-338F-4AD2-88D4-BCDA3209FC9F}"/>
    <cellStyle name="Output 2 2" xfId="82" xr:uid="{38283834-EDF6-45E7-B996-4A9D3CA1E057}"/>
    <cellStyle name="Output 2 2 10" xfId="221" xr:uid="{EDC01D22-4CF2-4381-B863-27E91B9A773F}"/>
    <cellStyle name="Output 2 2 10 2" xfId="3527" xr:uid="{82E89982-6B0D-4B5A-A155-327699874DFC}"/>
    <cellStyle name="Output 2 2 11" xfId="286" xr:uid="{2C18A3FA-7894-434D-B8EC-A4845A1E203A}"/>
    <cellStyle name="Output 2 2 12" xfId="3413" xr:uid="{D1735788-F00B-4FB4-BC2D-1FD954DDC660}"/>
    <cellStyle name="Output 2 2 2" xfId="74" xr:uid="{123248EE-F945-46BE-89FE-BB1839656951}"/>
    <cellStyle name="Output 2 2 2 10" xfId="3407" xr:uid="{B227D13A-F67A-4594-9DFA-CA30285AD1A6}"/>
    <cellStyle name="Output 2 2 2 2" xfId="159" xr:uid="{D0763E15-7DB6-4E05-8924-F91DD49DAF9C}"/>
    <cellStyle name="Output 2 2 2 2 2" xfId="382" xr:uid="{0719F305-72BC-4792-9816-830D8622E4D7}"/>
    <cellStyle name="Output 2 2 2 2 2 2" xfId="690" xr:uid="{C94D0690-2627-4E01-90F2-F467F17621C9}"/>
    <cellStyle name="Output 2 2 2 2 2 2 2" xfId="3853" xr:uid="{3C918BA8-E98C-42B8-853D-259E84A60763}"/>
    <cellStyle name="Output 2 2 2 2 2 3" xfId="1289" xr:uid="{DD2ABB51-BB79-41C4-AF24-4C5BE2077B93}"/>
    <cellStyle name="Output 2 2 2 2 2 3 2" xfId="4441" xr:uid="{6C36C100-2709-44E4-BD30-B2B28962FFA6}"/>
    <cellStyle name="Output 2 2 2 2 2 4" xfId="1823" xr:uid="{DC755C24-1BE0-4C09-A880-84F70B368675}"/>
    <cellStyle name="Output 2 2 2 2 2 4 2" xfId="4975" xr:uid="{0E8298C4-7D0E-4803-A31A-3789F98E98A5}"/>
    <cellStyle name="Output 2 2 2 2 2 5" xfId="2298" xr:uid="{2059BE73-3270-421E-BC8B-49826EBBF105}"/>
    <cellStyle name="Output 2 2 2 2 2 5 2" xfId="5450" xr:uid="{8463E4B4-8911-4693-81C6-48F1889E4899}"/>
    <cellStyle name="Output 2 2 2 2 2 6" xfId="1627" xr:uid="{D76DA36A-CF50-49B4-8816-E52DB68C67B0}"/>
    <cellStyle name="Output 2 2 2 2 2 6 2" xfId="4779" xr:uid="{48C0BAA2-8563-424B-9875-EDA4DFD9E8B7}"/>
    <cellStyle name="Output 2 2 2 2 2 7" xfId="2520" xr:uid="{D3018610-5977-4AC7-87C5-398A1BB16B80}"/>
    <cellStyle name="Output 2 2 2 2 2 7 2" xfId="5672" xr:uid="{EB8120BF-4DE3-426F-A2AE-A019A951D95D}"/>
    <cellStyle name="Output 2 2 2 2 2 8" xfId="3053" xr:uid="{D9DA518A-94B6-4F99-8236-A2FE4AE3FAF8}"/>
    <cellStyle name="Output 2 2 2 2 2 8 2" xfId="6205" xr:uid="{6B45E62A-0BE1-4803-B795-0D35905B36D3}"/>
    <cellStyle name="Output 2 2 2 2 2 9" xfId="3564" xr:uid="{4FAAE58F-890A-4DD6-B3B5-F6C7D2BA2360}"/>
    <cellStyle name="Output 2 2 2 2 3" xfId="814" xr:uid="{F0E67C07-3407-4627-A540-FE164110BEDB}"/>
    <cellStyle name="Output 2 2 2 2 3 2" xfId="1413" xr:uid="{8E8597D5-7EB9-4255-88A5-9F7FAA095E1F}"/>
    <cellStyle name="Output 2 2 2 2 3 2 2" xfId="4565" xr:uid="{7B5962A5-C949-467A-B79E-DEEDB294C63D}"/>
    <cellStyle name="Output 2 2 2 2 3 3" xfId="1947" xr:uid="{3CD1ABA4-ABF2-43B5-9AA2-EBD2990B6B38}"/>
    <cellStyle name="Output 2 2 2 2 3 3 2" xfId="5099" xr:uid="{E9BE98EB-F56C-4792-9776-5E85985BC812}"/>
    <cellStyle name="Output 2 2 2 2 3 4" xfId="2422" xr:uid="{E6708923-BEB7-4C5E-89B0-82A8F2E23CBD}"/>
    <cellStyle name="Output 2 2 2 2 3 4 2" xfId="5574" xr:uid="{A504C212-CFC8-4C36-A8D7-F4940EA05A7A}"/>
    <cellStyle name="Output 2 2 2 2 3 5" xfId="2637" xr:uid="{54CFDDCD-D223-4108-B43F-C302B78A99D6}"/>
    <cellStyle name="Output 2 2 2 2 3 5 2" xfId="5789" xr:uid="{D86D6AB1-B3D9-4DB2-838A-ADF4D7846A17}"/>
    <cellStyle name="Output 2 2 2 2 3 6" xfId="2161" xr:uid="{53E2A498-D327-488E-8FF5-EB68005B304E}"/>
    <cellStyle name="Output 2 2 2 2 3 6 2" xfId="5313" xr:uid="{AB2822B7-0737-451F-870A-1A010A87D613}"/>
    <cellStyle name="Output 2 2 2 2 3 7" xfId="3177" xr:uid="{C59EF23F-985D-43F8-8B9A-6E17925FC6D2}"/>
    <cellStyle name="Output 2 2 2 2 3 7 2" xfId="6329" xr:uid="{4300B97A-A920-40CC-B3BD-BB42CEB806E6}"/>
    <cellStyle name="Output 2 2 2 2 3 8" xfId="3977" xr:uid="{95761813-8513-482F-B142-6E77AC1EDB7E}"/>
    <cellStyle name="Output 2 2 2 2 4" xfId="933" xr:uid="{402C4126-91FD-4EB9-B232-223F6DD69887}"/>
    <cellStyle name="Output 2 2 2 2 4 2" xfId="1532" xr:uid="{24E5ABB1-A84A-4F54-95A7-32810A58AF83}"/>
    <cellStyle name="Output 2 2 2 2 4 2 2" xfId="4684" xr:uid="{E5CC3981-A836-4806-A0C5-DC533DF68E38}"/>
    <cellStyle name="Output 2 2 2 2 4 3" xfId="2066" xr:uid="{D705524E-689A-4C02-9792-05FD769B8893}"/>
    <cellStyle name="Output 2 2 2 2 4 3 2" xfId="5218" xr:uid="{F1659B4A-D5AD-4AB6-956D-1F93093D3580}"/>
    <cellStyle name="Output 2 2 2 2 4 4" xfId="2715" xr:uid="{F0BE1F1E-24CE-481B-898E-02DD08749C12}"/>
    <cellStyle name="Output 2 2 2 2 4 4 2" xfId="5867" xr:uid="{74189F0A-6337-4857-9B05-8057A6FDE3C2}"/>
    <cellStyle name="Output 2 2 2 2 4 5" xfId="2883" xr:uid="{8867EC17-911A-4A21-A058-8E13F87E8739}"/>
    <cellStyle name="Output 2 2 2 2 4 5 2" xfId="6035" xr:uid="{D99D0039-D962-46FF-978A-60B347DD45EB}"/>
    <cellStyle name="Output 2 2 2 2 4 6" xfId="3296" xr:uid="{95097DC7-CCFB-4574-92F5-F8B57C763B98}"/>
    <cellStyle name="Output 2 2 2 2 4 7" xfId="4096" xr:uid="{CEC4FDD3-AB91-49E2-BB35-AE5C936DE088}"/>
    <cellStyle name="Output 2 2 2 2 5" xfId="513" xr:uid="{71D3B36C-72A7-45BC-93EB-12C33702CF0A}"/>
    <cellStyle name="Output 2 2 2 2 5 2" xfId="3683" xr:uid="{9249E680-C896-475F-A421-ECB8514179E0}"/>
    <cellStyle name="Output 2 2 2 2 6" xfId="1111" xr:uid="{7F230EF4-0EEB-41F8-B50E-744BC805A843}"/>
    <cellStyle name="Output 2 2 2 2 6 2" xfId="4270" xr:uid="{7A5FDD99-C4F1-402C-B348-BB3501635E73}"/>
    <cellStyle name="Output 2 2 2 2 7" xfId="1648" xr:uid="{AF274B83-D863-4358-A265-194A487FEC66}"/>
    <cellStyle name="Output 2 2 2 2 7 2" xfId="4800" xr:uid="{94F43239-E42C-43E2-85C0-19770D05FFFA}"/>
    <cellStyle name="Output 2 2 2 2 8" xfId="3477" xr:uid="{B663D020-7852-405D-9A0F-06C461A17F97}"/>
    <cellStyle name="Output 2 2 2 3" xfId="443" xr:uid="{9C91D471-F5D5-4D74-AE94-B76033B418D5}"/>
    <cellStyle name="Output 2 2 2 3 2" xfId="658" xr:uid="{065101FC-8CAE-40E9-A524-0F1FBB2879C9}"/>
    <cellStyle name="Output 2 2 2 3 2 2" xfId="1257" xr:uid="{E5590FE2-AB18-4473-99C5-1FAA282D81E3}"/>
    <cellStyle name="Output 2 2 2 3 2 2 2" xfId="4409" xr:uid="{85EDFAD3-D035-4544-B5CA-BCD59292AB94}"/>
    <cellStyle name="Output 2 2 2 3 2 3" xfId="1791" xr:uid="{6E97CC01-46C3-4D7B-937D-14BFCCD866F2}"/>
    <cellStyle name="Output 2 2 2 3 2 3 2" xfId="4943" xr:uid="{C402B577-4176-499F-9E42-366B6534D99E}"/>
    <cellStyle name="Output 2 2 2 3 2 4" xfId="2266" xr:uid="{94133A45-EA9C-4680-AFEE-0000AEC72DB1}"/>
    <cellStyle name="Output 2 2 2 3 2 4 2" xfId="5418" xr:uid="{BF3757E9-BC84-4D19-83E4-44CDB54362BD}"/>
    <cellStyle name="Output 2 2 2 3 2 5" xfId="2572" xr:uid="{9AA92A71-0AA0-4AD4-84B2-FBD615991114}"/>
    <cellStyle name="Output 2 2 2 3 2 5 2" xfId="5724" xr:uid="{18761064-5216-4C99-8D92-70DA41914B50}"/>
    <cellStyle name="Output 2 2 2 3 2 6" xfId="2184" xr:uid="{D89C5FB7-1BAB-493F-AA54-6F47CF5EA4AE}"/>
    <cellStyle name="Output 2 2 2 3 2 6 2" xfId="5336" xr:uid="{DA3B2B6D-6E8A-4187-8EF3-E6F8DC1AA81E}"/>
    <cellStyle name="Output 2 2 2 3 2 7" xfId="3021" xr:uid="{6048F158-4D85-4A34-B31A-23033238C951}"/>
    <cellStyle name="Output 2 2 2 3 2 7 2" xfId="6173" xr:uid="{89B589DB-2513-4F2C-9FEB-3268531EDDE0}"/>
    <cellStyle name="Output 2 2 2 3 2 8" xfId="3821" xr:uid="{E5F640AC-7891-4737-90E0-51A821AF5688}"/>
    <cellStyle name="Output 2 2 2 3 3" xfId="868" xr:uid="{6841C687-39B4-439D-BDFC-953344ADD29B}"/>
    <cellStyle name="Output 2 2 2 3 3 2" xfId="1467" xr:uid="{35D70D97-07D0-44E4-AA56-8C0B0BE7EA4E}"/>
    <cellStyle name="Output 2 2 2 3 3 2 2" xfId="4619" xr:uid="{046C0221-25FA-40EF-8ACC-070D95F9C10E}"/>
    <cellStyle name="Output 2 2 2 3 3 3" xfId="2001" xr:uid="{A7231FE3-E283-49F7-A3AC-4E4DAA15FFE1}"/>
    <cellStyle name="Output 2 2 2 3 3 3 2" xfId="5153" xr:uid="{AF0CB6D4-35EA-40BE-9431-3E393DBB9267}"/>
    <cellStyle name="Output 2 2 2 3 3 4" xfId="2476" xr:uid="{BC70AACA-3958-4C9F-881B-A47E6F89C1D1}"/>
    <cellStyle name="Output 2 2 2 3 3 4 2" xfId="5628" xr:uid="{68C570C2-B36F-4DF5-8DDE-54CD0A2CC0B6}"/>
    <cellStyle name="Output 2 2 2 3 3 5" xfId="2663" xr:uid="{35FD8BEB-B9F8-4FF1-BFD0-CF721BC1C1EC}"/>
    <cellStyle name="Output 2 2 2 3 3 5 2" xfId="5815" xr:uid="{099E7D80-F82B-4885-8A66-4E69CA588755}"/>
    <cellStyle name="Output 2 2 2 3 3 6" xfId="2818" xr:uid="{2FBA4EC9-0091-4B17-8B86-91B998521867}"/>
    <cellStyle name="Output 2 2 2 3 3 6 2" xfId="5970" xr:uid="{CEE75B0F-C56C-476B-A402-0801636575FC}"/>
    <cellStyle name="Output 2 2 2 3 3 7" xfId="3231" xr:uid="{CC1D387D-3F72-4C73-B52E-BFF860556D4E}"/>
    <cellStyle name="Output 2 2 2 3 3 7 2" xfId="6383" xr:uid="{8B150DE6-EDCC-4CFD-9760-4C23A7077F71}"/>
    <cellStyle name="Output 2 2 2 3 3 8" xfId="4031" xr:uid="{B5E3FAF0-66F2-499B-BD11-4E2F83F838E4}"/>
    <cellStyle name="Output 2 2 2 3 4" xfId="987" xr:uid="{DF9E4BAA-5967-457A-9AB5-BEEE88B75B54}"/>
    <cellStyle name="Output 2 2 2 3 4 2" xfId="1586" xr:uid="{BB025DDB-5A54-43A4-96A1-67896BD3B8FF}"/>
    <cellStyle name="Output 2 2 2 3 4 2 2" xfId="4738" xr:uid="{B765BB73-0B7D-47F6-9B45-89FF7FB58B9F}"/>
    <cellStyle name="Output 2 2 2 3 4 3" xfId="2120" xr:uid="{7120B207-30E2-4308-A499-72F8E6540925}"/>
    <cellStyle name="Output 2 2 2 3 4 3 2" xfId="5272" xr:uid="{BAD0C824-B1C9-48CF-9BEE-C6FB4B973302}"/>
    <cellStyle name="Output 2 2 2 3 4 4" xfId="2769" xr:uid="{502580E5-0C78-4D61-AD32-723E1D0DEDE9}"/>
    <cellStyle name="Output 2 2 2 3 4 4 2" xfId="5921" xr:uid="{C976548B-ADC6-4B14-8E6C-987066261BDC}"/>
    <cellStyle name="Output 2 2 2 3 4 5" xfId="2937" xr:uid="{64E26A24-B434-46BD-8DA3-0199893A0424}"/>
    <cellStyle name="Output 2 2 2 3 4 5 2" xfId="6089" xr:uid="{E924950C-D18C-4965-96F0-9657C8461EDD}"/>
    <cellStyle name="Output 2 2 2 3 4 6" xfId="3350" xr:uid="{C7DA94AA-2672-4B54-A953-E93430117D76}"/>
    <cellStyle name="Output 2 2 2 3 4 7" xfId="4150" xr:uid="{4FF8DD7F-7E62-4144-BF4E-B4844D0C0016}"/>
    <cellStyle name="Output 2 2 2 3 5" xfId="573" xr:uid="{96F0FE4E-7C8F-40CA-A92F-09E824FD898F}"/>
    <cellStyle name="Output 2 2 2 3 5 2" xfId="3737" xr:uid="{B8DDF657-B14F-4DDB-945C-DD7DC95CBFD6}"/>
    <cellStyle name="Output 2 2 2 3 6" xfId="1172" xr:uid="{1EEA0358-D881-45CB-9FB8-E6C4B9792449}"/>
    <cellStyle name="Output 2 2 2 3 6 2" xfId="4325" xr:uid="{F5E02060-536B-4BC0-8162-B2EDCC54385B}"/>
    <cellStyle name="Output 2 2 2 3 7" xfId="1707" xr:uid="{34C09299-33AA-403A-B4BA-9A978D866553}"/>
    <cellStyle name="Output 2 2 2 3 7 2" xfId="4859" xr:uid="{57742EE9-B4A0-4063-8B3B-63C2F1F5CF40}"/>
    <cellStyle name="Output 2 2 2 3 8" xfId="2569" xr:uid="{808E7471-BB4C-499E-84FA-0A471B125A74}"/>
    <cellStyle name="Output 2 2 2 3 8 2" xfId="5721" xr:uid="{C9A77CC8-841E-481D-AFCC-687DFC97C86C}"/>
    <cellStyle name="Output 2 2 2 3 9" xfId="3618" xr:uid="{74B0C886-8A69-43F6-AF24-9A17ACCFA796}"/>
    <cellStyle name="Output 2 2 2 4" xfId="348" xr:uid="{962455DB-0AF1-4414-95B6-CF983975B2F0}"/>
    <cellStyle name="Output 2 2 2 4 2" xfId="727" xr:uid="{6D708153-BF95-4BEF-9280-1C156E09338B}"/>
    <cellStyle name="Output 2 2 2 4 2 2" xfId="3890" xr:uid="{59342B13-0685-4E13-B050-EB3F84609256}"/>
    <cellStyle name="Output 2 2 2 4 3" xfId="1326" xr:uid="{1A802BC0-96E5-4B10-BA75-4D0FED7610CC}"/>
    <cellStyle name="Output 2 2 2 4 3 2" xfId="4478" xr:uid="{D24931C7-96C7-4329-BD57-15D33177678A}"/>
    <cellStyle name="Output 2 2 2 4 4" xfId="1860" xr:uid="{AF373706-B374-43B1-BF6E-975E3B6C0B71}"/>
    <cellStyle name="Output 2 2 2 4 4 2" xfId="5012" xr:uid="{9AFE9406-7CFF-4E55-9DB3-F95EF2E52D00}"/>
    <cellStyle name="Output 2 2 2 4 5" xfId="2335" xr:uid="{D0D9AABC-1E7D-450E-9BBA-7D78899FFC58}"/>
    <cellStyle name="Output 2 2 2 4 5 2" xfId="5487" xr:uid="{3468DE9A-B94C-49DB-8E6B-EF10825B8CF5}"/>
    <cellStyle name="Output 2 2 2 4 6" xfId="2582" xr:uid="{B2A3530E-6D95-46DD-B805-19916990EAD5}"/>
    <cellStyle name="Output 2 2 2 4 6 2" xfId="5734" xr:uid="{52ECC1CD-472A-4D62-94C6-48FF6A760E02}"/>
    <cellStyle name="Output 2 2 2 4 7" xfId="2517" xr:uid="{E29F879F-9B71-45B8-AFE3-42A6C622B722}"/>
    <cellStyle name="Output 2 2 2 4 7 2" xfId="5669" xr:uid="{5DDBF813-96D2-4E5C-A1BE-A39AFA67AA11}"/>
    <cellStyle name="Output 2 2 2 4 8" xfId="3090" xr:uid="{5E5610B8-67B3-408D-92F1-693082D670DB}"/>
    <cellStyle name="Output 2 2 2 4 8 2" xfId="6242" xr:uid="{83A16808-0733-4811-97A6-B3E74EBFEE0A}"/>
    <cellStyle name="Output 2 2 2 4 9" xfId="3537" xr:uid="{2E8E3EAA-2698-47C9-8FE3-2A32AA1C0963}"/>
    <cellStyle name="Output 2 2 2 5" xfId="787" xr:uid="{5A8D1B94-1346-4524-ADD5-A6921F44D569}"/>
    <cellStyle name="Output 2 2 2 5 2" xfId="1386" xr:uid="{7B8E90C5-AFBA-42B6-8808-F06C5FC50608}"/>
    <cellStyle name="Output 2 2 2 5 2 2" xfId="4538" xr:uid="{CBF7B69B-2D4F-4C0A-9F95-DB9964D00295}"/>
    <cellStyle name="Output 2 2 2 5 3" xfId="1920" xr:uid="{3CC3329F-6075-4B5A-93E2-E0910CF02D81}"/>
    <cellStyle name="Output 2 2 2 5 3 2" xfId="5072" xr:uid="{5F94EF99-CFAE-4912-BC20-F90360E5340D}"/>
    <cellStyle name="Output 2 2 2 5 4" xfId="2395" xr:uid="{4DCD8F07-F16E-437B-B1FE-9EE96A82AD15}"/>
    <cellStyle name="Output 2 2 2 5 4 2" xfId="5547" xr:uid="{16BD7403-4EBA-4AD6-97E2-A5B8DC781024}"/>
    <cellStyle name="Output 2 2 2 5 5" xfId="2624" xr:uid="{B2D395E5-A88E-4EC6-881A-815069867EE1}"/>
    <cellStyle name="Output 2 2 2 5 5 2" xfId="5776" xr:uid="{48303716-3688-4E2F-8B23-0386598771E8}"/>
    <cellStyle name="Output 2 2 2 5 6" xfId="1076" xr:uid="{C9BE8734-FD5A-4214-8144-CBAEFD13AA17}"/>
    <cellStyle name="Output 2 2 2 5 6 2" xfId="4237" xr:uid="{7C46F588-3AB2-49C0-B5F5-4A32A825185B}"/>
    <cellStyle name="Output 2 2 2 5 7" xfId="3150" xr:uid="{FB2B0F4A-A4F9-4E93-86BE-B770AF472141}"/>
    <cellStyle name="Output 2 2 2 5 7 2" xfId="6302" xr:uid="{FED2455E-F0E7-41A9-82C4-45C0D0A87922}"/>
    <cellStyle name="Output 2 2 2 5 8" xfId="3950" xr:uid="{D86E632E-88E4-4636-BC7A-369BA2B7B9A3}"/>
    <cellStyle name="Output 2 2 2 6" xfId="906" xr:uid="{52A7BBCC-AE98-4E35-B1B7-07C1711EB1BD}"/>
    <cellStyle name="Output 2 2 2 6 2" xfId="1505" xr:uid="{B1CB83B8-0C0E-43B1-89AD-A8AAF2374A24}"/>
    <cellStyle name="Output 2 2 2 6 2 2" xfId="4657" xr:uid="{ACE3F969-88DA-4EBE-BC59-1A71D63EE9FB}"/>
    <cellStyle name="Output 2 2 2 6 3" xfId="2039" xr:uid="{2923D02F-5282-4161-8B14-C2C2A96BA502}"/>
    <cellStyle name="Output 2 2 2 6 3 2" xfId="5191" xr:uid="{C395878C-6215-47A1-A93C-E5BE740F9E9D}"/>
    <cellStyle name="Output 2 2 2 6 4" xfId="2688" xr:uid="{B2015614-AABB-423B-A965-DB613C19DE11}"/>
    <cellStyle name="Output 2 2 2 6 4 2" xfId="5840" xr:uid="{A9E63C7B-A608-43DE-AC01-21C66C6817F4}"/>
    <cellStyle name="Output 2 2 2 6 5" xfId="2856" xr:uid="{3FD3890C-B61A-4B88-BE7F-FF3FCAC6C842}"/>
    <cellStyle name="Output 2 2 2 6 5 2" xfId="6008" xr:uid="{DDFF2017-62B6-4692-A4B5-667FA3F57D38}"/>
    <cellStyle name="Output 2 2 2 6 6" xfId="3269" xr:uid="{5B6A8EAD-936C-431C-B37D-B113BA0257B7}"/>
    <cellStyle name="Output 2 2 2 6 7" xfId="4069" xr:uid="{BDBD2CAB-C46C-4710-A9CC-215335161BFB}"/>
    <cellStyle name="Output 2 2 2 7" xfId="484" xr:uid="{455B8DF6-207C-46C3-915F-70B953C97032}"/>
    <cellStyle name="Output 2 2 2 7 2" xfId="3656" xr:uid="{FBE5E86B-F145-40F4-A3F1-7C6A173F0D7B}"/>
    <cellStyle name="Output 2 2 2 8" xfId="1081" xr:uid="{C7F8E7BE-EAED-4EB7-B30B-37F8A930BDA0}"/>
    <cellStyle name="Output 2 2 2 8 2" xfId="4242" xr:uid="{F8D62DC5-2D45-4F3B-A202-14561175B137}"/>
    <cellStyle name="Output 2 2 2 9" xfId="1620" xr:uid="{08DDAA97-D5B8-4BC7-BB26-3D152AA16F1D}"/>
    <cellStyle name="Output 2 2 2 9 2" xfId="4772" xr:uid="{6037100A-7BD1-4D0E-89CE-008AB1DFC0BC}"/>
    <cellStyle name="Output 2 2 3" xfId="95" xr:uid="{7EC42478-4691-4827-85AB-C5415E19D2B5}"/>
    <cellStyle name="Output 2 2 3 2" xfId="175" xr:uid="{9711C405-57F1-4DB0-A795-9D7C6BC432C5}"/>
    <cellStyle name="Output 2 2 3 2 2" xfId="461" xr:uid="{77D7129E-7767-47E1-BF66-8AF745FBD181}"/>
    <cellStyle name="Output 2 2 3 2 2 2" xfId="649" xr:uid="{8C31F264-8C2E-490E-88C3-39802384C9FC}"/>
    <cellStyle name="Output 2 2 3 2 2 2 2" xfId="3812" xr:uid="{F88237E9-5A71-4299-ABB4-1A4E0BF79233}"/>
    <cellStyle name="Output 2 2 3 2 2 3" xfId="1248" xr:uid="{73C500FA-1D74-413D-8EA8-DE2ADA45FEEC}"/>
    <cellStyle name="Output 2 2 3 2 2 3 2" xfId="4400" xr:uid="{6B83F0B0-ADBE-4255-8796-66ED5E725844}"/>
    <cellStyle name="Output 2 2 3 2 2 4" xfId="1782" xr:uid="{A98D9482-F8AA-4E3F-B8F9-091BFC88C981}"/>
    <cellStyle name="Output 2 2 3 2 2 4 2" xfId="4934" xr:uid="{46941F30-6513-4F72-A368-7E19885FEDA2}"/>
    <cellStyle name="Output 2 2 3 2 2 5" xfId="2257" xr:uid="{1F33E814-F96C-4764-AED2-A54AD13D997D}"/>
    <cellStyle name="Output 2 2 3 2 2 5 2" xfId="5409" xr:uid="{D481B61A-A021-4F04-BDD5-50AA3D9B97B6}"/>
    <cellStyle name="Output 2 2 3 2 2 6" xfId="2562" xr:uid="{E1D5AB7E-5EAB-4B6C-B112-7BD89970C816}"/>
    <cellStyle name="Output 2 2 3 2 2 6 2" xfId="5714" xr:uid="{3A7D0ED3-542A-45B5-B4F3-C80ABD76AFF3}"/>
    <cellStyle name="Output 2 2 3 2 2 7" xfId="2518" xr:uid="{20C02963-1589-42B1-B6FE-203C42A113AE}"/>
    <cellStyle name="Output 2 2 3 2 2 7 2" xfId="5670" xr:uid="{80685C3A-C719-4229-824C-82F73724F024}"/>
    <cellStyle name="Output 2 2 3 2 2 8" xfId="3012" xr:uid="{3E2F6E75-F2B2-4343-B9B0-A65FC4649DDC}"/>
    <cellStyle name="Output 2 2 3 2 2 8 2" xfId="6164" xr:uid="{086C9221-6F87-43C2-9C52-725B33B8A7D1}"/>
    <cellStyle name="Output 2 2 3 2 2 9" xfId="3636" xr:uid="{63C4FB32-949E-4193-8A9E-B872B3C8252E}"/>
    <cellStyle name="Output 2 2 3 2 3" xfId="886" xr:uid="{EA12DFE8-49B4-4AA8-BE0D-0587FD017BC2}"/>
    <cellStyle name="Output 2 2 3 2 3 2" xfId="1485" xr:uid="{2F4211BA-6F15-4C2B-B5B6-5F10A27FC721}"/>
    <cellStyle name="Output 2 2 3 2 3 2 2" xfId="4637" xr:uid="{D0783FBF-6C6B-4872-864B-8A1D7DB20E8D}"/>
    <cellStyle name="Output 2 2 3 2 3 3" xfId="2019" xr:uid="{66A8A950-385E-49A8-B17E-030B20D3EA6E}"/>
    <cellStyle name="Output 2 2 3 2 3 3 2" xfId="5171" xr:uid="{871CC2B8-E770-40AA-880F-1FFC5F52541C}"/>
    <cellStyle name="Output 2 2 3 2 3 4" xfId="2494" xr:uid="{60198D82-D041-48A3-9F87-5876C547F45C}"/>
    <cellStyle name="Output 2 2 3 2 3 4 2" xfId="5646" xr:uid="{06DFAE00-7F1A-47DE-B871-337C608C3A0C}"/>
    <cellStyle name="Output 2 2 3 2 3 5" xfId="2673" xr:uid="{6B01A35E-8811-4012-9996-604FD769B044}"/>
    <cellStyle name="Output 2 2 3 2 3 5 2" xfId="5825" xr:uid="{D158069D-CB79-4DC1-9E87-3FFF719F0138}"/>
    <cellStyle name="Output 2 2 3 2 3 6" xfId="2836" xr:uid="{51B7D9A5-6104-40EA-9155-67DC8E04CEFC}"/>
    <cellStyle name="Output 2 2 3 2 3 6 2" xfId="5988" xr:uid="{2EA68F52-0335-4354-93FA-858A1C53D25B}"/>
    <cellStyle name="Output 2 2 3 2 3 7" xfId="3249" xr:uid="{092D5AB8-C8D0-49D4-B1FD-AC74FD043438}"/>
    <cellStyle name="Output 2 2 3 2 3 7 2" xfId="6401" xr:uid="{8C1823C9-B4AB-4687-9592-7FBE6883AF30}"/>
    <cellStyle name="Output 2 2 3 2 3 8" xfId="4049" xr:uid="{574BC7D8-AC04-4DAF-AAC4-B2B1FB9CE2DE}"/>
    <cellStyle name="Output 2 2 3 2 4" xfId="1005" xr:uid="{E370DE36-2031-4AC4-BC27-1B146933413C}"/>
    <cellStyle name="Output 2 2 3 2 4 2" xfId="1604" xr:uid="{2A5D031C-748E-4C18-8057-CE15B2B235A7}"/>
    <cellStyle name="Output 2 2 3 2 4 2 2" xfId="4756" xr:uid="{5552D69F-B9D4-4415-9032-BBE5973607E7}"/>
    <cellStyle name="Output 2 2 3 2 4 3" xfId="2138" xr:uid="{CF2F31D9-4B45-4F27-A1B1-BBD7D4F1B2EC}"/>
    <cellStyle name="Output 2 2 3 2 4 3 2" xfId="5290" xr:uid="{2AA39518-CCD6-43DB-A2E8-4F9FF689AA0C}"/>
    <cellStyle name="Output 2 2 3 2 4 4" xfId="2787" xr:uid="{85672A5E-5D15-4DDC-99EF-D46D94A45D9F}"/>
    <cellStyle name="Output 2 2 3 2 4 4 2" xfId="5939" xr:uid="{A56E5B66-6569-4AB9-987E-BC611B58BBE3}"/>
    <cellStyle name="Output 2 2 3 2 4 5" xfId="2955" xr:uid="{46532EB6-8214-487B-B50B-C6E2714D3B9F}"/>
    <cellStyle name="Output 2 2 3 2 4 5 2" xfId="6107" xr:uid="{DF376D1C-4A55-49BF-8B31-7A33F82A3ADD}"/>
    <cellStyle name="Output 2 2 3 2 4 6" xfId="3368" xr:uid="{226CFD40-24AE-4E5F-A381-A24D0241A8FD}"/>
    <cellStyle name="Output 2 2 3 2 4 7" xfId="4168" xr:uid="{0908B8AB-5AA3-4669-9B2C-5AA51449F473}"/>
    <cellStyle name="Output 2 2 3 2 5" xfId="591" xr:uid="{18368256-5C3A-4269-A4A2-2C203D9369AE}"/>
    <cellStyle name="Output 2 2 3 2 5 2" xfId="3755" xr:uid="{47D30EC0-72B1-4CC9-A307-CE15B9001E3C}"/>
    <cellStyle name="Output 2 2 3 2 6" xfId="1190" xr:uid="{F6C6A054-13B9-4C46-ADF1-DAD90981BF49}"/>
    <cellStyle name="Output 2 2 3 2 6 2" xfId="4343" xr:uid="{966E39BB-2E01-4DA0-8C9D-9BB9527CC085}"/>
    <cellStyle name="Output 2 2 3 2 7" xfId="1725" xr:uid="{B1E7B968-3355-412F-A135-BCA99B4C33D0}"/>
    <cellStyle name="Output 2 2 3 2 7 2" xfId="4877" xr:uid="{12C58C70-9BA9-4E45-80A4-DEACB399795E}"/>
    <cellStyle name="Output 2 2 3 2 8" xfId="3492" xr:uid="{652ACB3A-150A-4EC6-BA34-9E8D40593B6A}"/>
    <cellStyle name="Output 2 2 3 3" xfId="402" xr:uid="{11E5A651-736E-4154-8232-780E47A8AE84}"/>
    <cellStyle name="Output 2 2 3 3 2" xfId="715" xr:uid="{699FFDDB-AB4B-4A94-BA5D-E586031D820A}"/>
    <cellStyle name="Output 2 2 3 3 2 2" xfId="3878" xr:uid="{1DB2FD4C-3838-4805-B391-CA9C7DA43E6D}"/>
    <cellStyle name="Output 2 2 3 3 3" xfId="1314" xr:uid="{699EE461-F3A9-478A-8B29-FD849FE60527}"/>
    <cellStyle name="Output 2 2 3 3 3 2" xfId="4466" xr:uid="{C8F18596-FDB4-4235-B998-7403C06C3E00}"/>
    <cellStyle name="Output 2 2 3 3 4" xfId="1848" xr:uid="{EF2D0013-EAFC-49B4-B923-37523EF4354B}"/>
    <cellStyle name="Output 2 2 3 3 4 2" xfId="5000" xr:uid="{EEA43B2A-33C0-4E54-907B-22A23480D582}"/>
    <cellStyle name="Output 2 2 3 3 5" xfId="2323" xr:uid="{676B5AA6-F3FE-4B11-9D5B-2D2F2D9ECEF2}"/>
    <cellStyle name="Output 2 2 3 3 5 2" xfId="5475" xr:uid="{87BD865E-D0E1-43EA-BF8D-2743FD14D249}"/>
    <cellStyle name="Output 2 2 3 3 6" xfId="1044" xr:uid="{4758B510-949C-4DFB-B592-7E372382DC17}"/>
    <cellStyle name="Output 2 2 3 3 6 2" xfId="4207" xr:uid="{DB20640F-3F92-427B-A8C1-6815A8A31371}"/>
    <cellStyle name="Output 2 2 3 3 7" xfId="1046" xr:uid="{5E11200A-1D98-4973-B93A-30B7BCA31E2E}"/>
    <cellStyle name="Output 2 2 3 3 7 2" xfId="4209" xr:uid="{57F6154A-47EA-4CA6-91D0-667BD333D3E1}"/>
    <cellStyle name="Output 2 2 3 3 8" xfId="3078" xr:uid="{FE1E4583-0CFB-4A02-A367-363ACEE4C9A6}"/>
    <cellStyle name="Output 2 2 3 3 8 2" xfId="6230" xr:uid="{4751ACCB-04DC-4788-903B-5F7F91342A2A}"/>
    <cellStyle name="Output 2 2 3 3 9" xfId="3582" xr:uid="{8B1A16E5-8BD9-4A7D-A8FD-F175BEB14E0F}"/>
    <cellStyle name="Output 2 2 3 4" xfId="832" xr:uid="{911E4734-203A-4698-9761-EFDDD4EA4BC5}"/>
    <cellStyle name="Output 2 2 3 4 2" xfId="1431" xr:uid="{79A6E48A-0EF0-4BE5-9165-9EEB264C4F35}"/>
    <cellStyle name="Output 2 2 3 4 2 2" xfId="4583" xr:uid="{D7F0F279-307B-4C4B-B395-FB0B4642C3DB}"/>
    <cellStyle name="Output 2 2 3 4 3" xfId="1965" xr:uid="{AD5C7967-D265-4D9C-91A8-E232B810C25E}"/>
    <cellStyle name="Output 2 2 3 4 3 2" xfId="5117" xr:uid="{13883C20-91A2-4E26-9651-09C529162BB2}"/>
    <cellStyle name="Output 2 2 3 4 4" xfId="2440" xr:uid="{152D116E-7E03-46FB-8396-A677E86EDD56}"/>
    <cellStyle name="Output 2 2 3 4 4 2" xfId="5592" xr:uid="{FDCE5B5B-886A-47A6-A910-DA2E92B47EAF}"/>
    <cellStyle name="Output 2 2 3 4 5" xfId="2647" xr:uid="{F2E80DA0-712C-4C4F-B044-ED089FE98E81}"/>
    <cellStyle name="Output 2 2 3 4 5 2" xfId="5799" xr:uid="{D5858EFB-8BB2-4288-B195-CE1CDD0C2AFE}"/>
    <cellStyle name="Output 2 2 3 4 6" xfId="2200" xr:uid="{506B6367-D1AB-4D12-A7DB-31D3852BADEA}"/>
    <cellStyle name="Output 2 2 3 4 6 2" xfId="5352" xr:uid="{916C7ED6-B4CB-40D5-A837-AAC61CC10582}"/>
    <cellStyle name="Output 2 2 3 4 7" xfId="3195" xr:uid="{5C1ACCA2-2B5D-4DDC-A0CE-0FEAF98DB832}"/>
    <cellStyle name="Output 2 2 3 4 7 2" xfId="6347" xr:uid="{F5C078ED-DA8A-461A-8B7C-1661AE80E48F}"/>
    <cellStyle name="Output 2 2 3 4 8" xfId="3995" xr:uid="{44F66ACE-CF18-4583-BF60-0E32C7D27E0F}"/>
    <cellStyle name="Output 2 2 3 5" xfId="951" xr:uid="{1FECC608-D537-443E-973C-225390CFB700}"/>
    <cellStyle name="Output 2 2 3 5 2" xfId="1550" xr:uid="{E61C7EB7-65D4-48A0-B207-A4D4B3D44EF9}"/>
    <cellStyle name="Output 2 2 3 5 2 2" xfId="4702" xr:uid="{0DA87B97-CFB0-405A-9709-35D580B2CF0C}"/>
    <cellStyle name="Output 2 2 3 5 3" xfId="2084" xr:uid="{F62AAE12-8551-4253-B5D4-9258CBDF3103}"/>
    <cellStyle name="Output 2 2 3 5 3 2" xfId="5236" xr:uid="{EB9B93D5-4833-44ED-9E02-B43F553E7434}"/>
    <cellStyle name="Output 2 2 3 5 4" xfId="2733" xr:uid="{B2FE7B4A-31C7-4753-9814-7E784D78938D}"/>
    <cellStyle name="Output 2 2 3 5 4 2" xfId="5885" xr:uid="{01A66D26-D5F7-461C-BDEC-6088BF9A97A0}"/>
    <cellStyle name="Output 2 2 3 5 5" xfId="2901" xr:uid="{2B963EC2-EE2A-4D66-AA4D-EB2D2BF28486}"/>
    <cellStyle name="Output 2 2 3 5 5 2" xfId="6053" xr:uid="{8908CABA-C4F9-4423-8141-AF92C736D92C}"/>
    <cellStyle name="Output 2 2 3 5 6" xfId="3314" xr:uid="{05D6041F-FB2A-4A26-B4B3-6E1CE41A09F5}"/>
    <cellStyle name="Output 2 2 3 5 7" xfId="4114" xr:uid="{7FD52383-F2B6-47A0-90B3-2A01078911E3}"/>
    <cellStyle name="Output 2 2 3 6" xfId="532" xr:uid="{F8B287CE-A4D8-44ED-875B-2BE50D86AD2B}"/>
    <cellStyle name="Output 2 2 3 6 2" xfId="3701" xr:uid="{410BA0C2-F052-4668-A620-34667FEEB339}"/>
    <cellStyle name="Output 2 2 3 7" xfId="1130" xr:uid="{E4365C80-DAA5-4364-9067-A097070CE94A}"/>
    <cellStyle name="Output 2 2 3 7 2" xfId="4288" xr:uid="{C7CB464C-9CE3-4DCA-B58F-CFD86FE186EF}"/>
    <cellStyle name="Output 2 2 3 8" xfId="1667" xr:uid="{91ABCD52-5993-45C3-B243-C7F562861C37}"/>
    <cellStyle name="Output 2 2 3 8 2" xfId="4819" xr:uid="{9C11E2B0-2372-4902-9800-8D51AD343509}"/>
    <cellStyle name="Output 2 2 3 9" xfId="3425" xr:uid="{A6EDB98D-2024-450A-8AC8-AB6D3C35FD78}"/>
    <cellStyle name="Output 2 2 4" xfId="100" xr:uid="{178978D9-2C33-4592-A779-2A827E9B9697}"/>
    <cellStyle name="Output 2 2 4 2" xfId="180" xr:uid="{E8D9CDB1-0866-4E85-B255-F4C19427BE29}"/>
    <cellStyle name="Output 2 2 4 2 2" xfId="466" xr:uid="{58CCD814-BC33-409B-AFE5-DFA7D5C45523}"/>
    <cellStyle name="Output 2 2 4 2 2 2" xfId="605" xr:uid="{995B2E62-4A03-40C9-B845-849613D4A5E0}"/>
    <cellStyle name="Output 2 2 4 2 2 2 2" xfId="3768" xr:uid="{5AD64DDE-504B-4696-A776-BAED12AD4260}"/>
    <cellStyle name="Output 2 2 4 2 2 3" xfId="1204" xr:uid="{98B8B80D-261F-4357-B1C1-99239D7D6F46}"/>
    <cellStyle name="Output 2 2 4 2 2 3 2" xfId="4356" xr:uid="{D4A69636-8B8B-4C36-88E7-32981568D3F5}"/>
    <cellStyle name="Output 2 2 4 2 2 4" xfId="1738" xr:uid="{A426F5CE-8A3A-444C-8416-B3747900082A}"/>
    <cellStyle name="Output 2 2 4 2 2 4 2" xfId="4890" xr:uid="{05763D9C-696B-40EA-99CB-5F81F3CFE4A0}"/>
    <cellStyle name="Output 2 2 4 2 2 5" xfId="2213" xr:uid="{C1A707C5-6F78-44B3-B09F-1DEFCD2031DE}"/>
    <cellStyle name="Output 2 2 4 2 2 5 2" xfId="5365" xr:uid="{27442443-9FAB-4247-A91E-8DB28AEB3487}"/>
    <cellStyle name="Output 2 2 4 2 2 6" xfId="1040" xr:uid="{A002523C-172D-42AF-9826-B4016F7BA33B}"/>
    <cellStyle name="Output 2 2 4 2 2 6 2" xfId="4203" xr:uid="{1F78764C-3859-47F1-B2F9-EAF6CBAF7197}"/>
    <cellStyle name="Output 2 2 4 2 2 7" xfId="2634" xr:uid="{2D35BC7D-8456-49AF-838E-12A97F61C3EA}"/>
    <cellStyle name="Output 2 2 4 2 2 7 2" xfId="5786" xr:uid="{53EC9605-AF3B-4EC3-B819-CEF4D9D8DFD2}"/>
    <cellStyle name="Output 2 2 4 2 2 8" xfId="2968" xr:uid="{63A10B1F-1A9A-4BF0-A97D-D698CC0F50F3}"/>
    <cellStyle name="Output 2 2 4 2 2 8 2" xfId="6120" xr:uid="{11A31FEB-2C16-4E87-A9B9-C886DD542CCE}"/>
    <cellStyle name="Output 2 2 4 2 2 9" xfId="3641" xr:uid="{8B3D4549-E567-401A-A02F-CE5F74A04F97}"/>
    <cellStyle name="Output 2 2 4 2 3" xfId="891" xr:uid="{92CD1A97-CF9A-44E7-805D-E4ECD0FA0DE2}"/>
    <cellStyle name="Output 2 2 4 2 3 2" xfId="1490" xr:uid="{DC5A03AB-C172-43EC-8038-D2CA4C82C319}"/>
    <cellStyle name="Output 2 2 4 2 3 2 2" xfId="4642" xr:uid="{967555E1-444D-45A2-84AA-2B74944BA808}"/>
    <cellStyle name="Output 2 2 4 2 3 3" xfId="2024" xr:uid="{D089CC22-E9B9-487D-A958-227CA8A43645}"/>
    <cellStyle name="Output 2 2 4 2 3 3 2" xfId="5176" xr:uid="{9978C151-656A-4012-8836-884B4D15A038}"/>
    <cellStyle name="Output 2 2 4 2 3 4" xfId="2499" xr:uid="{82F300E3-C401-452F-A30C-67D41150B319}"/>
    <cellStyle name="Output 2 2 4 2 3 4 2" xfId="5651" xr:uid="{50316F51-4784-44C2-B7A9-45B1639C3A34}"/>
    <cellStyle name="Output 2 2 4 2 3 5" xfId="2676" xr:uid="{3D0CB040-68C8-4ABB-998E-F471A010DA74}"/>
    <cellStyle name="Output 2 2 4 2 3 5 2" xfId="5828" xr:uid="{C5F086F3-6493-4CC6-B4DD-0738FA3756D1}"/>
    <cellStyle name="Output 2 2 4 2 3 6" xfId="2841" xr:uid="{7256B14B-0675-4E32-9A08-A08790D60FF0}"/>
    <cellStyle name="Output 2 2 4 2 3 6 2" xfId="5993" xr:uid="{30C59F2C-6DE9-44CA-9B0A-DE9BBA728CA9}"/>
    <cellStyle name="Output 2 2 4 2 3 7" xfId="3254" xr:uid="{17911045-301C-4468-9AB9-EC01268951F3}"/>
    <cellStyle name="Output 2 2 4 2 3 7 2" xfId="6406" xr:uid="{68A89A30-1100-4D0E-8BD3-2AE00B754F10}"/>
    <cellStyle name="Output 2 2 4 2 3 8" xfId="4054" xr:uid="{3F5BBF84-D738-4598-87BE-7FB3BE6AC8F5}"/>
    <cellStyle name="Output 2 2 4 2 4" xfId="1010" xr:uid="{B2835239-802A-4CEB-B230-68145A200C5D}"/>
    <cellStyle name="Output 2 2 4 2 4 2" xfId="1609" xr:uid="{4C4B6561-9BF0-4CCD-97A9-367A8FADB677}"/>
    <cellStyle name="Output 2 2 4 2 4 2 2" xfId="4761" xr:uid="{E3F3C17D-C5F4-40C5-A17C-7C886ED2ACC6}"/>
    <cellStyle name="Output 2 2 4 2 4 3" xfId="2143" xr:uid="{E7D2488C-FD54-49F7-98AC-BA8C1F0943C1}"/>
    <cellStyle name="Output 2 2 4 2 4 3 2" xfId="5295" xr:uid="{38B6F637-DADB-45C2-8507-4DE4A054E6F4}"/>
    <cellStyle name="Output 2 2 4 2 4 4" xfId="2792" xr:uid="{698D83C7-6DD0-462F-BD44-C3C4BD4C5E3D}"/>
    <cellStyle name="Output 2 2 4 2 4 4 2" xfId="5944" xr:uid="{CB77A212-9FFB-4463-BE40-0CB660CE3603}"/>
    <cellStyle name="Output 2 2 4 2 4 5" xfId="2960" xr:uid="{0893890D-8203-4BB7-8249-BA5855E54357}"/>
    <cellStyle name="Output 2 2 4 2 4 5 2" xfId="6112" xr:uid="{130714F0-D068-4257-82FB-C8B4E6769E03}"/>
    <cellStyle name="Output 2 2 4 2 4 6" xfId="3373" xr:uid="{9666C409-0096-4EF3-A04C-4C4DA3EC8038}"/>
    <cellStyle name="Output 2 2 4 2 4 7" xfId="4173" xr:uid="{FDABCEBA-60BB-42B9-B50D-DDF2D77E3898}"/>
    <cellStyle name="Output 2 2 4 2 5" xfId="596" xr:uid="{24F1C3C6-A1AE-40D7-9E8E-B91AD2D28CF7}"/>
    <cellStyle name="Output 2 2 4 2 5 2" xfId="3760" xr:uid="{2209EC54-225E-4235-A796-7AADA2B9E824}"/>
    <cellStyle name="Output 2 2 4 2 6" xfId="1195" xr:uid="{D614F68F-A13F-484E-9216-FA3167BD878F}"/>
    <cellStyle name="Output 2 2 4 2 6 2" xfId="4348" xr:uid="{9F544FC0-00C4-4BB6-BC96-5A646D6EF3DF}"/>
    <cellStyle name="Output 2 2 4 2 7" xfId="1730" xr:uid="{40C13BEF-CCF7-4101-8D0D-C18CA5908AB3}"/>
    <cellStyle name="Output 2 2 4 2 7 2" xfId="4882" xr:uid="{628235C5-49DB-4545-A78A-D42BA933C468}"/>
    <cellStyle name="Output 2 2 4 2 8" xfId="3497" xr:uid="{2503D739-7D7D-4EE0-B403-E445B38013A3}"/>
    <cellStyle name="Output 2 2 4 3" xfId="407" xr:uid="{252FC89B-5E7D-441B-A3B3-DB0F0EBEA70F}"/>
    <cellStyle name="Output 2 2 4 3 2" xfId="695" xr:uid="{06195601-9563-41B8-B399-9E7A73EBDBEA}"/>
    <cellStyle name="Output 2 2 4 3 2 2" xfId="3858" xr:uid="{CF8E7D69-5E0B-4EC1-81B3-9E7C5F26D73C}"/>
    <cellStyle name="Output 2 2 4 3 3" xfId="1294" xr:uid="{3A3CA8A7-924C-473D-8C9F-9E15C43A6CAC}"/>
    <cellStyle name="Output 2 2 4 3 3 2" xfId="4446" xr:uid="{9CB16F9F-B064-4347-AC83-AC2428601CFF}"/>
    <cellStyle name="Output 2 2 4 3 4" xfId="1828" xr:uid="{8ED62073-4232-40E1-A64C-872B89A8D811}"/>
    <cellStyle name="Output 2 2 4 3 4 2" xfId="4980" xr:uid="{34EA200F-34B0-48C5-ACDB-008C8B3EF714}"/>
    <cellStyle name="Output 2 2 4 3 5" xfId="2303" xr:uid="{3AC06549-A78C-44FB-9FBC-D0A586788188}"/>
    <cellStyle name="Output 2 2 4 3 5 2" xfId="5455" xr:uid="{F67FAA8B-AD60-42F6-9047-47FB0541B701}"/>
    <cellStyle name="Output 2 2 4 3 6" xfId="1049" xr:uid="{55C958F6-6BF9-4DBB-B7C0-7880FB0CFF95}"/>
    <cellStyle name="Output 2 2 4 3 6 2" xfId="4212" xr:uid="{CDD610E5-6479-417A-9CF9-17F6318F2B01}"/>
    <cellStyle name="Output 2 2 4 3 7" xfId="2541" xr:uid="{239DF49A-408A-426F-9800-4268205EF57D}"/>
    <cellStyle name="Output 2 2 4 3 7 2" xfId="5693" xr:uid="{1B5D157F-9E47-4237-B6B5-C26A9B7A4CC6}"/>
    <cellStyle name="Output 2 2 4 3 8" xfId="3058" xr:uid="{09313FB7-9261-4E37-9816-1260B1F09A6E}"/>
    <cellStyle name="Output 2 2 4 3 8 2" xfId="6210" xr:uid="{59B712F9-6DAE-412B-882A-8C95175D80E6}"/>
    <cellStyle name="Output 2 2 4 3 9" xfId="3587" xr:uid="{C2F143BC-C7DA-4259-9D68-4A0AE2481473}"/>
    <cellStyle name="Output 2 2 4 4" xfId="837" xr:uid="{EAE16D5B-F301-4BF0-B026-377A37A58371}"/>
    <cellStyle name="Output 2 2 4 4 2" xfId="1436" xr:uid="{123D5F3E-9009-46FC-8324-AD4E2622DBC5}"/>
    <cellStyle name="Output 2 2 4 4 2 2" xfId="4588" xr:uid="{0A39E643-DD53-4296-8447-DCA755CB8493}"/>
    <cellStyle name="Output 2 2 4 4 3" xfId="1970" xr:uid="{9A98C7E8-57FD-4C5B-B19C-4F3D01BD0D34}"/>
    <cellStyle name="Output 2 2 4 4 3 2" xfId="5122" xr:uid="{916DD28D-1151-49BD-8B58-937011283A24}"/>
    <cellStyle name="Output 2 2 4 4 4" xfId="2445" xr:uid="{59081B45-B336-461C-B70D-B59D6DE51A97}"/>
    <cellStyle name="Output 2 2 4 4 4 2" xfId="5597" xr:uid="{2065F3BD-4DD4-47D2-A183-0D6022B96443}"/>
    <cellStyle name="Output 2 2 4 4 5" xfId="2650" xr:uid="{BAC8B4C1-14B5-4613-A6E9-63D540C22ED2}"/>
    <cellStyle name="Output 2 2 4 4 5 2" xfId="5802" xr:uid="{B24507E8-E9E4-467D-B219-CF7F9DCF487C}"/>
    <cellStyle name="Output 2 2 4 4 6" xfId="2159" xr:uid="{DFA7C5A6-BB1D-4915-934C-DF4E3492B3EE}"/>
    <cellStyle name="Output 2 2 4 4 6 2" xfId="5311" xr:uid="{559D7EE3-31E8-470B-8ABF-A87596C67688}"/>
    <cellStyle name="Output 2 2 4 4 7" xfId="3200" xr:uid="{0DC44F48-7A0F-4270-893A-68A2F04EF987}"/>
    <cellStyle name="Output 2 2 4 4 7 2" xfId="6352" xr:uid="{6727C2B8-0ED4-466A-B299-6ACE757255DD}"/>
    <cellStyle name="Output 2 2 4 4 8" xfId="4000" xr:uid="{9899ECCB-588E-45E9-9A31-7E3860710679}"/>
    <cellStyle name="Output 2 2 4 5" xfId="956" xr:uid="{CA9D981C-E409-4F80-A194-205748D13DC2}"/>
    <cellStyle name="Output 2 2 4 5 2" xfId="1555" xr:uid="{C205B474-CF99-46CE-A25E-50C0456B2CE4}"/>
    <cellStyle name="Output 2 2 4 5 2 2" xfId="4707" xr:uid="{DFABCF90-941C-4E8C-9DC8-10ACDE334352}"/>
    <cellStyle name="Output 2 2 4 5 3" xfId="2089" xr:uid="{04E53607-08B7-42FF-B083-8CB15B11EFED}"/>
    <cellStyle name="Output 2 2 4 5 3 2" xfId="5241" xr:uid="{595C1F8E-1632-443E-A7DC-17F429466304}"/>
    <cellStyle name="Output 2 2 4 5 4" xfId="2738" xr:uid="{71D099E3-26F4-4B5E-9851-E395DCEBE9B0}"/>
    <cellStyle name="Output 2 2 4 5 4 2" xfId="5890" xr:uid="{0369D596-8AEB-4CD4-ABE3-8E63FCC87CB1}"/>
    <cellStyle name="Output 2 2 4 5 5" xfId="2906" xr:uid="{50CD625B-0B30-4E68-B777-98794C4C6593}"/>
    <cellStyle name="Output 2 2 4 5 5 2" xfId="6058" xr:uid="{EF315113-64A6-48A7-A475-1AB2753D2173}"/>
    <cellStyle name="Output 2 2 4 5 6" xfId="3319" xr:uid="{38AF5C21-4F13-4324-9E17-888EB6ED4416}"/>
    <cellStyle name="Output 2 2 4 5 7" xfId="4119" xr:uid="{2EE232F0-D902-442C-AA83-A6E7C21A04D5}"/>
    <cellStyle name="Output 2 2 4 6" xfId="537" xr:uid="{9D8AF3F1-FE7B-42D7-8DB1-6414CF6FB09D}"/>
    <cellStyle name="Output 2 2 4 6 2" xfId="3706" xr:uid="{B5DEEC59-2B52-4961-BBED-DBBA6C6E26A8}"/>
    <cellStyle name="Output 2 2 4 7" xfId="1135" xr:uid="{DD3EE049-815B-452A-ACB9-78F79901E190}"/>
    <cellStyle name="Output 2 2 4 7 2" xfId="4293" xr:uid="{4E73E166-6AAE-47E9-BAF5-7E87BD15E62D}"/>
    <cellStyle name="Output 2 2 4 8" xfId="1672" xr:uid="{F8AE79F0-E79F-48F7-A624-92CA0B71F87A}"/>
    <cellStyle name="Output 2 2 4 8 2" xfId="4824" xr:uid="{4FC4C589-0908-43D2-82C7-0DFF22D66591}"/>
    <cellStyle name="Output 2 2 4 9" xfId="3430" xr:uid="{79E216F0-024F-4F87-84BB-7851C58FD168}"/>
    <cellStyle name="Output 2 2 5" xfId="105" xr:uid="{6995087D-F283-4F13-8924-256C71CBEAD6}"/>
    <cellStyle name="Output 2 2 5 2" xfId="185" xr:uid="{F07CC654-9E62-40F3-ABDA-B64CF8464CFB}"/>
    <cellStyle name="Output 2 2 5 2 2" xfId="471" xr:uid="{07328570-BB64-41F1-A30B-DEBFF20AA722}"/>
    <cellStyle name="Output 2 2 5 2 2 2" xfId="731" xr:uid="{40A94BB3-AF28-4AF0-9D64-E2196DE1D1D3}"/>
    <cellStyle name="Output 2 2 5 2 2 2 2" xfId="3894" xr:uid="{200213BA-4D1C-4A89-A07D-3D96C87EE4E3}"/>
    <cellStyle name="Output 2 2 5 2 2 3" xfId="1330" xr:uid="{369459FA-3AFC-4971-A495-CD6B3CE874B3}"/>
    <cellStyle name="Output 2 2 5 2 2 3 2" xfId="4482" xr:uid="{48C8F857-BBBB-4901-83E4-1AB7C4295EBB}"/>
    <cellStyle name="Output 2 2 5 2 2 4" xfId="1864" xr:uid="{B58360AA-0AC3-4ACE-927F-9E0D4C3BBB9E}"/>
    <cellStyle name="Output 2 2 5 2 2 4 2" xfId="5016" xr:uid="{BFB12505-5B59-4EEF-A136-D5AE8B8ACA8D}"/>
    <cellStyle name="Output 2 2 5 2 2 5" xfId="2339" xr:uid="{F03EC24D-ADF2-48DF-AA0A-5781B7C4A731}"/>
    <cellStyle name="Output 2 2 5 2 2 5 2" xfId="5491" xr:uid="{DE6BF6E0-1FC9-4F8E-B81D-5F55AE6BAED2}"/>
    <cellStyle name="Output 2 2 5 2 2 6" xfId="2585" xr:uid="{9045EEE6-BFB6-47A9-84FD-C5A90BA8399A}"/>
    <cellStyle name="Output 2 2 5 2 2 6 2" xfId="5737" xr:uid="{B557B637-C3D3-4ABB-BE12-0C241D35E112}"/>
    <cellStyle name="Output 2 2 5 2 2 7" xfId="2185" xr:uid="{7F433AA9-16FC-498D-90AF-C543FF2B9FE0}"/>
    <cellStyle name="Output 2 2 5 2 2 7 2" xfId="5337" xr:uid="{D516A79F-B0CE-4633-929C-CAC3249AF74E}"/>
    <cellStyle name="Output 2 2 5 2 2 8" xfId="3094" xr:uid="{BB8D5F89-F6AE-49E7-805F-1B95EFE059CC}"/>
    <cellStyle name="Output 2 2 5 2 2 8 2" xfId="6246" xr:uid="{A4D5C5FD-6613-4DE6-A6F6-9F2543DBB1A6}"/>
    <cellStyle name="Output 2 2 5 2 2 9" xfId="3646" xr:uid="{BE983947-F44E-44DD-9866-D6D059B3E28D}"/>
    <cellStyle name="Output 2 2 5 2 3" xfId="896" xr:uid="{1A3D89B8-EC56-45AB-95CF-FC51BD7EEE2D}"/>
    <cellStyle name="Output 2 2 5 2 3 2" xfId="1495" xr:uid="{ECBA60AA-CE49-4CA8-BB37-345E027A486E}"/>
    <cellStyle name="Output 2 2 5 2 3 2 2" xfId="4647" xr:uid="{85D88AD4-96B2-4A1B-AD6E-8033D4C9D6B3}"/>
    <cellStyle name="Output 2 2 5 2 3 3" xfId="2029" xr:uid="{E6426F4E-3D7C-4B60-B18C-6C7C6D492A48}"/>
    <cellStyle name="Output 2 2 5 2 3 3 2" xfId="5181" xr:uid="{075EEE0F-CCD7-4C85-A9A8-576134596C4A}"/>
    <cellStyle name="Output 2 2 5 2 3 4" xfId="2504" xr:uid="{9C65C681-24F2-4479-8B89-0F5DD3CF5BAC}"/>
    <cellStyle name="Output 2 2 5 2 3 4 2" xfId="5656" xr:uid="{859E9615-9AE5-4783-8ACF-04E79DC1A056}"/>
    <cellStyle name="Output 2 2 5 2 3 5" xfId="2679" xr:uid="{439DE6BD-8A9F-40C0-A325-5F072C12C5A6}"/>
    <cellStyle name="Output 2 2 5 2 3 5 2" xfId="5831" xr:uid="{BBADF439-B829-43F8-937B-B90BAAC5AB65}"/>
    <cellStyle name="Output 2 2 5 2 3 6" xfId="2846" xr:uid="{AF6ACAAF-43F6-4C0B-9189-98428FB68E45}"/>
    <cellStyle name="Output 2 2 5 2 3 6 2" xfId="5998" xr:uid="{543B5362-E905-405F-AB8D-936D24E2039A}"/>
    <cellStyle name="Output 2 2 5 2 3 7" xfId="3259" xr:uid="{D2573D25-B44F-4A5D-86FA-383FC5D3B276}"/>
    <cellStyle name="Output 2 2 5 2 3 7 2" xfId="6411" xr:uid="{E621D07F-8584-4E59-AA2C-BC4293F2C4F0}"/>
    <cellStyle name="Output 2 2 5 2 3 8" xfId="4059" xr:uid="{1B484381-F2C7-401F-ADC0-B7D6624BB72B}"/>
    <cellStyle name="Output 2 2 5 2 4" xfId="1015" xr:uid="{09DC6C5B-82A3-430C-B0CA-A5B5374B6105}"/>
    <cellStyle name="Output 2 2 5 2 4 2" xfId="1614" xr:uid="{3B34F94F-719E-43A7-873C-656AFB44518C}"/>
    <cellStyle name="Output 2 2 5 2 4 2 2" xfId="4766" xr:uid="{749E3EE0-D790-4BEF-9472-76828CD17772}"/>
    <cellStyle name="Output 2 2 5 2 4 3" xfId="2148" xr:uid="{4E02E1B2-8B61-47D4-91E8-68EB2E8623AC}"/>
    <cellStyle name="Output 2 2 5 2 4 3 2" xfId="5300" xr:uid="{BBB1E62B-DAEF-4230-8992-CEE6EA48FBF4}"/>
    <cellStyle name="Output 2 2 5 2 4 4" xfId="2797" xr:uid="{200B742E-FEEF-4638-8190-56CCDC87319D}"/>
    <cellStyle name="Output 2 2 5 2 4 4 2" xfId="5949" xr:uid="{A48ABFE6-87E5-4FE8-A870-637CC1F55CE1}"/>
    <cellStyle name="Output 2 2 5 2 4 5" xfId="2965" xr:uid="{D592CA8A-CD8F-4849-AB9E-1BAE004FFD68}"/>
    <cellStyle name="Output 2 2 5 2 4 5 2" xfId="6117" xr:uid="{9DD1779D-893B-4FB0-AD8F-9125016834E7}"/>
    <cellStyle name="Output 2 2 5 2 4 6" xfId="3378" xr:uid="{81253225-8085-4730-81E3-AAD893CB7A17}"/>
    <cellStyle name="Output 2 2 5 2 4 7" xfId="4178" xr:uid="{D28127FF-F684-48ED-8A5F-CBA85037A72B}"/>
    <cellStyle name="Output 2 2 5 2 5" xfId="601" xr:uid="{F5BFB098-C370-4C9F-A26A-C8E5832F07D9}"/>
    <cellStyle name="Output 2 2 5 2 5 2" xfId="3765" xr:uid="{98AF18D3-09AB-4C59-B77A-CBDDEA7D4ED8}"/>
    <cellStyle name="Output 2 2 5 2 6" xfId="1200" xr:uid="{ECD9E585-ECC0-437D-B954-59CD9155AD36}"/>
    <cellStyle name="Output 2 2 5 2 6 2" xfId="4353" xr:uid="{0F848992-2C4C-4A77-90C2-977A60C950C9}"/>
    <cellStyle name="Output 2 2 5 2 7" xfId="1735" xr:uid="{C847D657-7AE8-4947-94FB-021E1345D6FF}"/>
    <cellStyle name="Output 2 2 5 2 7 2" xfId="4887" xr:uid="{313773DC-4BE8-4DC7-82C1-DC66B56046DF}"/>
    <cellStyle name="Output 2 2 5 2 8" xfId="3502" xr:uid="{405A94D3-050D-4BCB-A7A4-56C82B520A1D}"/>
    <cellStyle name="Output 2 2 5 3" xfId="412" xr:uid="{131A1102-5EA9-4CE5-80A8-2C7435FD229C}"/>
    <cellStyle name="Output 2 2 5 3 2" xfId="724" xr:uid="{7A602288-82A4-41B5-95A8-5A2C0420EAE8}"/>
    <cellStyle name="Output 2 2 5 3 2 2" xfId="3887" xr:uid="{4E06E419-2894-4F9B-AE13-206407E022CB}"/>
    <cellStyle name="Output 2 2 5 3 3" xfId="1323" xr:uid="{F20C6BAA-D700-412E-94D1-6F60551DDF40}"/>
    <cellStyle name="Output 2 2 5 3 3 2" xfId="4475" xr:uid="{83D27144-116C-4314-8312-7E7B621DDB18}"/>
    <cellStyle name="Output 2 2 5 3 4" xfId="1857" xr:uid="{1E58D2AE-9C5D-4559-A037-B4CD1ED30B25}"/>
    <cellStyle name="Output 2 2 5 3 4 2" xfId="5009" xr:uid="{3E27F6BB-D474-462D-A91F-8EC184D85A1B}"/>
    <cellStyle name="Output 2 2 5 3 5" xfId="2332" xr:uid="{3A3987E4-23DC-4279-8DE2-9AA5D5F28194}"/>
    <cellStyle name="Output 2 2 5 3 5 2" xfId="5484" xr:uid="{7207A0BD-E123-4292-BC8C-7C4026DBB1E8}"/>
    <cellStyle name="Output 2 2 5 3 6" xfId="2579" xr:uid="{57D57047-97EF-4BDC-ACAC-7140B61E3977}"/>
    <cellStyle name="Output 2 2 5 3 6 2" xfId="5731" xr:uid="{14479531-82E5-438E-8DAF-1BCFE247E28A}"/>
    <cellStyle name="Output 2 2 5 3 7" xfId="2657" xr:uid="{5CE65E3B-DEB4-41E7-843A-20F6A90221B7}"/>
    <cellStyle name="Output 2 2 5 3 7 2" xfId="5809" xr:uid="{8E054CCA-674C-4EFD-A571-3821441EEADB}"/>
    <cellStyle name="Output 2 2 5 3 8" xfId="3087" xr:uid="{CB86F9E6-5EE5-4103-9209-8C46EA640571}"/>
    <cellStyle name="Output 2 2 5 3 8 2" xfId="6239" xr:uid="{11BE1A60-1B2C-431C-9F20-635C51518F1B}"/>
    <cellStyle name="Output 2 2 5 3 9" xfId="3592" xr:uid="{D90BF2CF-E864-4428-8F49-47B0729D1437}"/>
    <cellStyle name="Output 2 2 5 4" xfId="842" xr:uid="{D7E6FA3E-0B3F-452F-9C1B-EE1FE1FF03F7}"/>
    <cellStyle name="Output 2 2 5 4 2" xfId="1441" xr:uid="{55AE7291-AF4F-4363-A2F2-CE6497720F6A}"/>
    <cellStyle name="Output 2 2 5 4 2 2" xfId="4593" xr:uid="{BBF08E28-3A54-4413-9D6F-8E50A5C37216}"/>
    <cellStyle name="Output 2 2 5 4 3" xfId="1975" xr:uid="{4FEDD101-5842-48E5-937D-705889902BF2}"/>
    <cellStyle name="Output 2 2 5 4 3 2" xfId="5127" xr:uid="{7E430154-CA20-4F1D-9A34-2E6CC3F65366}"/>
    <cellStyle name="Output 2 2 5 4 4" xfId="2450" xr:uid="{75B6D640-C813-4DA5-AC6D-3F8924BFC24A}"/>
    <cellStyle name="Output 2 2 5 4 4 2" xfId="5602" xr:uid="{DBC3204E-AF9A-4F66-A477-E6F3DA0D2EF5}"/>
    <cellStyle name="Output 2 2 5 4 5" xfId="2653" xr:uid="{E3C4B887-D9E9-4B0C-8AD8-A088D3F86CB0}"/>
    <cellStyle name="Output 2 2 5 4 5 2" xfId="5805" xr:uid="{E9E17B62-5CA3-4855-92E9-82265E8B6C51}"/>
    <cellStyle name="Output 2 2 5 4 6" xfId="2552" xr:uid="{C68C442B-E298-47E4-A969-74502F7B6834}"/>
    <cellStyle name="Output 2 2 5 4 6 2" xfId="5704" xr:uid="{AB262D61-A3DA-430C-936F-31EEDBCD9507}"/>
    <cellStyle name="Output 2 2 5 4 7" xfId="3205" xr:uid="{172BB9D3-E77B-4619-A161-8F12F02E1C9E}"/>
    <cellStyle name="Output 2 2 5 4 7 2" xfId="6357" xr:uid="{248FA2C8-4AD9-4482-A1DD-83B349470C4C}"/>
    <cellStyle name="Output 2 2 5 4 8" xfId="4005" xr:uid="{D8D3E108-8A23-48A3-88CA-D844EB619545}"/>
    <cellStyle name="Output 2 2 5 5" xfId="961" xr:uid="{0A260A8B-2E47-4602-994A-9C635B6690AA}"/>
    <cellStyle name="Output 2 2 5 5 2" xfId="1560" xr:uid="{AF4A5619-C302-4725-BF47-0CE77C90C3AD}"/>
    <cellStyle name="Output 2 2 5 5 2 2" xfId="4712" xr:uid="{2F09A772-3EF5-4D88-AAEA-67780C263864}"/>
    <cellStyle name="Output 2 2 5 5 3" xfId="2094" xr:uid="{E0544C76-6D6E-4E12-9772-553194FB746B}"/>
    <cellStyle name="Output 2 2 5 5 3 2" xfId="5246" xr:uid="{8DB9FC4E-D68F-4433-82FE-33918DBB3333}"/>
    <cellStyle name="Output 2 2 5 5 4" xfId="2743" xr:uid="{DDCF03D9-1B80-4BBB-8B54-4DC65F40954E}"/>
    <cellStyle name="Output 2 2 5 5 4 2" xfId="5895" xr:uid="{7EF0FC03-664A-4EDC-88E8-37D2E11963E2}"/>
    <cellStyle name="Output 2 2 5 5 5" xfId="2911" xr:uid="{64CDBD49-8953-433E-9663-848656C97493}"/>
    <cellStyle name="Output 2 2 5 5 5 2" xfId="6063" xr:uid="{3096728D-40F8-4245-B76F-197DB6BF6164}"/>
    <cellStyle name="Output 2 2 5 5 6" xfId="3324" xr:uid="{3F798A69-7F39-492A-BF92-EB3B660A591F}"/>
    <cellStyle name="Output 2 2 5 5 7" xfId="4124" xr:uid="{990E81C7-5F2C-4093-AAEC-EDB2C17A16F7}"/>
    <cellStyle name="Output 2 2 5 6" xfId="542" xr:uid="{642F29A2-A372-485B-90B2-AA98A72E97AB}"/>
    <cellStyle name="Output 2 2 5 6 2" xfId="3711" xr:uid="{664C4657-6AE2-4AFF-A1DE-EEAE5D97FB40}"/>
    <cellStyle name="Output 2 2 5 7" xfId="1140" xr:uid="{980D7E15-5316-48D6-A0B5-D79A69E794BE}"/>
    <cellStyle name="Output 2 2 5 7 2" xfId="4298" xr:uid="{D959CB0E-C55C-40D4-8985-69A589FA3D34}"/>
    <cellStyle name="Output 2 2 5 8" xfId="1677" xr:uid="{BD9BD580-7BC5-4B51-BFFC-6327715A83B7}"/>
    <cellStyle name="Output 2 2 5 8 2" xfId="4829" xr:uid="{439E4E66-737A-400C-9457-511129B23ACD}"/>
    <cellStyle name="Output 2 2 5 9" xfId="3435" xr:uid="{CFDFB593-02F9-41DE-91E5-46AAFB81E334}"/>
    <cellStyle name="Output 2 2 6" xfId="123" xr:uid="{08E3094D-162F-455D-809F-C41812BC4EAF}"/>
    <cellStyle name="Output 2 2 6 2" xfId="198" xr:uid="{ED11E8B6-8E9F-4F7A-95C2-D5380C2B3F33}"/>
    <cellStyle name="Output 2 2 6 2 2" xfId="632" xr:uid="{41633736-0D32-4445-A993-7D5ED8D5EF66}"/>
    <cellStyle name="Output 2 2 6 2 2 2" xfId="3795" xr:uid="{D7982D6F-6EDE-4E76-B569-08EC73A9A492}"/>
    <cellStyle name="Output 2 2 6 2 3" xfId="1231" xr:uid="{FF29EAC8-31DB-4842-BF31-DD081E17BB5F}"/>
    <cellStyle name="Output 2 2 6 2 3 2" xfId="4383" xr:uid="{222321C5-F882-4D19-B22F-C4934C53D0C4}"/>
    <cellStyle name="Output 2 2 6 2 4" xfId="1765" xr:uid="{8409ECAA-1BBC-428A-9A8C-C969565B4D81}"/>
    <cellStyle name="Output 2 2 6 2 4 2" xfId="4917" xr:uid="{6EC0B2E4-1451-49DC-A823-862F21638B76}"/>
    <cellStyle name="Output 2 2 6 2 5" xfId="2240" xr:uid="{FCC7E927-4D69-48FA-AEAE-B861EFBCA1A3}"/>
    <cellStyle name="Output 2 2 6 2 5 2" xfId="5392" xr:uid="{93BAC1CC-A3E3-427C-A5B3-01D26DA5364D}"/>
    <cellStyle name="Output 2 2 6 2 6" xfId="1023" xr:uid="{0A30FFB3-26EE-4B07-AB9E-7788010C6EAC}"/>
    <cellStyle name="Output 2 2 6 2 6 2" xfId="4186" xr:uid="{7459A886-AD3C-491B-97B0-3857CBD549E0}"/>
    <cellStyle name="Output 2 2 6 2 7" xfId="2995" xr:uid="{7FE05928-4188-45E7-A9B5-568AA154C3AB}"/>
    <cellStyle name="Output 2 2 6 2 7 2" xfId="6147" xr:uid="{301F83EB-A33B-44B3-83C4-DCDCD6C25E09}"/>
    <cellStyle name="Output 2 2 6 2 8" xfId="3508" xr:uid="{77AE2A9F-DA8D-4C72-9BF5-BA263AE99144}"/>
    <cellStyle name="Output 2 2 6 3" xfId="389" xr:uid="{2750E7D6-4CB7-4186-8031-182002465512}"/>
    <cellStyle name="Output 2 2 6 3 2" xfId="820" xr:uid="{31646960-AAE1-4180-8E9B-37287A2EE2B2}"/>
    <cellStyle name="Output 2 2 6 3 2 2" xfId="3983" xr:uid="{C4448C48-4363-4F51-8480-3B3F2333EB5D}"/>
    <cellStyle name="Output 2 2 6 3 3" xfId="1419" xr:uid="{B342562E-CB61-4007-AC70-B120C39BFBD0}"/>
    <cellStyle name="Output 2 2 6 3 3 2" xfId="4571" xr:uid="{B47A1FA8-3F26-4809-844A-4FB74F2E4B72}"/>
    <cellStyle name="Output 2 2 6 3 4" xfId="1953" xr:uid="{0255C08D-97CB-46DE-A578-99024D57B39B}"/>
    <cellStyle name="Output 2 2 6 3 4 2" xfId="5105" xr:uid="{CBC8DC90-4136-48D4-8F6E-5CBEFF875E3B}"/>
    <cellStyle name="Output 2 2 6 3 5" xfId="2428" xr:uid="{7F896018-8960-40E0-978A-F5CA2B6627A9}"/>
    <cellStyle name="Output 2 2 6 3 5 2" xfId="5580" xr:uid="{94016383-439A-4365-ACEF-B8648429558E}"/>
    <cellStyle name="Output 2 2 6 3 6" xfId="2640" xr:uid="{CC527F41-00E9-4FBB-B9A7-6242861A5094}"/>
    <cellStyle name="Output 2 2 6 3 6 2" xfId="5792" xr:uid="{5CF35FFB-0DB1-4B78-9F2D-C5BACFB9B1E0}"/>
    <cellStyle name="Output 2 2 6 3 7" xfId="2522" xr:uid="{365C052C-3995-4CF0-9A27-CF4630DF1B61}"/>
    <cellStyle name="Output 2 2 6 3 7 2" xfId="5674" xr:uid="{AB9C3A61-C7A0-475E-995C-A935EC8250D6}"/>
    <cellStyle name="Output 2 2 6 3 8" xfId="3183" xr:uid="{66320F4F-9451-442E-AE4C-F088ED7F1808}"/>
    <cellStyle name="Output 2 2 6 3 8 2" xfId="6335" xr:uid="{B771BCB4-BC66-4A06-8128-358D469DD490}"/>
    <cellStyle name="Output 2 2 6 3 9" xfId="3570" xr:uid="{828582C5-5B5D-4420-BE85-3E7D667E6B3B}"/>
    <cellStyle name="Output 2 2 6 4" xfId="939" xr:uid="{5859DE30-7819-493B-87DB-B2F84BA4B32D}"/>
    <cellStyle name="Output 2 2 6 4 2" xfId="1538" xr:uid="{E4B29762-EA5C-4D8E-97C1-101D7D85195F}"/>
    <cellStyle name="Output 2 2 6 4 2 2" xfId="4690" xr:uid="{606E8936-976F-46C5-AC85-3C4942B79BA1}"/>
    <cellStyle name="Output 2 2 6 4 3" xfId="2072" xr:uid="{AD168403-B0CF-4A1C-BBC4-CF244FFD7571}"/>
    <cellStyle name="Output 2 2 6 4 3 2" xfId="5224" xr:uid="{01B0ADA3-7F0B-4197-9643-115873573307}"/>
    <cellStyle name="Output 2 2 6 4 4" xfId="2721" xr:uid="{55E2A236-B164-4BA7-8EE3-910385860D71}"/>
    <cellStyle name="Output 2 2 6 4 4 2" xfId="5873" xr:uid="{E0654FD4-8D6F-4C59-B8FC-B35D55DFF990}"/>
    <cellStyle name="Output 2 2 6 4 5" xfId="2889" xr:uid="{B55870D9-7C4A-41D7-AF58-1B937312D8E7}"/>
    <cellStyle name="Output 2 2 6 4 5 2" xfId="6041" xr:uid="{6685B45C-B38C-42E9-A17E-3949EC0EAC0A}"/>
    <cellStyle name="Output 2 2 6 4 6" xfId="3302" xr:uid="{C054116D-D342-4770-A0B8-A57D8EC65698}"/>
    <cellStyle name="Output 2 2 6 4 7" xfId="4102" xr:uid="{2EE19204-3212-4E55-801F-353345CEED40}"/>
    <cellStyle name="Output 2 2 6 5" xfId="520" xr:uid="{62675C62-E00C-42B8-A6C9-E303D9D0D1D0}"/>
    <cellStyle name="Output 2 2 6 5 2" xfId="3689" xr:uid="{E7F0A213-EB0A-4079-A4D2-81338A9A63DF}"/>
    <cellStyle name="Output 2 2 6 6" xfId="1118" xr:uid="{9BCA6255-8A76-4454-9097-56E061599068}"/>
    <cellStyle name="Output 2 2 6 6 2" xfId="4276" xr:uid="{57D8BA9E-DA3B-45C7-80A4-98F4DA49AE6F}"/>
    <cellStyle name="Output 2 2 6 7" xfId="1655" xr:uid="{66166703-4155-488D-AEF2-6A90CEEBC630}"/>
    <cellStyle name="Output 2 2 6 7 2" xfId="4807" xr:uid="{F28DC421-AD09-49CD-ABE9-095E151F0535}"/>
    <cellStyle name="Output 2 2 6 8" xfId="3445" xr:uid="{8CF34E60-7399-4742-8F4A-D46D3F8323F7}"/>
    <cellStyle name="Output 2 2 7" xfId="164" xr:uid="{E2F5AE62-E0E4-462D-AD18-82FCBF06DF9B}"/>
    <cellStyle name="Output 2 2 7 2" xfId="449" xr:uid="{4294A7E3-B75F-4F7B-A8E9-1C1B45807776}"/>
    <cellStyle name="Output 2 2 7 2 2" xfId="655" xr:uid="{A0205A93-409A-4EAD-9AB9-FC5260696448}"/>
    <cellStyle name="Output 2 2 7 2 2 2" xfId="3818" xr:uid="{271C1C50-2589-4F4E-8807-B18059A9D682}"/>
    <cellStyle name="Output 2 2 7 2 3" xfId="1254" xr:uid="{A543FB1B-F450-4262-8592-370125554B20}"/>
    <cellStyle name="Output 2 2 7 2 3 2" xfId="4406" xr:uid="{79895959-3B1C-436E-894C-D72639F27BBC}"/>
    <cellStyle name="Output 2 2 7 2 4" xfId="1788" xr:uid="{CFF94330-2118-47FB-B522-308F06DA5921}"/>
    <cellStyle name="Output 2 2 7 2 4 2" xfId="4940" xr:uid="{93DE8F35-B80D-4878-B4AA-B7834E168C82}"/>
    <cellStyle name="Output 2 2 7 2 5" xfId="2263" xr:uid="{3B008A01-0DF2-455D-A2D0-589C2E12FF8F}"/>
    <cellStyle name="Output 2 2 7 2 5 2" xfId="5415" xr:uid="{266CFE4F-2B4A-4076-ABCF-B7579CF0A63F}"/>
    <cellStyle name="Output 2 2 7 2 6" xfId="2208" xr:uid="{63548B1C-5B01-4E05-AADD-8981349B6A0D}"/>
    <cellStyle name="Output 2 2 7 2 6 2" xfId="5360" xr:uid="{C7CED719-E945-415B-94A2-ACE70B42AB23}"/>
    <cellStyle name="Output 2 2 7 2 7" xfId="2554" xr:uid="{2E7D6080-AEC7-4B64-AADC-65B8FF431EC4}"/>
    <cellStyle name="Output 2 2 7 2 7 2" xfId="5706" xr:uid="{153C51D7-EEA2-4511-8195-12A6766E315B}"/>
    <cellStyle name="Output 2 2 7 2 8" xfId="3018" xr:uid="{321C3A80-E13B-4A3B-B9A5-FB1A32086657}"/>
    <cellStyle name="Output 2 2 7 2 8 2" xfId="6170" xr:uid="{13A40565-E3C8-4ED1-AD4F-4C7908F1B43D}"/>
    <cellStyle name="Output 2 2 7 2 9" xfId="3624" xr:uid="{CAC5133E-997D-4CE4-A101-60AD482FD33C}"/>
    <cellStyle name="Output 2 2 7 3" xfId="874" xr:uid="{1E21BA03-2F11-48BA-85E4-C4A13EB595FB}"/>
    <cellStyle name="Output 2 2 7 3 2" xfId="1473" xr:uid="{1A82AFE8-AFE4-4863-BD9C-B4098AFC38F7}"/>
    <cellStyle name="Output 2 2 7 3 2 2" xfId="4625" xr:uid="{947CDB09-ED97-48E1-84C3-FA041BD12673}"/>
    <cellStyle name="Output 2 2 7 3 3" xfId="2007" xr:uid="{1040BE65-FE36-4CC6-A1AD-AE457FA46D14}"/>
    <cellStyle name="Output 2 2 7 3 3 2" xfId="5159" xr:uid="{23D5B5B2-B8CB-4CBA-9729-70E46B54D83D}"/>
    <cellStyle name="Output 2 2 7 3 4" xfId="2482" xr:uid="{DDCFF462-E88C-4E8F-8A40-9D84A2E83AD2}"/>
    <cellStyle name="Output 2 2 7 3 4 2" xfId="5634" xr:uid="{221C1DC4-1F18-480E-9014-22AE2681EF3C}"/>
    <cellStyle name="Output 2 2 7 3 5" xfId="2666" xr:uid="{2B90D24C-1F5D-4E96-9F10-E61E0C63579C}"/>
    <cellStyle name="Output 2 2 7 3 5 2" xfId="5818" xr:uid="{D6A23138-1B5C-46E8-B08F-9C474A4CBBEA}"/>
    <cellStyle name="Output 2 2 7 3 6" xfId="2824" xr:uid="{D78A6585-665D-4E99-85F5-1DA68C71A34C}"/>
    <cellStyle name="Output 2 2 7 3 6 2" xfId="5976" xr:uid="{D931D02F-2E5C-45F5-921C-101F9FE899F5}"/>
    <cellStyle name="Output 2 2 7 3 7" xfId="3237" xr:uid="{62DC8CB7-632E-49CE-852F-E200D67C2860}"/>
    <cellStyle name="Output 2 2 7 3 7 2" xfId="6389" xr:uid="{4C5D80A6-3BC3-42B3-85AE-6EF3EE18FAFD}"/>
    <cellStyle name="Output 2 2 7 3 8" xfId="4037" xr:uid="{AF1DEA49-4D4D-406B-ADCF-4DEAC970E43F}"/>
    <cellStyle name="Output 2 2 7 4" xfId="993" xr:uid="{C11FEBF0-23D0-4436-BFD1-AC5A72A9A064}"/>
    <cellStyle name="Output 2 2 7 4 2" xfId="1592" xr:uid="{A5CC5E59-0389-40C8-AD4B-B5383D918FA2}"/>
    <cellStyle name="Output 2 2 7 4 2 2" xfId="4744" xr:uid="{9E663D39-AC45-4123-8027-E40DEE134011}"/>
    <cellStyle name="Output 2 2 7 4 3" xfId="2126" xr:uid="{139F50D4-9218-4FB4-96EA-6775344DAFDD}"/>
    <cellStyle name="Output 2 2 7 4 3 2" xfId="5278" xr:uid="{91586282-EA3B-4491-91D8-E33D1EA6AD7B}"/>
    <cellStyle name="Output 2 2 7 4 4" xfId="2775" xr:uid="{ED44E3CE-980A-4C08-984D-AA8E42C78D94}"/>
    <cellStyle name="Output 2 2 7 4 4 2" xfId="5927" xr:uid="{706412C8-DD65-44CA-8D5A-D7274D2EB6F0}"/>
    <cellStyle name="Output 2 2 7 4 5" xfId="2943" xr:uid="{B0D20CD2-9523-440B-9B7D-B1F7C5BFD54D}"/>
    <cellStyle name="Output 2 2 7 4 5 2" xfId="6095" xr:uid="{4DC34258-2D96-4DD6-9594-1B8E307CCBCC}"/>
    <cellStyle name="Output 2 2 7 4 6" xfId="3356" xr:uid="{E0815E71-2FEA-416B-98BD-710A74DD27AE}"/>
    <cellStyle name="Output 2 2 7 4 7" xfId="4156" xr:uid="{946672F6-C1ED-45D7-8D8C-2AE829865DE8}"/>
    <cellStyle name="Output 2 2 7 5" xfId="579" xr:uid="{D30A5619-9A4E-4DCC-A866-F0FD96777D73}"/>
    <cellStyle name="Output 2 2 7 5 2" xfId="3743" xr:uid="{684BA4DF-4127-4AB2-8D8F-32DED70FC2D1}"/>
    <cellStyle name="Output 2 2 7 6" xfId="1178" xr:uid="{BA74B139-F2ED-43A9-815E-B50C7B21FD3F}"/>
    <cellStyle name="Output 2 2 7 6 2" xfId="4331" xr:uid="{FD091652-2532-4F50-ADCE-6296FCF83510}"/>
    <cellStyle name="Output 2 2 7 7" xfId="1713" xr:uid="{459026E4-3132-4753-AE93-10653FE10E7B}"/>
    <cellStyle name="Output 2 2 7 7 2" xfId="4865" xr:uid="{38B69725-D3C1-43E6-864F-31EAF769A575}"/>
    <cellStyle name="Output 2 2 7 8" xfId="3481" xr:uid="{24B9B4D3-E005-42D5-B74D-534B89BB81F7}"/>
    <cellStyle name="Output 2 2 8" xfId="128" xr:uid="{6E3B09CE-B96D-4A6F-B565-088A1391F2B1}"/>
    <cellStyle name="Output 2 2 8 2" xfId="3448" xr:uid="{FE78FD69-05BD-49ED-9B3F-3D868BA495FB}"/>
    <cellStyle name="Output 2 2 9" xfId="209" xr:uid="{5B94754A-86ED-4D51-AE76-CB0977AC2E4B}"/>
    <cellStyle name="Output 2 2 9 2" xfId="3517" xr:uid="{4A7375B6-3546-4D4B-ABC3-133B386A7FE8}"/>
    <cellStyle name="Output 2 3" xfId="70" xr:uid="{7488D623-C0EB-4CDD-9339-27856392A95B}"/>
    <cellStyle name="Output 2 3 10" xfId="3403" xr:uid="{7EC285B0-6F16-4D8B-A372-CF4B04FB2336}"/>
    <cellStyle name="Output 2 3 2" xfId="155" xr:uid="{66AF6F1D-54C9-4D3E-A61A-75E439A43FCB}"/>
    <cellStyle name="Output 2 3 2 2" xfId="378" xr:uid="{387774E6-5A47-41C8-B0F4-F48AD1BD457F}"/>
    <cellStyle name="Output 2 3 2 2 2" xfId="728" xr:uid="{EBC448C0-139E-4F24-A190-0F8BF8BDE8EA}"/>
    <cellStyle name="Output 2 3 2 2 2 2" xfId="3891" xr:uid="{5A0E402A-4BDF-45F2-810D-8ABD910D64F7}"/>
    <cellStyle name="Output 2 3 2 2 3" xfId="1327" xr:uid="{61DCF31E-7F28-46C3-ABB8-6E3AA61BA7AF}"/>
    <cellStyle name="Output 2 3 2 2 3 2" xfId="4479" xr:uid="{F7CB0FB7-32E9-465D-BA42-B3089CD17E04}"/>
    <cellStyle name="Output 2 3 2 2 4" xfId="1861" xr:uid="{1258B26A-9E98-4EE6-BBBE-80C9E03A7160}"/>
    <cellStyle name="Output 2 3 2 2 4 2" xfId="5013" xr:uid="{D2F0839D-FBD8-48C7-915C-9F228F905130}"/>
    <cellStyle name="Output 2 3 2 2 5" xfId="2336" xr:uid="{DEBAB257-8DD2-41A6-B066-69C43D46E604}"/>
    <cellStyle name="Output 2 3 2 2 5 2" xfId="5488" xr:uid="{8C327556-1F5D-4E89-9285-0560EA414950}"/>
    <cellStyle name="Output 2 3 2 2 6" xfId="2583" xr:uid="{CD946FEF-5BC7-445C-AA89-5A184530F27C}"/>
    <cellStyle name="Output 2 3 2 2 6 2" xfId="5735" xr:uid="{6700BCFF-16BA-463C-9B0F-B57BBFF5F3BA}"/>
    <cellStyle name="Output 2 3 2 2 7" xfId="2171" xr:uid="{C800BB06-9400-425A-BDB7-3552D6274313}"/>
    <cellStyle name="Output 2 3 2 2 7 2" xfId="5323" xr:uid="{ABD3E616-F3B6-4520-81D0-73F12EE5486C}"/>
    <cellStyle name="Output 2 3 2 2 8" xfId="3091" xr:uid="{B89C9AD4-2AC6-411F-AA17-65005C03B3D7}"/>
    <cellStyle name="Output 2 3 2 2 8 2" xfId="6243" xr:uid="{315CFF1B-3D3C-44BD-B177-E73A78E853AA}"/>
    <cellStyle name="Output 2 3 2 2 9" xfId="3560" xr:uid="{FD8F82DD-E67E-4510-A4E4-34C1FAFCE8A4}"/>
    <cellStyle name="Output 2 3 2 3" xfId="810" xr:uid="{FC5CE46A-6EF3-40FF-92EF-38459F2EA9E1}"/>
    <cellStyle name="Output 2 3 2 3 2" xfId="1409" xr:uid="{29DEAF8A-995F-439C-B13D-B4D378396151}"/>
    <cellStyle name="Output 2 3 2 3 2 2" xfId="4561" xr:uid="{176C6A99-BB79-4096-8143-5FE7801F2ADC}"/>
    <cellStyle name="Output 2 3 2 3 3" xfId="1943" xr:uid="{1D081CA4-A592-4985-AA04-93B8E84110B3}"/>
    <cellStyle name="Output 2 3 2 3 3 2" xfId="5095" xr:uid="{70213FF7-2E20-4736-9F3C-4ECC65A8B274}"/>
    <cellStyle name="Output 2 3 2 3 4" xfId="2418" xr:uid="{3EA8BF14-E297-4230-934C-70E0E0D4C712}"/>
    <cellStyle name="Output 2 3 2 3 4 2" xfId="5570" xr:uid="{7BED6709-51B1-4156-9F23-65ABA0C99854}"/>
    <cellStyle name="Output 2 3 2 3 5" xfId="2636" xr:uid="{D6BA600C-6F7C-4719-8075-C2B0D1A6DD91}"/>
    <cellStyle name="Output 2 3 2 3 5 2" xfId="5788" xr:uid="{0DEF22F3-8CED-4403-9F87-2BD358CE54AE}"/>
    <cellStyle name="Output 2 3 2 3 6" xfId="2557" xr:uid="{94F28EFF-7305-4863-A59E-13F934BAA3C0}"/>
    <cellStyle name="Output 2 3 2 3 6 2" xfId="5709" xr:uid="{BEF7DAC4-0E7C-4B6B-892A-523C43FF4D2E}"/>
    <cellStyle name="Output 2 3 2 3 7" xfId="3173" xr:uid="{4477C591-A710-4298-BD74-A6D62AD7A69C}"/>
    <cellStyle name="Output 2 3 2 3 7 2" xfId="6325" xr:uid="{F83E1C07-34F8-4909-B912-38BD8A701680}"/>
    <cellStyle name="Output 2 3 2 3 8" xfId="3973" xr:uid="{59F1559D-083D-4DBF-89FD-0239B71150F3}"/>
    <cellStyle name="Output 2 3 2 4" xfId="929" xr:uid="{17549A0F-8272-4F4E-ABB6-34E309E26B08}"/>
    <cellStyle name="Output 2 3 2 4 2" xfId="1528" xr:uid="{7F04C815-6E7D-4DA2-A0AB-FC41AC3B5BA5}"/>
    <cellStyle name="Output 2 3 2 4 2 2" xfId="4680" xr:uid="{94B8201B-ADD2-443B-80CC-93EF28936907}"/>
    <cellStyle name="Output 2 3 2 4 3" xfId="2062" xr:uid="{CB609477-AA7C-488D-A80F-1AE298E137CB}"/>
    <cellStyle name="Output 2 3 2 4 3 2" xfId="5214" xr:uid="{BA2A2644-D825-4706-B972-96B2701A547B}"/>
    <cellStyle name="Output 2 3 2 4 4" xfId="2711" xr:uid="{29FA5F86-EBFD-43F8-9626-2719A4D52DA1}"/>
    <cellStyle name="Output 2 3 2 4 4 2" xfId="5863" xr:uid="{EE381106-8031-4BA6-A91D-BF9ACEA9C8C1}"/>
    <cellStyle name="Output 2 3 2 4 5" xfId="2879" xr:uid="{1C2949FC-0CBF-4FF2-A668-B1F0CE59A032}"/>
    <cellStyle name="Output 2 3 2 4 5 2" xfId="6031" xr:uid="{FBF96C7C-B85A-4E01-BF85-070D25953EA9}"/>
    <cellStyle name="Output 2 3 2 4 6" xfId="3292" xr:uid="{180F2703-30FB-49B6-B108-4E46D41AD5AF}"/>
    <cellStyle name="Output 2 3 2 4 7" xfId="4092" xr:uid="{C7E04DCB-C11B-4407-BFE1-01EFEED4BF00}"/>
    <cellStyle name="Output 2 3 2 5" xfId="509" xr:uid="{3535FD5F-5793-4F92-9F5B-E1F6BFE0141B}"/>
    <cellStyle name="Output 2 3 2 5 2" xfId="3679" xr:uid="{B7D9370F-238E-4834-B25B-664240722E5E}"/>
    <cellStyle name="Output 2 3 2 6" xfId="1107" xr:uid="{7C0EED60-03AD-4115-B710-64859A8727D7}"/>
    <cellStyle name="Output 2 3 2 6 2" xfId="4266" xr:uid="{99E0C875-73AE-4D28-B311-AD6D7573F5AE}"/>
    <cellStyle name="Output 2 3 2 7" xfId="1644" xr:uid="{7E3939D5-1EC2-4012-AE0C-A1B5F309D0E2}"/>
    <cellStyle name="Output 2 3 2 7 2" xfId="4796" xr:uid="{3091F643-CD5D-447C-97AF-41341C5E9C81}"/>
    <cellStyle name="Output 2 3 2 8" xfId="3473" xr:uid="{E55B1069-5688-4E84-8DD8-F50CEC0993E4}"/>
    <cellStyle name="Output 2 3 3" xfId="439" xr:uid="{269501E7-F243-4FEB-89DB-28E474CF403F}"/>
    <cellStyle name="Output 2 3 3 2" xfId="660" xr:uid="{8D13500C-BBA1-4095-893A-D8F639ACFDF5}"/>
    <cellStyle name="Output 2 3 3 2 2" xfId="1259" xr:uid="{4F042ED6-8D2C-4F84-A526-9F035BD2366F}"/>
    <cellStyle name="Output 2 3 3 2 2 2" xfId="4411" xr:uid="{64475312-4064-4394-ACBE-3F91FF63048C}"/>
    <cellStyle name="Output 2 3 3 2 3" xfId="1793" xr:uid="{3E0B7872-F7BC-4037-B970-FCC5D2748D7F}"/>
    <cellStyle name="Output 2 3 3 2 3 2" xfId="4945" xr:uid="{B4A1EAAE-BCFD-4346-868D-394C9193DBE6}"/>
    <cellStyle name="Output 2 3 3 2 4" xfId="2268" xr:uid="{36E851A2-6F06-414A-BF8E-FF95EBF1F1ED}"/>
    <cellStyle name="Output 2 3 3 2 4 2" xfId="5420" xr:uid="{2B652F71-E326-4954-99D4-C96453C80FE0}"/>
    <cellStyle name="Output 2 3 3 2 5" xfId="2174" xr:uid="{EA309624-C6A9-4413-A0CB-39111590A0C6}"/>
    <cellStyle name="Output 2 3 3 2 5 2" xfId="5326" xr:uid="{03E4FA0B-0F29-4481-B70F-8948D9E848C4}"/>
    <cellStyle name="Output 2 3 3 2 6" xfId="2511" xr:uid="{AAC2A207-11F0-4C61-AC65-C952DBCCA707}"/>
    <cellStyle name="Output 2 3 3 2 6 2" xfId="5663" xr:uid="{ABDEB305-DEA8-42ED-A771-CB394CC581A2}"/>
    <cellStyle name="Output 2 3 3 2 7" xfId="3023" xr:uid="{B7C53689-160B-482A-BC25-668C3969AB7E}"/>
    <cellStyle name="Output 2 3 3 2 7 2" xfId="6175" xr:uid="{C00D028A-69C8-4458-BC4B-9C618FE4C8F3}"/>
    <cellStyle name="Output 2 3 3 2 8" xfId="3823" xr:uid="{3B6814E7-03E5-44F5-8713-FE4CC07D3AE6}"/>
    <cellStyle name="Output 2 3 3 3" xfId="864" xr:uid="{47E45AA8-A477-42CD-905F-A5DE1FAED5BA}"/>
    <cellStyle name="Output 2 3 3 3 2" xfId="1463" xr:uid="{BD62D9B7-4BC9-4D16-82A6-E49BC5C53A89}"/>
    <cellStyle name="Output 2 3 3 3 2 2" xfId="4615" xr:uid="{D713712F-9E0E-4B80-9431-CC85C346A00B}"/>
    <cellStyle name="Output 2 3 3 3 3" xfId="1997" xr:uid="{C221A2C9-1B1D-4B32-B167-FBE87F4B32E4}"/>
    <cellStyle name="Output 2 3 3 3 3 2" xfId="5149" xr:uid="{8CACE488-84AA-48B5-A100-6F88E272D0D8}"/>
    <cellStyle name="Output 2 3 3 3 4" xfId="2472" xr:uid="{6CBAEF04-54A7-444A-8C90-2CF6016DDFAC}"/>
    <cellStyle name="Output 2 3 3 3 4 2" xfId="5624" xr:uid="{CFAFB783-83E9-4070-80FE-AD0E848B7602}"/>
    <cellStyle name="Output 2 3 3 3 5" xfId="2662" xr:uid="{BB8E8D2A-8B7F-441A-A9D9-DCED50BB2FA4}"/>
    <cellStyle name="Output 2 3 3 3 5 2" xfId="5814" xr:uid="{FFC277B2-2658-41D6-9CE5-76302D30A8A7}"/>
    <cellStyle name="Output 2 3 3 3 6" xfId="2814" xr:uid="{BA1DA6DE-14AA-4866-93E9-EF4B594F9601}"/>
    <cellStyle name="Output 2 3 3 3 6 2" xfId="5966" xr:uid="{4656D5EC-497D-4EF7-9346-F8F69ACA4414}"/>
    <cellStyle name="Output 2 3 3 3 7" xfId="3227" xr:uid="{6C705D4C-1C48-428B-9AA8-7711A56D26CC}"/>
    <cellStyle name="Output 2 3 3 3 7 2" xfId="6379" xr:uid="{93785968-D666-499B-BDB9-9DAD37124969}"/>
    <cellStyle name="Output 2 3 3 3 8" xfId="4027" xr:uid="{69C260C8-BE61-4EC3-8251-2FC6977E7C9D}"/>
    <cellStyle name="Output 2 3 3 4" xfId="983" xr:uid="{267E8766-41E9-4055-BD5C-371851C71143}"/>
    <cellStyle name="Output 2 3 3 4 2" xfId="1582" xr:uid="{6534B2AE-E34A-422D-B85B-6500CBC27095}"/>
    <cellStyle name="Output 2 3 3 4 2 2" xfId="4734" xr:uid="{6D9EA597-DA0C-46E0-982F-1F4D7F388EB2}"/>
    <cellStyle name="Output 2 3 3 4 3" xfId="2116" xr:uid="{48A18EA6-6635-4754-96F4-41ABFB5121F7}"/>
    <cellStyle name="Output 2 3 3 4 3 2" xfId="5268" xr:uid="{4A1A92AD-E901-443F-A873-5B92FCBBAA07}"/>
    <cellStyle name="Output 2 3 3 4 4" xfId="2765" xr:uid="{7A63424F-C016-449E-B923-05CF88568C40}"/>
    <cellStyle name="Output 2 3 3 4 4 2" xfId="5917" xr:uid="{CC40C7A4-DC0C-40FE-AE51-75530CC97994}"/>
    <cellStyle name="Output 2 3 3 4 5" xfId="2933" xr:uid="{F59E2A9B-C25B-46C9-ADAD-53BDCDD684E9}"/>
    <cellStyle name="Output 2 3 3 4 5 2" xfId="6085" xr:uid="{1909CF86-B8F6-4321-B2B2-17D911AF838D}"/>
    <cellStyle name="Output 2 3 3 4 6" xfId="3346" xr:uid="{44854DDD-DF80-4029-B0BF-05C750CA19B6}"/>
    <cellStyle name="Output 2 3 3 4 7" xfId="4146" xr:uid="{06E0A583-D43C-4550-8DBA-0BB277E89506}"/>
    <cellStyle name="Output 2 3 3 5" xfId="569" xr:uid="{AC165643-00C5-4BBF-A22E-80AA18BA9E4E}"/>
    <cellStyle name="Output 2 3 3 5 2" xfId="3733" xr:uid="{DA331631-3560-4E36-81EE-E00CFC859119}"/>
    <cellStyle name="Output 2 3 3 6" xfId="1168" xr:uid="{645757C5-3C7D-4054-89F7-723306D4DB6F}"/>
    <cellStyle name="Output 2 3 3 6 2" xfId="4321" xr:uid="{E369B553-79C7-4267-A39F-1994D68E4ED7}"/>
    <cellStyle name="Output 2 3 3 7" xfId="1703" xr:uid="{2EF3CBFE-43F4-4AD2-A7F3-59C37484E435}"/>
    <cellStyle name="Output 2 3 3 7 2" xfId="4855" xr:uid="{17D11112-8D28-429D-B9E5-4A313638CAD0}"/>
    <cellStyle name="Output 2 3 3 8" xfId="2573" xr:uid="{993DAFA6-87CA-4323-BC77-48A51D7B0F80}"/>
    <cellStyle name="Output 2 3 3 8 2" xfId="5725" xr:uid="{E3F89BB1-DD39-48D0-9F3B-6F3D88FB1F12}"/>
    <cellStyle name="Output 2 3 3 9" xfId="3614" xr:uid="{5BD2051A-393D-439B-8BC0-8140718A7302}"/>
    <cellStyle name="Output 2 3 4" xfId="334" xr:uid="{03C0275F-1E3B-49A7-889B-6B1C54A3DCE4}"/>
    <cellStyle name="Output 2 3 4 2" xfId="711" xr:uid="{AA21AF79-F6EE-4F01-936D-F2BCD2278F44}"/>
    <cellStyle name="Output 2 3 4 2 2" xfId="3874" xr:uid="{CBF94511-16BE-493E-8982-0D3C2F75F33B}"/>
    <cellStyle name="Output 2 3 4 3" xfId="1310" xr:uid="{D92F9E9D-6B9C-4E76-82F8-59871E45FEA9}"/>
    <cellStyle name="Output 2 3 4 3 2" xfId="4462" xr:uid="{55BD9EED-2DEE-44EE-8DF6-EB19A3C09890}"/>
    <cellStyle name="Output 2 3 4 4" xfId="1844" xr:uid="{69A1826C-6A3A-47F7-8027-B42A2A0F09DE}"/>
    <cellStyle name="Output 2 3 4 4 2" xfId="4996" xr:uid="{4180FE39-ED16-4812-98A6-028DD506ED6C}"/>
    <cellStyle name="Output 2 3 4 5" xfId="2319" xr:uid="{FA48AA2F-7E18-4A87-9B37-D4EA69BD1457}"/>
    <cellStyle name="Output 2 3 4 5 2" xfId="5471" xr:uid="{C85687D4-07A2-479D-A8D9-A548860B7782}"/>
    <cellStyle name="Output 2 3 4 6" xfId="1617" xr:uid="{1AEBEFCC-EA76-4FB7-BFB5-7345863A4E21}"/>
    <cellStyle name="Output 2 3 4 6 2" xfId="4769" xr:uid="{BB579EE8-8D42-43A8-BACF-7685E823E945}"/>
    <cellStyle name="Output 2 3 4 7" xfId="2188" xr:uid="{4E4F07E8-7158-4A12-B5AE-E7CEDFCC7E54}"/>
    <cellStyle name="Output 2 3 4 7 2" xfId="5340" xr:uid="{D423E926-F45B-4E85-B083-E72536D440F6}"/>
    <cellStyle name="Output 2 3 4 8" xfId="3074" xr:uid="{A69239C4-5DCA-40B9-8BE6-815F097A7F9F}"/>
    <cellStyle name="Output 2 3 4 8 2" xfId="6226" xr:uid="{26CC3A24-4B5B-4FF8-8DEF-C300957D818B}"/>
    <cellStyle name="Output 2 3 4 9" xfId="3532" xr:uid="{9CEA36B3-9789-4526-BBB9-167399E3227A}"/>
    <cellStyle name="Output 2 3 5" xfId="782" xr:uid="{EA3A9C53-8322-46DA-9E00-86A70BEF4BBC}"/>
    <cellStyle name="Output 2 3 5 2" xfId="1381" xr:uid="{000DF348-C681-4BB2-B2C1-F2B2F6A8F92B}"/>
    <cellStyle name="Output 2 3 5 2 2" xfId="4533" xr:uid="{45F9B513-1CDB-4529-B487-91D32A492D4D}"/>
    <cellStyle name="Output 2 3 5 3" xfId="1915" xr:uid="{55B6F79C-E99F-4282-B10E-0B8E379B431B}"/>
    <cellStyle name="Output 2 3 5 3 2" xfId="5067" xr:uid="{02385B0C-4C81-4770-A51B-9B2CB6C7D6C2}"/>
    <cellStyle name="Output 2 3 5 4" xfId="2390" xr:uid="{84F6B9A7-BEA5-4495-BD74-3B9B6D235087}"/>
    <cellStyle name="Output 2 3 5 4 2" xfId="5542" xr:uid="{EC9FC4BF-D512-44EF-91EC-58E6C3B3C9B1}"/>
    <cellStyle name="Output 2 3 5 5" xfId="2621" xr:uid="{942A9F05-AD5F-4CC0-8B3A-12ED5A13A390}"/>
    <cellStyle name="Output 2 3 5 5 2" xfId="5773" xr:uid="{2B656EC4-AA55-4BCF-B2BD-E6667FF7B2CB}"/>
    <cellStyle name="Output 2 3 5 6" xfId="1057" xr:uid="{2AD0027F-D731-4D9F-BB7B-F4F9784166BD}"/>
    <cellStyle name="Output 2 3 5 6 2" xfId="4219" xr:uid="{D7A1EC60-F0A1-459A-9B23-E2B8E6625337}"/>
    <cellStyle name="Output 2 3 5 7" xfId="3145" xr:uid="{2121AF9C-31B8-441E-8709-FA63EC22AECA}"/>
    <cellStyle name="Output 2 3 5 7 2" xfId="6297" xr:uid="{147B5F85-B8D5-4459-9DB7-75DB6D48D70F}"/>
    <cellStyle name="Output 2 3 5 8" xfId="3945" xr:uid="{B3E78E52-4C84-40CD-8424-B1BA353077A6}"/>
    <cellStyle name="Output 2 3 6" xfId="901" xr:uid="{C2C8532C-96B6-4F38-9DAA-BC1FDFD2BAE5}"/>
    <cellStyle name="Output 2 3 6 2" xfId="1500" xr:uid="{6471FE92-1292-42C5-B8B4-AFB7D2239B80}"/>
    <cellStyle name="Output 2 3 6 2 2" xfId="4652" xr:uid="{1D2F217C-BB00-484E-A12D-68823C8B4575}"/>
    <cellStyle name="Output 2 3 6 3" xfId="2034" xr:uid="{8B6346EB-F93F-4058-9F27-684B80A67113}"/>
    <cellStyle name="Output 2 3 6 3 2" xfId="5186" xr:uid="{AE5D79D4-6BC3-4948-9CF5-91B385F99A48}"/>
    <cellStyle name="Output 2 3 6 4" xfId="2683" xr:uid="{256B78D4-D99B-4D28-98C7-D92E02E68448}"/>
    <cellStyle name="Output 2 3 6 4 2" xfId="5835" xr:uid="{943BE56B-E124-4685-8F52-B0E8C534075E}"/>
    <cellStyle name="Output 2 3 6 5" xfId="2851" xr:uid="{326DF704-33F2-418C-8B5B-BFCF0F29CB0C}"/>
    <cellStyle name="Output 2 3 6 5 2" xfId="6003" xr:uid="{EBD8CB8C-5928-4A64-A9BE-55FB13901824}"/>
    <cellStyle name="Output 2 3 6 6" xfId="3264" xr:uid="{D38F2A84-0552-4022-A3FB-8E66FD765BF1}"/>
    <cellStyle name="Output 2 3 6 7" xfId="4064" xr:uid="{A3DFDFF6-120C-41D1-BBFE-F17CD67CD6E3}"/>
    <cellStyle name="Output 2 3 7" xfId="478" xr:uid="{A4406866-F2D6-4C00-812B-F2A103B53866}"/>
    <cellStyle name="Output 2 3 7 2" xfId="3651" xr:uid="{A411BAE6-2BC3-4602-8970-37EEB8DB4B23}"/>
    <cellStyle name="Output 2 3 8" xfId="1071" xr:uid="{BF9B2C79-4BD0-4A50-A737-DA440C474B78}"/>
    <cellStyle name="Output 2 3 8 2" xfId="4233" xr:uid="{0A9D9B86-9657-4ED0-A8A7-4A46E3A34168}"/>
    <cellStyle name="Output 2 3 9" xfId="1054" xr:uid="{3A34BAB1-F6E5-4848-8707-867A6D2E799B}"/>
    <cellStyle name="Output 2 3 9 2" xfId="4216" xr:uid="{58EC8511-B7CB-429D-9254-4CBAE4CB39D9}"/>
    <cellStyle name="Output 2 4" xfId="64" xr:uid="{EF46D9B2-EE0A-4E01-B017-52F76DE646BA}"/>
    <cellStyle name="Output 2 4 2" xfId="149" xr:uid="{BD20E8C2-C04F-4C90-BAAB-AB7464495FE9}"/>
    <cellStyle name="Output 2 4 2 2" xfId="433" xr:uid="{4DB1D85D-F6FB-4374-8F7A-5C7756B09BDC}"/>
    <cellStyle name="Output 2 4 2 2 2" xfId="663" xr:uid="{00AC9372-19F3-4864-AC8B-0473814BDC4D}"/>
    <cellStyle name="Output 2 4 2 2 2 2" xfId="3826" xr:uid="{C8FC0D2F-616C-4D93-8AD7-F79966C35244}"/>
    <cellStyle name="Output 2 4 2 2 3" xfId="1262" xr:uid="{9F261BCD-1A71-498D-90EF-15776C2141BD}"/>
    <cellStyle name="Output 2 4 2 2 3 2" xfId="4414" xr:uid="{C839B896-4361-4988-BBCB-7A45FABC0B80}"/>
    <cellStyle name="Output 2 4 2 2 4" xfId="1796" xr:uid="{E578315E-6ECD-437F-9889-19640C240B08}"/>
    <cellStyle name="Output 2 4 2 2 4 2" xfId="4948" xr:uid="{36860253-F2BC-475F-BDB6-D86B90743240}"/>
    <cellStyle name="Output 2 4 2 2 5" xfId="2271" xr:uid="{68D7C4F6-E175-48E9-B537-DD6C8408EE2D}"/>
    <cellStyle name="Output 2 4 2 2 5 2" xfId="5423" xr:uid="{6707420C-8E80-46A3-ADA9-34DCFCA466D7}"/>
    <cellStyle name="Output 2 4 2 2 6" xfId="2201" xr:uid="{117BE9A8-D132-4A2E-9FAA-1FDCD05072B8}"/>
    <cellStyle name="Output 2 4 2 2 6 2" xfId="5353" xr:uid="{BA33C6C0-740B-4DAF-92D9-063245A7D5BD}"/>
    <cellStyle name="Output 2 4 2 2 7" xfId="2183" xr:uid="{46343B4F-48F7-4610-B1B3-AF9505C4F9EC}"/>
    <cellStyle name="Output 2 4 2 2 7 2" xfId="5335" xr:uid="{C93DA8FD-8BB2-41D2-814B-D5EE8EBD4E51}"/>
    <cellStyle name="Output 2 4 2 2 8" xfId="3026" xr:uid="{4E0814E8-E632-43FA-81F7-ACC40CBA987F}"/>
    <cellStyle name="Output 2 4 2 2 8 2" xfId="6178" xr:uid="{95CF49EC-83AD-46A5-AD12-78AE994C3D8D}"/>
    <cellStyle name="Output 2 4 2 2 9" xfId="3608" xr:uid="{4B0C7A55-7E74-4402-8C57-E0223243A00F}"/>
    <cellStyle name="Output 2 4 2 3" xfId="858" xr:uid="{18500A58-2098-4DB5-A037-2D3DCB97B429}"/>
    <cellStyle name="Output 2 4 2 3 2" xfId="1457" xr:uid="{BCD92CB5-1ACB-4C57-B186-28DD37F8ED0B}"/>
    <cellStyle name="Output 2 4 2 3 2 2" xfId="4609" xr:uid="{8E96C4EF-F971-4C7C-A746-5171D4B28AD9}"/>
    <cellStyle name="Output 2 4 2 3 3" xfId="1991" xr:uid="{EEEDCCF9-78BC-4148-B6B6-CFF3A7C1DA70}"/>
    <cellStyle name="Output 2 4 2 3 3 2" xfId="5143" xr:uid="{A9899122-6243-4D67-82E9-6820E4CD03BF}"/>
    <cellStyle name="Output 2 4 2 3 4" xfId="2466" xr:uid="{4E36EE58-2DAE-49E2-91C0-CA5FFFB8AB10}"/>
    <cellStyle name="Output 2 4 2 3 4 2" xfId="5618" xr:uid="{3FBFE30B-0EC6-48B2-99D2-5A62FE01F1AF}"/>
    <cellStyle name="Output 2 4 2 3 5" xfId="2659" xr:uid="{9857DFD6-E7B1-47DA-8A63-F5639E35A12C}"/>
    <cellStyle name="Output 2 4 2 3 5 2" xfId="5811" xr:uid="{3641E61E-9C4D-47E5-8002-A6FD55579D4D}"/>
    <cellStyle name="Output 2 4 2 3 6" xfId="2808" xr:uid="{FC48C9BF-D367-42EB-842B-B25CBC5489A4}"/>
    <cellStyle name="Output 2 4 2 3 6 2" xfId="5960" xr:uid="{C4AB4E05-3187-4FB6-9DB9-4E55FDE46406}"/>
    <cellStyle name="Output 2 4 2 3 7" xfId="3221" xr:uid="{6C6F955A-8628-4A5E-A30D-E7410703851E}"/>
    <cellStyle name="Output 2 4 2 3 7 2" xfId="6373" xr:uid="{C63F2406-0672-46C8-8CA9-64C0A4ECA783}"/>
    <cellStyle name="Output 2 4 2 3 8" xfId="4021" xr:uid="{6C677D66-2071-4D31-BD86-FDBC4CA188B1}"/>
    <cellStyle name="Output 2 4 2 4" xfId="977" xr:uid="{F2CC4A0F-43C7-4F35-897E-BA88980BBAB6}"/>
    <cellStyle name="Output 2 4 2 4 2" xfId="1576" xr:uid="{2738F5FF-C5B2-4017-87A9-11B587AF0CE8}"/>
    <cellStyle name="Output 2 4 2 4 2 2" xfId="4728" xr:uid="{B557EA82-0D11-47BE-A283-7BA7ADFB8B4C}"/>
    <cellStyle name="Output 2 4 2 4 3" xfId="2110" xr:uid="{0A79FCA3-E335-457D-B358-43A09C2C290F}"/>
    <cellStyle name="Output 2 4 2 4 3 2" xfId="5262" xr:uid="{37FBD3D4-FE15-4A26-8B3E-2B83294412F4}"/>
    <cellStyle name="Output 2 4 2 4 4" xfId="2759" xr:uid="{38BFECA4-691E-4FCC-BA4D-747FF2015F1C}"/>
    <cellStyle name="Output 2 4 2 4 4 2" xfId="5911" xr:uid="{6F0212A9-E3BA-47F3-BC86-9A63E00CED5A}"/>
    <cellStyle name="Output 2 4 2 4 5" xfId="2927" xr:uid="{637FE262-1F86-4CBF-AE5A-E7FC050CFA55}"/>
    <cellStyle name="Output 2 4 2 4 5 2" xfId="6079" xr:uid="{D40AC62F-79B9-4E54-B43D-8337920E023C}"/>
    <cellStyle name="Output 2 4 2 4 6" xfId="3340" xr:uid="{761E8064-8C0A-42CD-B395-7929FCC97A24}"/>
    <cellStyle name="Output 2 4 2 4 7" xfId="4140" xr:uid="{72E662E1-15AB-4CE3-BE09-EBEBF73AB337}"/>
    <cellStyle name="Output 2 4 2 5" xfId="563" xr:uid="{34EFBD45-4AD7-4027-982B-BF6CAF7B482D}"/>
    <cellStyle name="Output 2 4 2 5 2" xfId="3727" xr:uid="{D8A24ACD-68F0-4960-B1CA-FE5D66318DED}"/>
    <cellStyle name="Output 2 4 2 6" xfId="1162" xr:uid="{FC75548D-39BF-4CE1-9B7B-1C98674BFF2A}"/>
    <cellStyle name="Output 2 4 2 6 2" xfId="4315" xr:uid="{CD41B75A-FDB6-4F78-A44F-5C734CAC63BA}"/>
    <cellStyle name="Output 2 4 2 7" xfId="1697" xr:uid="{B3743C4F-D5DB-497A-A44B-B40C257AF531}"/>
    <cellStyle name="Output 2 4 2 7 2" xfId="4849" xr:uid="{1FFAC387-7A5A-49C7-A388-4F59BACC64E7}"/>
    <cellStyle name="Output 2 4 2 8" xfId="3467" xr:uid="{FDFB305F-F791-4CB0-8677-6CD5106CF14F}"/>
    <cellStyle name="Output 2 4 3" xfId="372" xr:uid="{63148511-C088-4D52-87D1-46CB81637C0D}"/>
    <cellStyle name="Output 2 4 3 2" xfId="673" xr:uid="{6716F848-A74B-432C-8378-E8B85B4CF586}"/>
    <cellStyle name="Output 2 4 3 2 2" xfId="3836" xr:uid="{47D2EC34-890E-4AD3-ABEC-8739E25E8CF5}"/>
    <cellStyle name="Output 2 4 3 3" xfId="1272" xr:uid="{E353FC58-ED53-4833-B333-8F8DE54303F6}"/>
    <cellStyle name="Output 2 4 3 3 2" xfId="4424" xr:uid="{CA9321F3-7485-43BC-9D6A-F5553F16EC7D}"/>
    <cellStyle name="Output 2 4 3 4" xfId="1806" xr:uid="{E9A18418-9343-43A6-984C-6ABF0CC4E7A9}"/>
    <cellStyle name="Output 2 4 3 4 2" xfId="4958" xr:uid="{D3BA96D5-627F-4F24-903E-76A4D8E35555}"/>
    <cellStyle name="Output 2 4 3 5" xfId="2281" xr:uid="{8AF6CD24-1D63-4949-B7F1-9FB603FD9810}"/>
    <cellStyle name="Output 2 4 3 5 2" xfId="5433" xr:uid="{42E2B603-7D65-4A22-9949-A69D0C46EB22}"/>
    <cellStyle name="Output 2 4 3 6" xfId="1030" xr:uid="{1C324F75-509D-4E43-B22F-95ADD49A1900}"/>
    <cellStyle name="Output 2 4 3 6 2" xfId="4193" xr:uid="{6AD7849B-286E-416D-AF60-9CD4F4389562}"/>
    <cellStyle name="Output 2 4 3 7" xfId="2162" xr:uid="{6002C837-7264-4133-A8BD-04600FBA3196}"/>
    <cellStyle name="Output 2 4 3 7 2" xfId="5314" xr:uid="{83A93F24-AC16-48B6-AF2F-4898D892B655}"/>
    <cellStyle name="Output 2 4 3 8" xfId="3036" xr:uid="{B0F6AC58-88CA-4F82-B609-C7CB68F13AB6}"/>
    <cellStyle name="Output 2 4 3 8 2" xfId="6188" xr:uid="{1E3DC3DE-C7E4-4497-9D37-B305DFF56E48}"/>
    <cellStyle name="Output 2 4 3 9" xfId="3554" xr:uid="{CC4129E1-7CB5-45CE-9820-AFE1E29F6B5B}"/>
    <cellStyle name="Output 2 4 4" xfId="804" xr:uid="{901A1555-9D86-46F3-B84D-92DE83C2C06A}"/>
    <cellStyle name="Output 2 4 4 2" xfId="1403" xr:uid="{DBD896E4-2CCA-40CF-B6A7-012BCFEC10DD}"/>
    <cellStyle name="Output 2 4 4 2 2" xfId="4555" xr:uid="{50703674-198B-4236-AD0B-2F0C90D78B58}"/>
    <cellStyle name="Output 2 4 4 3" xfId="1937" xr:uid="{B4161334-38EF-4CD3-9456-C05AE9FB1E26}"/>
    <cellStyle name="Output 2 4 4 3 2" xfId="5089" xr:uid="{940AE899-AC6F-4D10-BC08-5E2650C6C0E0}"/>
    <cellStyle name="Output 2 4 4 4" xfId="2412" xr:uid="{4B4FBAE6-CF51-4A73-988A-4516A9E5EC5D}"/>
    <cellStyle name="Output 2 4 4 4 2" xfId="5564" xr:uid="{6D6D4175-7754-467E-AFBB-8538CADFB96A}"/>
    <cellStyle name="Output 2 4 4 5" xfId="2632" xr:uid="{5AD06F2B-B17B-490A-AD4F-41665E8D1A6F}"/>
    <cellStyle name="Output 2 4 4 5 2" xfId="5784" xr:uid="{35BD41ED-7F0F-4B06-BEE8-E5FBE714234E}"/>
    <cellStyle name="Output 2 4 4 6" xfId="2160" xr:uid="{9DDECF33-5E28-4C0D-A917-60CB146BE362}"/>
    <cellStyle name="Output 2 4 4 6 2" xfId="5312" xr:uid="{6C26675B-B4E3-469D-9D3A-C5242DFC4AEB}"/>
    <cellStyle name="Output 2 4 4 7" xfId="3167" xr:uid="{B30094DE-7CA7-4AD7-8244-4AAF831F2CDD}"/>
    <cellStyle name="Output 2 4 4 7 2" xfId="6319" xr:uid="{567EBF9D-E35D-4A8C-A48C-1117322F1E6E}"/>
    <cellStyle name="Output 2 4 4 8" xfId="3967" xr:uid="{A0707F91-BC4A-4D2E-9B8F-7E5904F9A5FC}"/>
    <cellStyle name="Output 2 4 5" xfId="923" xr:uid="{DE1A1166-73B3-491A-8F20-20F799F9250E}"/>
    <cellStyle name="Output 2 4 5 2" xfId="1522" xr:uid="{DA86420A-6505-4BFA-8A3D-5D9D87332199}"/>
    <cellStyle name="Output 2 4 5 2 2" xfId="4674" xr:uid="{F7EA4868-D27C-4592-AF70-66C9D6A253E8}"/>
    <cellStyle name="Output 2 4 5 3" xfId="2056" xr:uid="{1C8B5A2A-E205-4B0D-BD4A-3F547F9CDD16}"/>
    <cellStyle name="Output 2 4 5 3 2" xfId="5208" xr:uid="{C145D39D-CABC-465E-87C6-D6DFC981BE2B}"/>
    <cellStyle name="Output 2 4 5 4" xfId="2705" xr:uid="{394C5015-DBCF-43D9-824F-99DC0220B8A8}"/>
    <cellStyle name="Output 2 4 5 4 2" xfId="5857" xr:uid="{C8F2A026-8B9C-4D19-B05E-4D356B433236}"/>
    <cellStyle name="Output 2 4 5 5" xfId="2873" xr:uid="{10ED935F-D89E-437C-A908-64C8E8648C6B}"/>
    <cellStyle name="Output 2 4 5 5 2" xfId="6025" xr:uid="{E7FAF7FE-69EE-469A-93E5-C4A017A237AF}"/>
    <cellStyle name="Output 2 4 5 6" xfId="3286" xr:uid="{50A83A70-10D7-40A7-A87E-9450B1D41ABA}"/>
    <cellStyle name="Output 2 4 5 7" xfId="4086" xr:uid="{C5B2CE74-1D77-4D75-AF98-3683B53159A6}"/>
    <cellStyle name="Output 2 4 6" xfId="503" xr:uid="{2FFE2EF3-FDB9-4B11-B9C8-F65E1CACC2FD}"/>
    <cellStyle name="Output 2 4 6 2" xfId="3673" xr:uid="{949C49A2-E277-409A-9617-DABB22B13A7B}"/>
    <cellStyle name="Output 2 4 7" xfId="1101" xr:uid="{C00B8F79-586C-4197-BC6B-747B1B1C3A2B}"/>
    <cellStyle name="Output 2 4 7 2" xfId="4260" xr:uid="{F2E26982-A5A4-456F-882C-4962F69245D1}"/>
    <cellStyle name="Output 2 4 8" xfId="1638" xr:uid="{3F2E3A8F-3549-42F1-96BB-D6C01F630693}"/>
    <cellStyle name="Output 2 4 8 2" xfId="4790" xr:uid="{7045EB1C-4EAA-4796-A8A7-5D1D7D0B8296}"/>
    <cellStyle name="Output 2 4 9" xfId="3397" xr:uid="{33EA54DA-D4A4-45F7-B313-D7CC831391EF}"/>
    <cellStyle name="Output 2 5" xfId="89" xr:uid="{6BDAFD20-0CBA-4F3E-81D8-CAB289EB4FD4}"/>
    <cellStyle name="Output 2 5 2" xfId="169" xr:uid="{6E6F4084-28FE-45B8-AFF8-FE8762DAF50D}"/>
    <cellStyle name="Output 2 5 2 2" xfId="455" xr:uid="{33C4CC68-7D1D-42EF-A8E6-30BCBFB01311}"/>
    <cellStyle name="Output 2 5 2 2 2" xfId="652" xr:uid="{270E602B-2D89-49E7-928D-991F65FAD7B5}"/>
    <cellStyle name="Output 2 5 2 2 2 2" xfId="3815" xr:uid="{04F75002-2B1D-402E-A1F1-944345CC6EDF}"/>
    <cellStyle name="Output 2 5 2 2 3" xfId="1251" xr:uid="{D8166942-8A2F-440F-ADFE-7D0E9B8EAB59}"/>
    <cellStyle name="Output 2 5 2 2 3 2" xfId="4403" xr:uid="{8D73CBDF-62F0-4AB7-829D-F066CC802487}"/>
    <cellStyle name="Output 2 5 2 2 4" xfId="1785" xr:uid="{1DA974CA-3C93-40AD-9749-D79F3D9DD3CF}"/>
    <cellStyle name="Output 2 5 2 2 4 2" xfId="4937" xr:uid="{AA00EE9D-37E5-4176-B906-A66A7EE5F081}"/>
    <cellStyle name="Output 2 5 2 2 5" xfId="2260" xr:uid="{0EC9C50B-21C5-4062-B768-5A4A984F2BF0}"/>
    <cellStyle name="Output 2 5 2 2 5 2" xfId="5412" xr:uid="{181B0058-D823-4134-9E42-F5EF40F873FB}"/>
    <cellStyle name="Output 2 5 2 2 6" xfId="2164" xr:uid="{3F5266F5-1079-41B3-A388-7D42ED390C21}"/>
    <cellStyle name="Output 2 5 2 2 6 2" xfId="5316" xr:uid="{0D6C1497-C153-4A4F-BE25-FD1036BC889E}"/>
    <cellStyle name="Output 2 5 2 2 7" xfId="2586" xr:uid="{C65DAFD0-EEB9-4940-950B-936D846BA0E1}"/>
    <cellStyle name="Output 2 5 2 2 7 2" xfId="5738" xr:uid="{E2EAE1A1-B319-458B-8731-D6F8FF721963}"/>
    <cellStyle name="Output 2 5 2 2 8" xfId="3015" xr:uid="{AB60478A-0228-4A8D-B034-ACEEAAB4A960}"/>
    <cellStyle name="Output 2 5 2 2 8 2" xfId="6167" xr:uid="{9989C064-9BF2-4C33-A388-4DD3623964B9}"/>
    <cellStyle name="Output 2 5 2 2 9" xfId="3630" xr:uid="{619E73BD-8BB3-4C1D-9A69-7446B405A105}"/>
    <cellStyle name="Output 2 5 2 3" xfId="880" xr:uid="{739E96D8-168F-4762-BD88-C54F021B7333}"/>
    <cellStyle name="Output 2 5 2 3 2" xfId="1479" xr:uid="{662008BF-5C7B-41F1-A0E7-5935BF318858}"/>
    <cellStyle name="Output 2 5 2 3 2 2" xfId="4631" xr:uid="{8DBC52DD-B29C-454C-9214-2B9E391370FB}"/>
    <cellStyle name="Output 2 5 2 3 3" xfId="2013" xr:uid="{F565C25A-BEB7-4688-92DC-B98D38CD42DB}"/>
    <cellStyle name="Output 2 5 2 3 3 2" xfId="5165" xr:uid="{A7EACAFD-4EEA-458D-B921-71E6188ECB3E}"/>
    <cellStyle name="Output 2 5 2 3 4" xfId="2488" xr:uid="{19A1CC20-C5B0-4115-97DD-9ED44B992A06}"/>
    <cellStyle name="Output 2 5 2 3 4 2" xfId="5640" xr:uid="{EA1506D6-24AA-4A03-AA1A-1E98BCD18AB3}"/>
    <cellStyle name="Output 2 5 2 3 5" xfId="2669" xr:uid="{9936789E-AA94-4917-8F92-72F17F754340}"/>
    <cellStyle name="Output 2 5 2 3 5 2" xfId="5821" xr:uid="{E142082D-2B17-4A40-89DB-189E2CBE1A9E}"/>
    <cellStyle name="Output 2 5 2 3 6" xfId="2830" xr:uid="{E89E3D8B-B4E3-4544-81CD-AEE90CE8A24E}"/>
    <cellStyle name="Output 2 5 2 3 6 2" xfId="5982" xr:uid="{CD79DBFC-0508-49E1-8802-283FAC2FE09B}"/>
    <cellStyle name="Output 2 5 2 3 7" xfId="3243" xr:uid="{7DCEC29D-6897-4971-A82C-02C723B2FA06}"/>
    <cellStyle name="Output 2 5 2 3 7 2" xfId="6395" xr:uid="{48D0C178-9FD7-49E0-85B6-6D7B7EF55AB6}"/>
    <cellStyle name="Output 2 5 2 3 8" xfId="4043" xr:uid="{C0A0C46B-EE15-4D44-9A2B-46304E7712B9}"/>
    <cellStyle name="Output 2 5 2 4" xfId="999" xr:uid="{EE26C9C8-554D-4543-9DC3-5E30258B5273}"/>
    <cellStyle name="Output 2 5 2 4 2" xfId="1598" xr:uid="{A9E2C586-630D-4E4D-95D7-8D4CF414B2C6}"/>
    <cellStyle name="Output 2 5 2 4 2 2" xfId="4750" xr:uid="{17C3F340-A95E-4F15-AA85-0DD4EC93AEC2}"/>
    <cellStyle name="Output 2 5 2 4 3" xfId="2132" xr:uid="{C595A9F2-0DF7-4C2B-B0D7-C29AAF5838BA}"/>
    <cellStyle name="Output 2 5 2 4 3 2" xfId="5284" xr:uid="{040C61BD-4405-4469-ABCB-383C31EB9E6C}"/>
    <cellStyle name="Output 2 5 2 4 4" xfId="2781" xr:uid="{6D73156B-A2A3-41A5-A396-3308D2C2B5D9}"/>
    <cellStyle name="Output 2 5 2 4 4 2" xfId="5933" xr:uid="{4DC223BE-F70F-4D11-B506-55BBC9BBF949}"/>
    <cellStyle name="Output 2 5 2 4 5" xfId="2949" xr:uid="{BD3DD271-06DB-4565-8380-C16F7EC18223}"/>
    <cellStyle name="Output 2 5 2 4 5 2" xfId="6101" xr:uid="{B820C4EF-4688-49CD-B832-A57F679F7060}"/>
    <cellStyle name="Output 2 5 2 4 6" xfId="3362" xr:uid="{5F2B6723-6629-4372-936A-42672B8F4CEF}"/>
    <cellStyle name="Output 2 5 2 4 7" xfId="4162" xr:uid="{90B53E4D-7769-4680-919B-2A03B3B9CE11}"/>
    <cellStyle name="Output 2 5 2 5" xfId="585" xr:uid="{B1F20194-C417-45B8-846C-B038BF114B90}"/>
    <cellStyle name="Output 2 5 2 5 2" xfId="3749" xr:uid="{6C6B7779-C970-46A2-915F-71D8C82FB508}"/>
    <cellStyle name="Output 2 5 2 6" xfId="1184" xr:uid="{68E24447-2C20-4D70-B8C6-C365A98A9F97}"/>
    <cellStyle name="Output 2 5 2 6 2" xfId="4337" xr:uid="{18163C71-24A1-4AFF-AF8C-168A3CCA70E8}"/>
    <cellStyle name="Output 2 5 2 7" xfId="1719" xr:uid="{BFD17E2E-2543-43B9-8F04-BA5844D0AE38}"/>
    <cellStyle name="Output 2 5 2 7 2" xfId="4871" xr:uid="{D600C8D0-4329-4612-B4E0-246B62F65A45}"/>
    <cellStyle name="Output 2 5 2 8" xfId="3486" xr:uid="{760CD2D6-B18B-427C-A694-6827F4A919CA}"/>
    <cellStyle name="Output 2 5 3" xfId="396" xr:uid="{FE97E2C8-973B-4DE4-BC39-6A48299EFC72}"/>
    <cellStyle name="Output 2 5 3 2" xfId="686" xr:uid="{66D9E968-1DDF-4964-B870-95FB6F6A992B}"/>
    <cellStyle name="Output 2 5 3 2 2" xfId="3849" xr:uid="{F73D8A8E-1B23-49C1-B8D9-D0133C4F0FFA}"/>
    <cellStyle name="Output 2 5 3 3" xfId="1285" xr:uid="{12AC767A-03B5-40C9-9778-B73DC3D83581}"/>
    <cellStyle name="Output 2 5 3 3 2" xfId="4437" xr:uid="{23544DA8-AACC-41DB-B052-100150E81798}"/>
    <cellStyle name="Output 2 5 3 4" xfId="1819" xr:uid="{55A4FDD6-7A1E-49BA-BB63-8CD82F32A8F0}"/>
    <cellStyle name="Output 2 5 3 4 2" xfId="4971" xr:uid="{C4AF9749-815A-4106-AADD-944ED8CF3273}"/>
    <cellStyle name="Output 2 5 3 5" xfId="2294" xr:uid="{A4AFBEB7-75CD-4576-A2E8-2198E8D2CB9F}"/>
    <cellStyle name="Output 2 5 3 5 2" xfId="5446" xr:uid="{AA6F377F-00E7-486E-9248-2428C112556C}"/>
    <cellStyle name="Output 2 5 3 6" xfId="1067" xr:uid="{DABD6EC6-B918-4E65-B9B5-413ABD3EEB06}"/>
    <cellStyle name="Output 2 5 3 6 2" xfId="4229" xr:uid="{B32F9331-1276-4EA4-8AED-84782DFC03F2}"/>
    <cellStyle name="Output 2 5 3 7" xfId="2153" xr:uid="{69ECC53E-8DBF-4D7C-9C15-0C0F1D0A64F8}"/>
    <cellStyle name="Output 2 5 3 7 2" xfId="5305" xr:uid="{29092CB2-03A5-4D1B-96AE-66B9E7C750AD}"/>
    <cellStyle name="Output 2 5 3 8" xfId="3049" xr:uid="{2490AAB6-931A-4E53-B516-E28B449512E9}"/>
    <cellStyle name="Output 2 5 3 8 2" xfId="6201" xr:uid="{E7A08855-1C6D-4A20-87F1-4D2D2D784FF7}"/>
    <cellStyle name="Output 2 5 3 9" xfId="3576" xr:uid="{5A365DBB-C787-4A2A-ABB0-4572584A1EF4}"/>
    <cellStyle name="Output 2 5 4" xfId="826" xr:uid="{0678E178-4405-4DAD-9FA2-0900B4958DE0}"/>
    <cellStyle name="Output 2 5 4 2" xfId="1425" xr:uid="{85917289-1E52-4326-89EA-C0BBD575FFFC}"/>
    <cellStyle name="Output 2 5 4 2 2" xfId="4577" xr:uid="{070999E3-66DC-4F87-B8C0-1FAD8E72D8A0}"/>
    <cellStyle name="Output 2 5 4 3" xfId="1959" xr:uid="{B31DBCD6-FD25-4D17-A3A9-C86F9F8A91A8}"/>
    <cellStyle name="Output 2 5 4 3 2" xfId="5111" xr:uid="{E59F926D-4DCB-4EE0-9771-B5601794A275}"/>
    <cellStyle name="Output 2 5 4 4" xfId="2434" xr:uid="{B086054E-3540-4FDD-A312-33187F9F8ED1}"/>
    <cellStyle name="Output 2 5 4 4 2" xfId="5586" xr:uid="{9A9062CC-E2EF-4E7D-ACF3-6EE192EAA70E}"/>
    <cellStyle name="Output 2 5 4 5" xfId="2643" xr:uid="{F36FC230-9704-4E2A-BC99-0A5B606782A8}"/>
    <cellStyle name="Output 2 5 4 5 2" xfId="5795" xr:uid="{7F59BCC4-8A8A-4D66-A754-D9EF5B4FBCAA}"/>
    <cellStyle name="Output 2 5 4 6" xfId="2566" xr:uid="{7C96E960-8A15-4EAA-931C-5D236D52A5F0}"/>
    <cellStyle name="Output 2 5 4 6 2" xfId="5718" xr:uid="{85296DBE-E7F6-43E0-BA2C-EF4ABB6EF735}"/>
    <cellStyle name="Output 2 5 4 7" xfId="3189" xr:uid="{59A113FA-1FCC-4B55-AF49-77CDB73F1A6D}"/>
    <cellStyle name="Output 2 5 4 7 2" xfId="6341" xr:uid="{9FAA9580-FC2A-4E10-8BF9-7BCF78422A0F}"/>
    <cellStyle name="Output 2 5 4 8" xfId="3989" xr:uid="{7AE91802-803C-4EAE-87FD-437B79262EEF}"/>
    <cellStyle name="Output 2 5 5" xfId="945" xr:uid="{84830310-81C6-49C2-AA8C-CD05941A796C}"/>
    <cellStyle name="Output 2 5 5 2" xfId="1544" xr:uid="{02377455-A84F-4539-A460-06EFB7CB40D6}"/>
    <cellStyle name="Output 2 5 5 2 2" xfId="4696" xr:uid="{4C5D76C4-DBF5-4590-BA34-BC79EBB0D6D0}"/>
    <cellStyle name="Output 2 5 5 3" xfId="2078" xr:uid="{E1079134-97BE-458E-9068-AE93D9FCF6D9}"/>
    <cellStyle name="Output 2 5 5 3 2" xfId="5230" xr:uid="{16E4C647-60FF-49BF-AFC1-B7B6A16629F4}"/>
    <cellStyle name="Output 2 5 5 4" xfId="2727" xr:uid="{9FAA9B16-2335-41BC-A36C-DD67E379674F}"/>
    <cellStyle name="Output 2 5 5 4 2" xfId="5879" xr:uid="{5EF94A9D-1B07-49C2-A1B6-C60AA2C54990}"/>
    <cellStyle name="Output 2 5 5 5" xfId="2895" xr:uid="{960E196F-0565-4C0A-9A27-C1F732211AF6}"/>
    <cellStyle name="Output 2 5 5 5 2" xfId="6047" xr:uid="{3BAC294B-0459-4AEF-9AE4-30EEBA47443F}"/>
    <cellStyle name="Output 2 5 5 6" xfId="3308" xr:uid="{2D5D14C7-6BBC-48EE-9BB3-61798CC9E3D0}"/>
    <cellStyle name="Output 2 5 5 7" xfId="4108" xr:uid="{A0EBD528-7C4F-4A02-9B10-09D6389695F0}"/>
    <cellStyle name="Output 2 5 6" xfId="526" xr:uid="{FEBD33B1-BE82-47BB-9A40-F8FDA12218D1}"/>
    <cellStyle name="Output 2 5 6 2" xfId="3695" xr:uid="{71DA4006-46D3-47D2-B91E-E62987DE27A4}"/>
    <cellStyle name="Output 2 5 7" xfId="1124" xr:uid="{21C1CE7C-2172-42C8-9691-F9101015931E}"/>
    <cellStyle name="Output 2 5 7 2" xfId="4282" xr:uid="{72B17402-043D-4B6C-9C9A-E44870ED8D3C}"/>
    <cellStyle name="Output 2 5 8" xfId="1661" xr:uid="{2C8510E9-16A3-4C3E-88AE-B91BAEC5E7DC}"/>
    <cellStyle name="Output 2 5 8 2" xfId="4813" xr:uid="{DB14C2D3-A0EC-46D9-B17A-CD9A8D69DE84}"/>
    <cellStyle name="Output 2 5 9" xfId="3419" xr:uid="{3B0A0381-7EF4-48D0-A676-FBF795DE0DA4}"/>
    <cellStyle name="Output 2 6" xfId="62" xr:uid="{13C674E3-BA5B-4699-9345-4562586A8874}"/>
    <cellStyle name="Output 2 6 2" xfId="147" xr:uid="{8814CF0F-2240-4500-9520-8598B9A26DA7}"/>
    <cellStyle name="Output 2 6 2 2" xfId="431" xr:uid="{EFC7AC7F-3F09-4080-B8B2-720DE515E018}"/>
    <cellStyle name="Output 2 6 2 2 2" xfId="664" xr:uid="{AEA8F63B-E1F9-46EB-9BB6-369AEFFEA754}"/>
    <cellStyle name="Output 2 6 2 2 2 2" xfId="3827" xr:uid="{87FDF01A-0BF7-4912-9208-423E611E1D31}"/>
    <cellStyle name="Output 2 6 2 2 3" xfId="1263" xr:uid="{1AB722C9-2B51-429B-8281-7D84D6FDCC22}"/>
    <cellStyle name="Output 2 6 2 2 3 2" xfId="4415" xr:uid="{1E2A2C84-C2CC-46A4-B201-C7F8281BF923}"/>
    <cellStyle name="Output 2 6 2 2 4" xfId="1797" xr:uid="{3260FB70-1D45-48F3-809B-8741509EECDB}"/>
    <cellStyle name="Output 2 6 2 2 4 2" xfId="4949" xr:uid="{2C263229-501D-47A7-A298-2C1BE7E05A26}"/>
    <cellStyle name="Output 2 6 2 2 5" xfId="2272" xr:uid="{CD0B8271-EB82-462B-8537-48B26CECB329}"/>
    <cellStyle name="Output 2 6 2 2 5 2" xfId="5424" xr:uid="{B8A48DFF-7938-4E3F-9C66-F76FB6B3CBDE}"/>
    <cellStyle name="Output 2 6 2 2 6" xfId="2170" xr:uid="{F0249482-D8C2-48E7-8B9A-365D9EC53ED9}"/>
    <cellStyle name="Output 2 6 2 2 6 2" xfId="5322" xr:uid="{D426D352-49EF-4B6A-A8F5-F4821B0147D4}"/>
    <cellStyle name="Output 2 6 2 2 7" xfId="2204" xr:uid="{07B64A4A-6D27-48DB-A509-788C51752F07}"/>
    <cellStyle name="Output 2 6 2 2 7 2" xfId="5356" xr:uid="{99826F60-DBF4-4B60-9B21-2F4B822E1E4D}"/>
    <cellStyle name="Output 2 6 2 2 8" xfId="3027" xr:uid="{AFA22A19-CDA1-4330-9E88-00FA25D0D454}"/>
    <cellStyle name="Output 2 6 2 2 8 2" xfId="6179" xr:uid="{E30CEE82-CE06-4694-B557-B2E7F1DEFC99}"/>
    <cellStyle name="Output 2 6 2 2 9" xfId="3606" xr:uid="{3AAEBF2D-0070-4524-A0CD-55368DD2BAD3}"/>
    <cellStyle name="Output 2 6 2 3" xfId="856" xr:uid="{AFD9B12B-BB44-46E5-96F7-681F8F68C955}"/>
    <cellStyle name="Output 2 6 2 3 2" xfId="1455" xr:uid="{10C74AC2-08F1-492A-BF83-19DBE5606B75}"/>
    <cellStyle name="Output 2 6 2 3 2 2" xfId="4607" xr:uid="{60E42069-C4B7-46BA-BE12-7BAC828D95E0}"/>
    <cellStyle name="Output 2 6 2 3 3" xfId="1989" xr:uid="{85C406B1-2D4E-49E5-9276-15431A32AB96}"/>
    <cellStyle name="Output 2 6 2 3 3 2" xfId="5141" xr:uid="{CAB8B808-EC22-44C9-ABDB-97A0E23C4B9F}"/>
    <cellStyle name="Output 2 6 2 3 4" xfId="2464" xr:uid="{86D2F8FF-1D38-4D2D-96AD-7599A17F75F7}"/>
    <cellStyle name="Output 2 6 2 3 4 2" xfId="5616" xr:uid="{D29A1151-C8E5-420C-8750-CAB367FA9302}"/>
    <cellStyle name="Output 2 6 2 3 5" xfId="2658" xr:uid="{35BD07EE-EA7E-4657-94AA-6AE1DF7BE387}"/>
    <cellStyle name="Output 2 6 2 3 5 2" xfId="5810" xr:uid="{36CFDFD1-4E3B-4FED-B344-F2BB9231A401}"/>
    <cellStyle name="Output 2 6 2 3 6" xfId="2806" xr:uid="{373D7C00-CE0D-4964-80D1-0B9B5874C4A4}"/>
    <cellStyle name="Output 2 6 2 3 6 2" xfId="5958" xr:uid="{F5C785BA-C870-4EBF-B585-8084C7FCA60E}"/>
    <cellStyle name="Output 2 6 2 3 7" xfId="3219" xr:uid="{890C8D56-872A-4BB9-B695-71346D7A3E85}"/>
    <cellStyle name="Output 2 6 2 3 7 2" xfId="6371" xr:uid="{5E49A1CD-5293-4ED4-A6A7-3C46FC772166}"/>
    <cellStyle name="Output 2 6 2 3 8" xfId="4019" xr:uid="{9A6B46FB-A227-442A-96B1-829A299DCB66}"/>
    <cellStyle name="Output 2 6 2 4" xfId="975" xr:uid="{AD770D9D-5781-428F-84D9-57A5922C73BA}"/>
    <cellStyle name="Output 2 6 2 4 2" xfId="1574" xr:uid="{7A372FCD-FCD6-4F13-BF2C-CA2591BCB34F}"/>
    <cellStyle name="Output 2 6 2 4 2 2" xfId="4726" xr:uid="{83CAA397-198E-492C-A0D5-F77B478EAF8C}"/>
    <cellStyle name="Output 2 6 2 4 3" xfId="2108" xr:uid="{A165AD25-8090-4659-A351-3B377D82775C}"/>
    <cellStyle name="Output 2 6 2 4 3 2" xfId="5260" xr:uid="{C9E0DBB8-54B3-4677-8E96-14A61F92CC2E}"/>
    <cellStyle name="Output 2 6 2 4 4" xfId="2757" xr:uid="{F2AE8A5B-2A33-4BAB-BAB9-E118D6C3E0E2}"/>
    <cellStyle name="Output 2 6 2 4 4 2" xfId="5909" xr:uid="{4C77C1B9-506E-42F5-AA33-D059771730AE}"/>
    <cellStyle name="Output 2 6 2 4 5" xfId="2925" xr:uid="{D3B8A9FA-1A1C-4638-81DB-3B982BC5050D}"/>
    <cellStyle name="Output 2 6 2 4 5 2" xfId="6077" xr:uid="{88967F5C-C99B-4CC2-B0B6-DC10E68C2067}"/>
    <cellStyle name="Output 2 6 2 4 6" xfId="3338" xr:uid="{3D1BFA41-3A21-43BF-9B1B-EE2746D617B4}"/>
    <cellStyle name="Output 2 6 2 4 7" xfId="4138" xr:uid="{091B520F-3152-4DB2-B826-75D202605CC9}"/>
    <cellStyle name="Output 2 6 2 5" xfId="561" xr:uid="{9C55A15C-D2D6-4877-AFA2-6D677AC299E2}"/>
    <cellStyle name="Output 2 6 2 5 2" xfId="3725" xr:uid="{5BA47CAE-C5B1-4E60-BF01-AEC5DE51A8A1}"/>
    <cellStyle name="Output 2 6 2 6" xfId="1160" xr:uid="{B0AEAAB8-C56E-4470-90A6-E19962523A03}"/>
    <cellStyle name="Output 2 6 2 6 2" xfId="4313" xr:uid="{FFB885DD-E399-439F-B1BD-139CC4079594}"/>
    <cellStyle name="Output 2 6 2 7" xfId="1695" xr:uid="{4AB52F81-53B1-4DF3-A3A7-54A48EA8A752}"/>
    <cellStyle name="Output 2 6 2 7 2" xfId="4847" xr:uid="{A820F223-70DD-4F71-B01B-49046BFB1B1E}"/>
    <cellStyle name="Output 2 6 2 8" xfId="3465" xr:uid="{432463D6-EC48-4372-8B3B-BCDF4BA5075A}"/>
    <cellStyle name="Output 2 6 3" xfId="370" xr:uid="{41858D9E-2133-49F3-8213-6E3158D44179}"/>
    <cellStyle name="Output 2 6 3 2" xfId="674" xr:uid="{A72D60B5-8A9E-44B5-BD92-9B0E2233823D}"/>
    <cellStyle name="Output 2 6 3 2 2" xfId="3837" xr:uid="{01B17E3E-95A5-45E1-AB00-9E9CC7AC1D9A}"/>
    <cellStyle name="Output 2 6 3 3" xfId="1273" xr:uid="{50982241-6339-4267-A6C6-08460AC3F4AB}"/>
    <cellStyle name="Output 2 6 3 3 2" xfId="4425" xr:uid="{8B19E4AA-AE2C-4EA1-8EE1-F5919F8AA188}"/>
    <cellStyle name="Output 2 6 3 4" xfId="1807" xr:uid="{A622E43D-EE2A-484D-B85B-1D8A668C4028}"/>
    <cellStyle name="Output 2 6 3 4 2" xfId="4959" xr:uid="{D09D765A-6CF1-46A9-8951-668172C2B7E5}"/>
    <cellStyle name="Output 2 6 3 5" xfId="2282" xr:uid="{03CC5856-1DDD-4AEC-A092-73F1C2A60EE9}"/>
    <cellStyle name="Output 2 6 3 5 2" xfId="5434" xr:uid="{28EE1EEE-80CC-4FD5-A004-AA43691C16A6}"/>
    <cellStyle name="Output 2 6 3 6" xfId="1035" xr:uid="{088E4B67-F901-4792-9530-149CCBD97B41}"/>
    <cellStyle name="Output 2 6 3 6 2" xfId="4198" xr:uid="{F6BF691B-F066-4DD0-9B48-D5ABC289D27D}"/>
    <cellStyle name="Output 2 6 3 7" xfId="2575" xr:uid="{37514CF8-34AE-4176-950B-895E01938724}"/>
    <cellStyle name="Output 2 6 3 7 2" xfId="5727" xr:uid="{D8DD9457-D346-476C-BF78-1CC4ED477417}"/>
    <cellStyle name="Output 2 6 3 8" xfId="3037" xr:uid="{A611B565-1B36-4F0D-96EA-1A706BB47DEF}"/>
    <cellStyle name="Output 2 6 3 8 2" xfId="6189" xr:uid="{30A232B7-27BE-4EB4-B175-ED170CEEF72C}"/>
    <cellStyle name="Output 2 6 3 9" xfId="3552" xr:uid="{0F42DE5F-EB93-4D57-8D81-E0A7DE0C3FC9}"/>
    <cellStyle name="Output 2 6 4" xfId="802" xr:uid="{E6B026FE-141E-4496-9F30-5BBAA44CDE49}"/>
    <cellStyle name="Output 2 6 4 2" xfId="1401" xr:uid="{F51F708C-D47C-4064-B50A-18E154028A68}"/>
    <cellStyle name="Output 2 6 4 2 2" xfId="4553" xr:uid="{858E3125-D788-47B7-A0DB-226281CE217A}"/>
    <cellStyle name="Output 2 6 4 3" xfId="1935" xr:uid="{8E93FD99-2D14-4C09-A807-3D632341B1AD}"/>
    <cellStyle name="Output 2 6 4 3 2" xfId="5087" xr:uid="{1E084AE8-C8FB-4106-957C-C9371EBB09A7}"/>
    <cellStyle name="Output 2 6 4 4" xfId="2410" xr:uid="{857A6EBD-4547-4752-9110-658A992D0096}"/>
    <cellStyle name="Output 2 6 4 4 2" xfId="5562" xr:uid="{929A075D-4891-4E25-BE61-9B6A4F40A8B2}"/>
    <cellStyle name="Output 2 6 4 5" xfId="2631" xr:uid="{CCC8C7A8-653F-41B2-99E7-5FF07BBB8B28}"/>
    <cellStyle name="Output 2 6 4 5 2" xfId="5783" xr:uid="{316056AC-7318-41D5-8027-65FA97F80630}"/>
    <cellStyle name="Output 2 6 4 6" xfId="1032" xr:uid="{2B221A99-38AA-4F8A-8A69-CEED0254EB46}"/>
    <cellStyle name="Output 2 6 4 6 2" xfId="4195" xr:uid="{E141EBC2-73B2-4CB6-9DFB-5D330975A196}"/>
    <cellStyle name="Output 2 6 4 7" xfId="3165" xr:uid="{20F966F5-86A1-43A5-B069-2DD92271E02C}"/>
    <cellStyle name="Output 2 6 4 7 2" xfId="6317" xr:uid="{6E780B75-9327-4887-A1BE-699E2DE99D96}"/>
    <cellStyle name="Output 2 6 4 8" xfId="3965" xr:uid="{7149E432-A95B-4133-BB18-62AF693132B4}"/>
    <cellStyle name="Output 2 6 5" xfId="921" xr:uid="{E50BF316-494E-400B-8D95-C67BA746C0F1}"/>
    <cellStyle name="Output 2 6 5 2" xfId="1520" xr:uid="{A2404C0E-0125-410C-8E43-7174EA15DF4F}"/>
    <cellStyle name="Output 2 6 5 2 2" xfId="4672" xr:uid="{28171857-11D4-4724-8BFF-63DF77C1C070}"/>
    <cellStyle name="Output 2 6 5 3" xfId="2054" xr:uid="{C9F4A141-9DC9-48FA-93AE-786D3F133A0D}"/>
    <cellStyle name="Output 2 6 5 3 2" xfId="5206" xr:uid="{14CEF2D7-81B5-4DF1-A1A5-D41999432368}"/>
    <cellStyle name="Output 2 6 5 4" xfId="2703" xr:uid="{099B6A7F-9756-4D04-96B9-FFEB5E068B89}"/>
    <cellStyle name="Output 2 6 5 4 2" xfId="5855" xr:uid="{4C8A84D2-64BE-4339-89B2-9DEEEA10805F}"/>
    <cellStyle name="Output 2 6 5 5" xfId="2871" xr:uid="{262C689B-4C7A-453D-B0D2-059789F5FDA9}"/>
    <cellStyle name="Output 2 6 5 5 2" xfId="6023" xr:uid="{3A6A738A-8C03-4B5F-9ED7-13E5954FB269}"/>
    <cellStyle name="Output 2 6 5 6" xfId="3284" xr:uid="{4AC050AF-A65E-453D-9BCD-A98752B6C79D}"/>
    <cellStyle name="Output 2 6 5 7" xfId="4084" xr:uid="{1BBC3706-155C-4366-AC59-C61FD118098D}"/>
    <cellStyle name="Output 2 6 6" xfId="501" xr:uid="{60D5EA27-A1E5-460F-8E05-AB03D021B413}"/>
    <cellStyle name="Output 2 6 6 2" xfId="3671" xr:uid="{BD0DEBA1-938E-4807-AC7D-28465EE7DB12}"/>
    <cellStyle name="Output 2 6 7" xfId="1099" xr:uid="{1FDC38DB-24E9-4704-A1E1-65D9F1D10A31}"/>
    <cellStyle name="Output 2 6 7 2" xfId="4258" xr:uid="{411F0F49-C21B-4DDA-816F-52445D6444FE}"/>
    <cellStyle name="Output 2 6 8" xfId="1636" xr:uid="{0239B8DF-1510-4749-8692-DD7EBD9A6BB7}"/>
    <cellStyle name="Output 2 6 8 2" xfId="4788" xr:uid="{FBB9A107-C4E5-4A5D-BF91-4D20DD732553}"/>
    <cellStyle name="Output 2 6 9" xfId="3395" xr:uid="{3447557C-50E1-4EB2-A1DB-D33E47131CC4}"/>
    <cellStyle name="Output 2 7" xfId="87" xr:uid="{11F38276-937A-4A49-99F9-AAC12F001C88}"/>
    <cellStyle name="Output 2 7 2" xfId="167" xr:uid="{A557CB5E-0DEA-493A-B007-C630028DF9B5}"/>
    <cellStyle name="Output 2 7 2 2" xfId="453" xr:uid="{CBA6216A-C339-4703-BE52-C4B5A8505859}"/>
    <cellStyle name="Output 2 7 2 2 2" xfId="653" xr:uid="{2464B233-6AED-44F5-87E3-3393E00E159F}"/>
    <cellStyle name="Output 2 7 2 2 2 2" xfId="3816" xr:uid="{419F13CB-F6B4-4539-906B-852588F32EB4}"/>
    <cellStyle name="Output 2 7 2 2 3" xfId="1252" xr:uid="{8102005B-CD7F-4B28-AF81-C06F55F82123}"/>
    <cellStyle name="Output 2 7 2 2 3 2" xfId="4404" xr:uid="{DFBA6E0A-8503-453E-84F7-E369D5E5A506}"/>
    <cellStyle name="Output 2 7 2 2 4" xfId="1786" xr:uid="{E2CC39CA-285B-4AC2-B783-EF49BF0C4C21}"/>
    <cellStyle name="Output 2 7 2 2 4 2" xfId="4938" xr:uid="{451F46A7-BA7B-4314-81F2-25571554450E}"/>
    <cellStyle name="Output 2 7 2 2 5" xfId="2261" xr:uid="{A3D60172-8A3F-42F7-B5A0-26BE43B22514}"/>
    <cellStyle name="Output 2 7 2 2 5 2" xfId="5413" xr:uid="{10D3A76E-3B6B-4B9D-8316-644713A99347}"/>
    <cellStyle name="Output 2 7 2 2 6" xfId="2538" xr:uid="{DEC5E53D-2FB1-423A-907A-BF1FBCE92E24}"/>
    <cellStyle name="Output 2 7 2 2 6 2" xfId="5690" xr:uid="{773A3084-9344-439D-A450-C9F894AC4838}"/>
    <cellStyle name="Output 2 7 2 2 7" xfId="2567" xr:uid="{462C69E7-ACF8-4118-A78A-EF6627E1B4DF}"/>
    <cellStyle name="Output 2 7 2 2 7 2" xfId="5719" xr:uid="{68F68133-5F89-4624-91CA-96E0FAFE292C}"/>
    <cellStyle name="Output 2 7 2 2 8" xfId="3016" xr:uid="{575764EA-8448-440A-B5A5-D19FB1910F6C}"/>
    <cellStyle name="Output 2 7 2 2 8 2" xfId="6168" xr:uid="{B3C66DFB-C6D6-4760-8A97-C33C0BBE96DF}"/>
    <cellStyle name="Output 2 7 2 2 9" xfId="3628" xr:uid="{E1E1272B-7596-4802-932A-7F6AE608C5EB}"/>
    <cellStyle name="Output 2 7 2 3" xfId="878" xr:uid="{BD148B8D-A144-426D-98EC-E84B5118E254}"/>
    <cellStyle name="Output 2 7 2 3 2" xfId="1477" xr:uid="{7F96D7E8-01A8-40B4-9C66-8C118182999C}"/>
    <cellStyle name="Output 2 7 2 3 2 2" xfId="4629" xr:uid="{6158C2CC-954B-433A-8DB9-6909B1168182}"/>
    <cellStyle name="Output 2 7 2 3 3" xfId="2011" xr:uid="{A4207D14-C3D1-47D7-B21B-2C71F21FCCF4}"/>
    <cellStyle name="Output 2 7 2 3 3 2" xfId="5163" xr:uid="{746610D0-9FF3-4F92-BF85-1672FD286600}"/>
    <cellStyle name="Output 2 7 2 3 4" xfId="2486" xr:uid="{700A310E-D18A-4E0F-A341-FA8273760800}"/>
    <cellStyle name="Output 2 7 2 3 4 2" xfId="5638" xr:uid="{A5194438-2EF5-4C16-A520-3EA0F9182872}"/>
    <cellStyle name="Output 2 7 2 3 5" xfId="2667" xr:uid="{D685A2AC-6E9F-41FB-B6B6-EA6D0B1C1B36}"/>
    <cellStyle name="Output 2 7 2 3 5 2" xfId="5819" xr:uid="{09CAB8A7-5A64-4091-9039-F8CDACEB9A87}"/>
    <cellStyle name="Output 2 7 2 3 6" xfId="2828" xr:uid="{1CC84923-43B3-4DC8-83EA-DDBF0B5187AF}"/>
    <cellStyle name="Output 2 7 2 3 6 2" xfId="5980" xr:uid="{12DE294E-F470-4CF9-81B2-8EE2AAC1A8AE}"/>
    <cellStyle name="Output 2 7 2 3 7" xfId="3241" xr:uid="{451D49D4-5824-46C3-9A6C-ED67D1701C58}"/>
    <cellStyle name="Output 2 7 2 3 7 2" xfId="6393" xr:uid="{C3A13190-CBA3-47A0-806F-B8A9C8C3C081}"/>
    <cellStyle name="Output 2 7 2 3 8" xfId="4041" xr:uid="{77F23D99-B9F7-4752-B967-9250DEFAAB6B}"/>
    <cellStyle name="Output 2 7 2 4" xfId="997" xr:uid="{47E94BAA-5C87-4AF7-9E1A-08088CEE0722}"/>
    <cellStyle name="Output 2 7 2 4 2" xfId="1596" xr:uid="{EEA5BF36-3C2F-4C7E-95FA-3F6010F07D34}"/>
    <cellStyle name="Output 2 7 2 4 2 2" xfId="4748" xr:uid="{5891997D-AD02-455D-8B4D-E37AA9C83311}"/>
    <cellStyle name="Output 2 7 2 4 3" xfId="2130" xr:uid="{CAA2984C-F2F6-4542-B318-2E5E5BFC2F2E}"/>
    <cellStyle name="Output 2 7 2 4 3 2" xfId="5282" xr:uid="{4831CAFA-D899-4F21-9450-9DBCF2289497}"/>
    <cellStyle name="Output 2 7 2 4 4" xfId="2779" xr:uid="{3EFA250D-AAB2-47F8-B21B-747B9A691594}"/>
    <cellStyle name="Output 2 7 2 4 4 2" xfId="5931" xr:uid="{58B9A366-1716-4E5A-BE89-FD144BF59897}"/>
    <cellStyle name="Output 2 7 2 4 5" xfId="2947" xr:uid="{ABAF4E8C-E6A6-4670-9FEF-632C18F261DF}"/>
    <cellStyle name="Output 2 7 2 4 5 2" xfId="6099" xr:uid="{114355EF-8A09-4A13-B140-C6284213B07F}"/>
    <cellStyle name="Output 2 7 2 4 6" xfId="3360" xr:uid="{FA6760CC-C76B-412B-BA11-91A90656549B}"/>
    <cellStyle name="Output 2 7 2 4 7" xfId="4160" xr:uid="{2F5B30C6-E819-4986-BD98-CAF015408250}"/>
    <cellStyle name="Output 2 7 2 5" xfId="583" xr:uid="{82AE2A8B-6B05-4C35-BC68-B6E7467EC96C}"/>
    <cellStyle name="Output 2 7 2 5 2" xfId="3747" xr:uid="{394504B4-64AC-4FE1-A677-4AB3D0651BEB}"/>
    <cellStyle name="Output 2 7 2 6" xfId="1182" xr:uid="{E2DC1FC3-AECC-4AB3-99EF-1F007D6ACB3C}"/>
    <cellStyle name="Output 2 7 2 6 2" xfId="4335" xr:uid="{32353DB7-A86F-49FF-826E-ECD2D82C858D}"/>
    <cellStyle name="Output 2 7 2 7" xfId="1717" xr:uid="{8C7FD532-7833-47F5-AC03-2A5E761B31B7}"/>
    <cellStyle name="Output 2 7 2 7 2" xfId="4869" xr:uid="{18E45064-11AC-419C-816A-0688A2D92B01}"/>
    <cellStyle name="Output 2 7 2 8" xfId="3484" xr:uid="{3DB2C933-2A08-4BF3-953C-45563199B25F}"/>
    <cellStyle name="Output 2 7 3" xfId="394" xr:uid="{3A3B4E20-A525-41AB-A2B3-D323C052FDED}"/>
    <cellStyle name="Output 2 7 3 2" xfId="630" xr:uid="{FB99447C-4631-4A9B-9F1C-7909B97BA209}"/>
    <cellStyle name="Output 2 7 3 2 2" xfId="3793" xr:uid="{FEAAB5A2-83D1-4785-BABB-5933E62A17E1}"/>
    <cellStyle name="Output 2 7 3 3" xfId="1229" xr:uid="{F097F2F5-04B7-485A-B763-6ED6C79013E1}"/>
    <cellStyle name="Output 2 7 3 3 2" xfId="4381" xr:uid="{EE046EFA-B624-4695-BF6D-FAA0C4779FCE}"/>
    <cellStyle name="Output 2 7 3 4" xfId="1763" xr:uid="{1C7E2302-B50B-4843-A540-7087EACB2151}"/>
    <cellStyle name="Output 2 7 3 4 2" xfId="4915" xr:uid="{3AAFC51F-22D2-4016-BEBF-76916267D02B}"/>
    <cellStyle name="Output 2 7 3 5" xfId="2238" xr:uid="{03C20BF6-1DFE-49D8-BF5E-5DC292FDBD5E}"/>
    <cellStyle name="Output 2 7 3 5 2" xfId="5390" xr:uid="{E80B2532-F87C-412B-9ACB-A977E5B9C64A}"/>
    <cellStyle name="Output 2 7 3 6" xfId="2152" xr:uid="{9801D845-EAE8-45F0-9422-8C617A8412DD}"/>
    <cellStyle name="Output 2 7 3 6 2" xfId="5304" xr:uid="{5DBCF482-739A-42C1-B74A-375A254976EA}"/>
    <cellStyle name="Output 2 7 3 7" xfId="2614" xr:uid="{544D1E14-DCFA-4290-B0FF-612EEE74682F}"/>
    <cellStyle name="Output 2 7 3 7 2" xfId="5766" xr:uid="{0BD54620-EA41-4F38-8F7F-35C9489AB9B0}"/>
    <cellStyle name="Output 2 7 3 8" xfId="2993" xr:uid="{5E448F76-AEB6-413F-8D1F-7CDC80420861}"/>
    <cellStyle name="Output 2 7 3 8 2" xfId="6145" xr:uid="{29067085-8405-4FCF-86AE-EB1F5CF967AE}"/>
    <cellStyle name="Output 2 7 3 9" xfId="3574" xr:uid="{EA3E6452-5B49-4360-84BD-4096DA8F4B34}"/>
    <cellStyle name="Output 2 7 4" xfId="824" xr:uid="{4BD068EA-F330-4578-860C-06E696E2980D}"/>
    <cellStyle name="Output 2 7 4 2" xfId="1423" xr:uid="{136EE7F9-6095-447E-ADA7-925759A2E573}"/>
    <cellStyle name="Output 2 7 4 2 2" xfId="4575" xr:uid="{99E21B9B-5FCD-4B3D-806C-94F6CC45DE94}"/>
    <cellStyle name="Output 2 7 4 3" xfId="1957" xr:uid="{68A5D99D-30E4-4457-BC8A-B8972378E760}"/>
    <cellStyle name="Output 2 7 4 3 2" xfId="5109" xr:uid="{94A51121-E77E-4C8C-AA22-5500799BDDA2}"/>
    <cellStyle name="Output 2 7 4 4" xfId="2432" xr:uid="{08098286-0101-46B5-A428-AE890A760C88}"/>
    <cellStyle name="Output 2 7 4 4 2" xfId="5584" xr:uid="{DF49E12A-150D-4BF8-989B-A2696B470941}"/>
    <cellStyle name="Output 2 7 4 5" xfId="2641" xr:uid="{A894C5B0-69B6-40ED-889E-CBAB2B0E5C01}"/>
    <cellStyle name="Output 2 7 4 5 2" xfId="5793" xr:uid="{AAE4D975-F08D-4C9D-8D69-92860DD4789D}"/>
    <cellStyle name="Output 2 7 4 6" xfId="2199" xr:uid="{7C9A035E-21E3-47FE-A388-EC3C317E0C3F}"/>
    <cellStyle name="Output 2 7 4 6 2" xfId="5351" xr:uid="{7327FF39-3FFA-4171-BC03-B1BE0F38E7A5}"/>
    <cellStyle name="Output 2 7 4 7" xfId="3187" xr:uid="{29027E94-1FE0-46C5-B635-3A69DF16CE8B}"/>
    <cellStyle name="Output 2 7 4 7 2" xfId="6339" xr:uid="{B8DB277E-662F-487C-BA93-1AFCA35D5A1A}"/>
    <cellStyle name="Output 2 7 4 8" xfId="3987" xr:uid="{F5C1CFF9-FF28-4A6C-99EC-DD6FC838BAC1}"/>
    <cellStyle name="Output 2 7 5" xfId="943" xr:uid="{A5287354-A0B1-4471-9870-5C5B6DBA2490}"/>
    <cellStyle name="Output 2 7 5 2" xfId="1542" xr:uid="{885AFC9E-33DB-4AEC-9D72-B5454896A7BF}"/>
    <cellStyle name="Output 2 7 5 2 2" xfId="4694" xr:uid="{1E38FF14-078E-4DB5-A341-9E11017D738D}"/>
    <cellStyle name="Output 2 7 5 3" xfId="2076" xr:uid="{B17C10E6-A1DC-483B-B556-4694416F4C63}"/>
    <cellStyle name="Output 2 7 5 3 2" xfId="5228" xr:uid="{F01BEA8F-7B18-4AE8-B103-F0C8A2A1939C}"/>
    <cellStyle name="Output 2 7 5 4" xfId="2725" xr:uid="{4A519DF5-3EE2-4CD3-98A1-FBA8D04A5218}"/>
    <cellStyle name="Output 2 7 5 4 2" xfId="5877" xr:uid="{28149BF5-5641-4829-9A86-32B4BF302B34}"/>
    <cellStyle name="Output 2 7 5 5" xfId="2893" xr:uid="{827F633C-BC4E-4807-8991-17C4EFB925FD}"/>
    <cellStyle name="Output 2 7 5 5 2" xfId="6045" xr:uid="{405EE0A6-89EC-49CE-90DE-D329B523C405}"/>
    <cellStyle name="Output 2 7 5 6" xfId="3306" xr:uid="{F11FCF36-7698-40DE-8A84-6AD2B6FB805F}"/>
    <cellStyle name="Output 2 7 5 7" xfId="4106" xr:uid="{93F7A0C2-A1AD-4B02-B038-709F43EF7F8B}"/>
    <cellStyle name="Output 2 7 6" xfId="524" xr:uid="{8313E75A-DCCB-41FE-A6CA-184B34366D30}"/>
    <cellStyle name="Output 2 7 6 2" xfId="3693" xr:uid="{CE9E54F5-B36D-41E9-A4CC-71CD51F356AF}"/>
    <cellStyle name="Output 2 7 7" xfId="1122" xr:uid="{5EE35BA2-8744-4EB5-8C9E-D49373A6972C}"/>
    <cellStyle name="Output 2 7 7 2" xfId="4280" xr:uid="{E0943FE7-2884-409F-921D-7E69553FCEC9}"/>
    <cellStyle name="Output 2 7 8" xfId="1659" xr:uid="{BC912EFB-ECB3-4BBD-B593-92FABD7BD234}"/>
    <cellStyle name="Output 2 7 8 2" xfId="4811" xr:uid="{CBA1AE02-5CAF-4B46-B5A6-7B6A8D34859C}"/>
    <cellStyle name="Output 2 7 9" xfId="3417" xr:uid="{EE57B6A8-DAE6-48F5-8D87-C4EEE4A0309A}"/>
    <cellStyle name="Output 2 8" xfId="117" xr:uid="{CE98B059-8344-41E3-980E-7FF573794733}"/>
    <cellStyle name="Output 2 8 2" xfId="195" xr:uid="{80C6EF0F-4E2C-4F2E-9F9B-635AA9DA446A}"/>
    <cellStyle name="Output 2 8 2 2" xfId="642" xr:uid="{C9A7BCD0-CC3A-4792-A440-0B15DD937C6F}"/>
    <cellStyle name="Output 2 8 2 2 2" xfId="3805" xr:uid="{A4111A93-7539-4DCD-B1A5-978C659BCAB7}"/>
    <cellStyle name="Output 2 8 2 3" xfId="1241" xr:uid="{83D5E359-A184-4D9F-92F8-39B42D1B14B9}"/>
    <cellStyle name="Output 2 8 2 3 2" xfId="4393" xr:uid="{32DA72D2-F666-499C-BB52-9CADC03D8791}"/>
    <cellStyle name="Output 2 8 2 4" xfId="1775" xr:uid="{374E83A4-5EF4-4FDD-BF2F-004FED789EB4}"/>
    <cellStyle name="Output 2 8 2 4 2" xfId="4927" xr:uid="{82F7FF2E-04E2-403F-A3E4-8DA4E29569DE}"/>
    <cellStyle name="Output 2 8 2 5" xfId="2250" xr:uid="{95B90ABE-6A34-4CCD-B581-F3C345FFD5E8}"/>
    <cellStyle name="Output 2 8 2 5 2" xfId="5402" xr:uid="{93C4F47F-907C-4C1D-B16E-278BE9C2BCA4}"/>
    <cellStyle name="Output 2 8 2 6" xfId="2623" xr:uid="{A471ACC9-09BB-4CC5-AE8A-AF76D4EFCA69}"/>
    <cellStyle name="Output 2 8 2 6 2" xfId="5775" xr:uid="{5ACE6AEC-2215-4DD3-BA62-0AB20FF9E4CE}"/>
    <cellStyle name="Output 2 8 2 7" xfId="3005" xr:uid="{B5B6C4A4-731F-4CE4-900D-1BA5A53ED1C4}"/>
    <cellStyle name="Output 2 8 2 7 2" xfId="6157" xr:uid="{59680C9D-C4B2-43AA-B2FE-2E69B207AAA6}"/>
    <cellStyle name="Output 2 8 2 8" xfId="3506" xr:uid="{A90DC5AF-A58A-4B1F-9E6D-AE435C78B8B3}"/>
    <cellStyle name="Output 2 8 3" xfId="356" xr:uid="{5CD2ABE7-1654-4FF6-A2AA-46E7A06D324A}"/>
    <cellStyle name="Output 2 8 3 2" xfId="792" xr:uid="{4C670373-8E8B-42FB-986C-FF660F9CD89F}"/>
    <cellStyle name="Output 2 8 3 2 2" xfId="3955" xr:uid="{B6AC6FD4-7A6B-4196-ABCF-B2F21C9191B2}"/>
    <cellStyle name="Output 2 8 3 3" xfId="1391" xr:uid="{AE79AE3D-8B6D-4D48-9E0C-16D85D8809E7}"/>
    <cellStyle name="Output 2 8 3 3 2" xfId="4543" xr:uid="{3919B28D-51A5-4C62-8637-F80E4EBE635E}"/>
    <cellStyle name="Output 2 8 3 4" xfId="1925" xr:uid="{00EDB7B9-295C-4DBF-9F2D-F60F4D785B72}"/>
    <cellStyle name="Output 2 8 3 4 2" xfId="5077" xr:uid="{096A004F-79A4-4FC6-ADBD-B2BA1BE5D6BA}"/>
    <cellStyle name="Output 2 8 3 5" xfId="2400" xr:uid="{5EF65509-67ED-45A3-82E6-8FBD86E4A899}"/>
    <cellStyle name="Output 2 8 3 5 2" xfId="5552" xr:uid="{A7881F66-930D-43E9-8C5F-3B8F5DFCDA5F}"/>
    <cellStyle name="Output 2 8 3 6" xfId="2627" xr:uid="{75C64E21-2D6A-4217-88B3-9C4E56D57CEF}"/>
    <cellStyle name="Output 2 8 3 6 2" xfId="5779" xr:uid="{7245FE8D-EF5D-4675-9357-D207A5D39181}"/>
    <cellStyle name="Output 2 8 3 7" xfId="2635" xr:uid="{EDCD95A0-A712-4DAD-89E3-AF2A5E525A66}"/>
    <cellStyle name="Output 2 8 3 7 2" xfId="5787" xr:uid="{C573417D-D146-447C-A2BA-B52B0291A013}"/>
    <cellStyle name="Output 2 8 3 8" xfId="3155" xr:uid="{E65A8DF5-FE18-46DC-A3E0-130AA1839A90}"/>
    <cellStyle name="Output 2 8 3 8 2" xfId="6307" xr:uid="{FCFE4FF4-1BDF-4545-B558-A7DC7EF14034}"/>
    <cellStyle name="Output 2 8 3 9" xfId="3542" xr:uid="{E171023F-C898-4EA4-A394-BDEABBE52A4C}"/>
    <cellStyle name="Output 2 8 4" xfId="911" xr:uid="{12F8345D-48D9-4DD2-98EF-7A477CE83F14}"/>
    <cellStyle name="Output 2 8 4 2" xfId="1510" xr:uid="{938D5F08-3693-424B-B8BE-BE22F4D455A2}"/>
    <cellStyle name="Output 2 8 4 2 2" xfId="4662" xr:uid="{CD3D47CA-2078-4E74-802B-CDCCA6B97FFD}"/>
    <cellStyle name="Output 2 8 4 3" xfId="2044" xr:uid="{D96EEF39-6B36-44B1-AFCA-3AE4688620A4}"/>
    <cellStyle name="Output 2 8 4 3 2" xfId="5196" xr:uid="{A5CBB522-EFC0-477B-8F20-71790604BA9A}"/>
    <cellStyle name="Output 2 8 4 4" xfId="2693" xr:uid="{789CD897-6EE4-4E17-BB54-FDEBF5FF3301}"/>
    <cellStyle name="Output 2 8 4 4 2" xfId="5845" xr:uid="{1B226039-B5E6-4E43-9977-B802D2EE0253}"/>
    <cellStyle name="Output 2 8 4 5" xfId="2861" xr:uid="{E537069D-FB07-42AF-8965-4E7E29D2E2AF}"/>
    <cellStyle name="Output 2 8 4 5 2" xfId="6013" xr:uid="{557A19B4-121F-46C5-AFBC-1B93EF8858B6}"/>
    <cellStyle name="Output 2 8 4 6" xfId="3274" xr:uid="{BC7175B9-5C2A-4E9D-B04E-C08486092806}"/>
    <cellStyle name="Output 2 8 4 7" xfId="4074" xr:uid="{54B78DB3-7525-48B9-BF91-6F5F5104D3FB}"/>
    <cellStyle name="Output 2 8 5" xfId="489" xr:uid="{15801032-5B8C-439B-A06D-D7DC9D8410C2}"/>
    <cellStyle name="Output 2 8 5 2" xfId="3661" xr:uid="{2C3FB47D-25DF-405D-BA58-B48D71204BAE}"/>
    <cellStyle name="Output 2 8 6" xfId="1087" xr:uid="{53225A77-6D2B-4D7E-8843-722C78CA4106}"/>
    <cellStyle name="Output 2 8 6 2" xfId="4248" xr:uid="{B3A528F5-B013-4460-A9B8-9EDE548EE9E0}"/>
    <cellStyle name="Output 2 8 7" xfId="1625" xr:uid="{57393A0A-EC4D-4184-94F3-622D02B8814C}"/>
    <cellStyle name="Output 2 8 7 2" xfId="4777" xr:uid="{1ED0CF02-E641-4761-8D09-121252E068FC}"/>
    <cellStyle name="Output 2 8 8" xfId="3440" xr:uid="{E193A317-A36A-476D-9494-2B0F5F5D617A}"/>
    <cellStyle name="Output 2 9" xfId="133" xr:uid="{574D8CDC-D83A-4707-BA27-9489F0D12769}"/>
    <cellStyle name="Output 2 9 2" xfId="421" xr:uid="{1EA80AED-93FE-4911-9A44-5FB869C99304}"/>
    <cellStyle name="Output 2 9 2 2" xfId="669" xr:uid="{98C014FD-5CEB-411F-AC33-FA99E06D8131}"/>
    <cellStyle name="Output 2 9 2 2 2" xfId="3832" xr:uid="{BF6F3D17-57D1-4164-88F4-769512CD6DFE}"/>
    <cellStyle name="Output 2 9 2 3" xfId="1268" xr:uid="{7E58FEA5-C006-4A38-95FF-4323CB7B3BC2}"/>
    <cellStyle name="Output 2 9 2 3 2" xfId="4420" xr:uid="{010928C4-4071-4B78-B246-9BB634B15C6A}"/>
    <cellStyle name="Output 2 9 2 4" xfId="1802" xr:uid="{6D48AAA0-619C-4709-AAB3-C08DB090685A}"/>
    <cellStyle name="Output 2 9 2 4 2" xfId="4954" xr:uid="{3BFCDB44-79AC-4FDB-8AB6-25AF99D3E6B7}"/>
    <cellStyle name="Output 2 9 2 5" xfId="2277" xr:uid="{5BCDC86D-BEDF-4B7A-A59D-0CCF1AF72C78}"/>
    <cellStyle name="Output 2 9 2 5 2" xfId="5429" xr:uid="{5978CC79-4787-4028-AB25-9756C599962C}"/>
    <cellStyle name="Output 2 9 2 6" xfId="2158" xr:uid="{5FA4D081-E4A2-4524-BEBA-D3D73AE645B4}"/>
    <cellStyle name="Output 2 9 2 6 2" xfId="5310" xr:uid="{D7F2F96E-02FA-41A7-BE9B-FCED464D4CFA}"/>
    <cellStyle name="Output 2 9 2 7" xfId="1052" xr:uid="{56F1FD04-0707-4F69-B585-0C5404863F78}"/>
    <cellStyle name="Output 2 9 2 7 2" xfId="4214" xr:uid="{7A3EACEF-7734-45E7-A75D-46CDBA3F4407}"/>
    <cellStyle name="Output 2 9 2 8" xfId="3032" xr:uid="{885FB1E6-6143-409F-9CCA-47D4996EECC7}"/>
    <cellStyle name="Output 2 9 2 8 2" xfId="6184" xr:uid="{3A4F2206-D013-44CB-95B5-4697A8ECB05C}"/>
    <cellStyle name="Output 2 9 2 9" xfId="3596" xr:uid="{55D788A9-5EF9-4616-AF97-0C5199CDCD8D}"/>
    <cellStyle name="Output 2 9 3" xfId="846" xr:uid="{D93A6D91-1EC5-4A85-B4F1-2ED53B328A92}"/>
    <cellStyle name="Output 2 9 3 2" xfId="1445" xr:uid="{3DF133C2-02F0-415C-8D58-A65D4CF251FA}"/>
    <cellStyle name="Output 2 9 3 2 2" xfId="4597" xr:uid="{FC43ECAA-63A9-4706-8E6B-BE36FDEE38EB}"/>
    <cellStyle name="Output 2 9 3 3" xfId="1979" xr:uid="{6DED5B3B-9540-45A7-8FAE-C07951BC9088}"/>
    <cellStyle name="Output 2 9 3 3 2" xfId="5131" xr:uid="{E80BBD92-406D-40E0-A654-ABF83095F3CD}"/>
    <cellStyle name="Output 2 9 3 4" xfId="2454" xr:uid="{BBBDFE77-3A96-46E5-BE9B-BE2F179341D1}"/>
    <cellStyle name="Output 2 9 3 4 2" xfId="5606" xr:uid="{C6BB6F8D-F01D-4870-9A84-5D57CF8E668B}"/>
    <cellStyle name="Output 2 9 3 5" xfId="2654" xr:uid="{89859CCD-3DF6-4B69-A674-8A47A977E548}"/>
    <cellStyle name="Output 2 9 3 5 2" xfId="5806" xr:uid="{9C4BEACF-DAE6-4019-ACE9-7A87CC516D4E}"/>
    <cellStyle name="Output 2 9 3 6" xfId="2150" xr:uid="{3071C597-5DC7-49F4-922F-EF8954C7BD2A}"/>
    <cellStyle name="Output 2 9 3 6 2" xfId="5302" xr:uid="{AC7DA6A1-8A8E-46F4-B62A-6A14CF0F330F}"/>
    <cellStyle name="Output 2 9 3 7" xfId="3209" xr:uid="{AEF87A13-07FC-4F2A-9031-9A406384E840}"/>
    <cellStyle name="Output 2 9 3 7 2" xfId="6361" xr:uid="{9E809948-65D5-4422-A0BB-A6D380758429}"/>
    <cellStyle name="Output 2 9 3 8" xfId="4009" xr:uid="{189C4764-E2CF-4A66-ABCF-6202A9293FE6}"/>
    <cellStyle name="Output 2 9 4" xfId="965" xr:uid="{3CF19715-DEA4-4F35-9387-8C2511F319FB}"/>
    <cellStyle name="Output 2 9 4 2" xfId="1564" xr:uid="{E1AAB2E5-7A8D-450D-AB09-4795BC2959E4}"/>
    <cellStyle name="Output 2 9 4 2 2" xfId="4716" xr:uid="{F99771E2-4AE5-4F29-BEF4-AD6B85BBDD40}"/>
    <cellStyle name="Output 2 9 4 3" xfId="2098" xr:uid="{1048BB7F-990D-4AD3-9A10-31113EC1FAFF}"/>
    <cellStyle name="Output 2 9 4 3 2" xfId="5250" xr:uid="{3EC6F64A-4980-4418-89EB-CAAB1ACB3CC8}"/>
    <cellStyle name="Output 2 9 4 4" xfId="2747" xr:uid="{7A335C20-9985-4931-8D9A-32EB4003EDB0}"/>
    <cellStyle name="Output 2 9 4 4 2" xfId="5899" xr:uid="{B53DE400-F939-415F-8518-6782D63828C3}"/>
    <cellStyle name="Output 2 9 4 5" xfId="2915" xr:uid="{C8791B84-618C-48E2-B66B-B1D154CB0024}"/>
    <cellStyle name="Output 2 9 4 5 2" xfId="6067" xr:uid="{ED30CB62-5D45-480C-BF4F-2C4D8453EC30}"/>
    <cellStyle name="Output 2 9 4 6" xfId="3328" xr:uid="{9671956B-701A-4CCF-A0EC-B1F8E3A5DCBF}"/>
    <cellStyle name="Output 2 9 4 7" xfId="4128" xr:uid="{E439D67E-D9EC-46CF-A9DA-92DEA91649E5}"/>
    <cellStyle name="Output 2 9 5" xfId="551" xr:uid="{EC516B71-15FE-48E7-9C37-EB32FD7E9298}"/>
    <cellStyle name="Output 2 9 5 2" xfId="3715" xr:uid="{CF9881CB-7E61-41A5-AEAA-0ECC36CFC240}"/>
    <cellStyle name="Output 2 9 6" xfId="1150" xr:uid="{19A5A807-9109-4E94-BCF1-FF3B3EE90A58}"/>
    <cellStyle name="Output 2 9 6 2" xfId="4303" xr:uid="{D5C11C32-8249-44DE-9203-3EE07AB4B9BE}"/>
    <cellStyle name="Output 2 9 7" xfId="1685" xr:uid="{265CF7FE-CBC6-4EC6-BE39-6B9B7B5C2833}"/>
    <cellStyle name="Output 2 9 7 2" xfId="4837" xr:uid="{1B091C47-FA7E-422A-B3BA-11DB4D154FAD}"/>
    <cellStyle name="Output 2 9 8" xfId="2548" xr:uid="{ECDB4432-A00D-4AFC-8FC2-4DAC219C85AE}"/>
    <cellStyle name="Output 2 9 8 2" xfId="5700" xr:uid="{6AAE4FEA-8B18-41CD-B775-70E944F70BC4}"/>
    <cellStyle name="Output 2 9 9" xfId="3453" xr:uid="{DBF7FA50-6A3D-42D0-9042-85857D23F40B}"/>
    <cellStyle name="Percent 2" xfId="287" xr:uid="{DBE73C2F-34FD-4E67-A650-5836AC502B2D}"/>
    <cellStyle name="Percent 3" xfId="360" xr:uid="{3CAEA83A-566C-4856-9465-094EDF76E763}"/>
    <cellStyle name="Title 2" xfId="44" xr:uid="{A89A80A3-00FA-4181-9EC0-731DCE6CA6A0}"/>
    <cellStyle name="Title 2 2" xfId="335" xr:uid="{FC71048E-D023-4A5A-8889-CA71AD40AD0D}"/>
    <cellStyle name="Title 2 3" xfId="288" xr:uid="{B4CB0CA2-7161-4CCC-A0A1-0CB541B604FD}"/>
    <cellStyle name="Total 2" xfId="45" xr:uid="{7B5D14CC-480A-4CD8-9EA4-A5EC545B7FE6}"/>
    <cellStyle name="Total 2 10" xfId="204" xr:uid="{C2F504A5-E8BE-4546-81A9-89EED188B9A9}"/>
    <cellStyle name="Total 2 10 2" xfId="3513" xr:uid="{F9AEEEEA-83BF-4F40-98BC-1945D4EC73C3}"/>
    <cellStyle name="Total 2 11" xfId="216" xr:uid="{EC796D03-4CCD-4109-AB6E-A8E637C6F8A7}"/>
    <cellStyle name="Total 2 11 2" xfId="3523" xr:uid="{912D9A95-6731-40BF-9DA2-19F55FD5D55B}"/>
    <cellStyle name="Total 2 12" xfId="289" xr:uid="{3C618229-F744-447A-9DF8-1C53C8D325EF}"/>
    <cellStyle name="Total 2 13" xfId="3386" xr:uid="{BC091293-43EF-4E5D-ADC1-9A7321140143}"/>
    <cellStyle name="Total 2 2" xfId="83" xr:uid="{884E1CCA-BFCF-4B6E-8902-C45572792165}"/>
    <cellStyle name="Total 2 2 10" xfId="290" xr:uid="{44FFBAF9-1130-4EA2-AF21-534BC4207F99}"/>
    <cellStyle name="Total 2 2 11" xfId="3414" xr:uid="{8D78FFCE-E156-4F49-8DD5-56BDCB462E54}"/>
    <cellStyle name="Total 2 2 2" xfId="76" xr:uid="{BB23A5C5-9720-4602-891F-4811D2294499}"/>
    <cellStyle name="Total 2 2 2 10" xfId="3409" xr:uid="{F75C0C35-9AFC-4869-9DB9-6FEF0201E60F}"/>
    <cellStyle name="Total 2 2 2 2" xfId="161" xr:uid="{35267F99-9AD2-4530-8636-8FD47414CFEA}"/>
    <cellStyle name="Total 2 2 2 2 2" xfId="384" xr:uid="{6A8B8FFC-CF6E-41C6-B9B5-38097AD6EE9E}"/>
    <cellStyle name="Total 2 2 2 2 2 2" xfId="708" xr:uid="{C44F48F8-8C4E-4825-BE55-A1DA0570372F}"/>
    <cellStyle name="Total 2 2 2 2 2 2 2" xfId="3871" xr:uid="{7A6A42C0-794C-498F-943F-757B1B8F8D6B}"/>
    <cellStyle name="Total 2 2 2 2 2 3" xfId="1307" xr:uid="{3526B816-530E-4DD8-A825-B1468C7821F8}"/>
    <cellStyle name="Total 2 2 2 2 2 3 2" xfId="4459" xr:uid="{E8AEFA23-BA96-442E-B080-D9C6325A5BE2}"/>
    <cellStyle name="Total 2 2 2 2 2 4" xfId="1841" xr:uid="{83EB80C9-B833-4F87-AE8D-EE6344DD429B}"/>
    <cellStyle name="Total 2 2 2 2 2 4 2" xfId="4993" xr:uid="{671AC2A1-0074-463F-A3A4-FC2F091B9640}"/>
    <cellStyle name="Total 2 2 2 2 2 5" xfId="2316" xr:uid="{7C0BFF22-1C2D-4C0E-BCB8-97E7B60CC1E0}"/>
    <cellStyle name="Total 2 2 2 2 2 5 2" xfId="5468" xr:uid="{646F2981-9650-4FFE-8515-DB8B9A75EEB9}"/>
    <cellStyle name="Total 2 2 2 2 2 6" xfId="2656" xr:uid="{56F85E21-FEAE-4D99-9B8D-0B34DD305DC9}"/>
    <cellStyle name="Total 2 2 2 2 2 6 2" xfId="5808" xr:uid="{33350CAA-C688-420E-85DF-E36597BADEA0}"/>
    <cellStyle name="Total 2 2 2 2 2 7" xfId="3071" xr:uid="{3F1FCBB7-22FD-4AAB-89FF-448169F84C9E}"/>
    <cellStyle name="Total 2 2 2 2 2 7 2" xfId="6223" xr:uid="{D2F22A98-E14C-465B-83CE-06B765C5CE48}"/>
    <cellStyle name="Total 2 2 2 2 2 8" xfId="3566" xr:uid="{99C7DD46-C4D7-4BAF-BD2D-B29A680E47EC}"/>
    <cellStyle name="Total 2 2 2 2 3" xfId="816" xr:uid="{A09DD5B1-8E93-46E9-8C3F-0A85DD32205A}"/>
    <cellStyle name="Total 2 2 2 2 3 2" xfId="1415" xr:uid="{AEF5EC36-EAE9-4DED-907E-53965259A898}"/>
    <cellStyle name="Total 2 2 2 2 3 2 2" xfId="4567" xr:uid="{C8605E94-AB97-4737-B604-B7966CFB589E}"/>
    <cellStyle name="Total 2 2 2 2 3 3" xfId="1949" xr:uid="{CC827ADE-66CB-44A0-8D80-6A907F0F9EA1}"/>
    <cellStyle name="Total 2 2 2 2 3 3 2" xfId="5101" xr:uid="{2F45F8E2-20D7-48E1-9F8E-1FA0AE3E0FA6}"/>
    <cellStyle name="Total 2 2 2 2 3 4" xfId="2424" xr:uid="{EE97EEDC-AD88-4F84-8627-A8F52639373D}"/>
    <cellStyle name="Total 2 2 2 2 3 4 2" xfId="5576" xr:uid="{A3D1FB85-4D04-4FCB-B5FA-76CEA46CF514}"/>
    <cellStyle name="Total 2 2 2 2 3 5" xfId="2192" xr:uid="{000A50D0-C6AE-4D80-9F57-DC4CA2E079BE}"/>
    <cellStyle name="Total 2 2 2 2 3 5 2" xfId="5344" xr:uid="{6636845D-6610-4434-A192-A64E74AB6C96}"/>
    <cellStyle name="Total 2 2 2 2 3 6" xfId="3179" xr:uid="{C25E110A-9E74-43BA-9770-07AE3902B10E}"/>
    <cellStyle name="Total 2 2 2 2 3 6 2" xfId="6331" xr:uid="{222C0264-5D56-427B-99C4-8D23C287A1B1}"/>
    <cellStyle name="Total 2 2 2 2 3 7" xfId="3979" xr:uid="{CED1282E-F0B5-4C31-BF70-14EA5446B0D7}"/>
    <cellStyle name="Total 2 2 2 2 4" xfId="935" xr:uid="{0075EFE0-17BE-43E5-8837-82F6CA4074F0}"/>
    <cellStyle name="Total 2 2 2 2 4 2" xfId="1534" xr:uid="{74E6E4F3-CF6B-4DDC-8939-30F633B7A495}"/>
    <cellStyle name="Total 2 2 2 2 4 2 2" xfId="4686" xr:uid="{CD1CA59E-4C09-498C-B967-DBD2CA5154D1}"/>
    <cellStyle name="Total 2 2 2 2 4 3" xfId="2068" xr:uid="{0BC81BD4-F62A-48F9-9FE5-3813FA242AB7}"/>
    <cellStyle name="Total 2 2 2 2 4 3 2" xfId="5220" xr:uid="{4EB82065-0506-4A30-BFBD-E7F8FFB223F8}"/>
    <cellStyle name="Total 2 2 2 2 4 4" xfId="2717" xr:uid="{1CC5BD72-8B74-4749-B9D1-B707D37B444B}"/>
    <cellStyle name="Total 2 2 2 2 4 4 2" xfId="5869" xr:uid="{228782D4-F964-4D65-A59D-167BD71CF66B}"/>
    <cellStyle name="Total 2 2 2 2 4 5" xfId="2885" xr:uid="{D2AD0CDF-BE35-4D8A-9690-E30B79A5B76A}"/>
    <cellStyle name="Total 2 2 2 2 4 5 2" xfId="6037" xr:uid="{C3B1241C-0432-45FE-8093-3D38815C1DB4}"/>
    <cellStyle name="Total 2 2 2 2 4 6" xfId="3298" xr:uid="{1421A9C6-90C0-4867-9F73-70DB36838D75}"/>
    <cellStyle name="Total 2 2 2 2 4 7" xfId="4098" xr:uid="{F5A27260-0E61-4F04-81DE-D133B3477128}"/>
    <cellStyle name="Total 2 2 2 2 5" xfId="515" xr:uid="{55CD017E-803D-469F-A36E-FC11521EC927}"/>
    <cellStyle name="Total 2 2 2 2 5 2" xfId="3685" xr:uid="{8C22DEC7-67E4-4813-9B05-89765BF5C9C2}"/>
    <cellStyle name="Total 2 2 2 2 6" xfId="1113" xr:uid="{80588B30-8314-48A3-B52C-0F3427F77726}"/>
    <cellStyle name="Total 2 2 2 2 6 2" xfId="4272" xr:uid="{A6B301A1-4992-4D0D-BE3C-BEC68ACD27E1}"/>
    <cellStyle name="Total 2 2 2 2 7" xfId="1650" xr:uid="{3117EF3F-AC7C-46BF-8CD8-978745F20618}"/>
    <cellStyle name="Total 2 2 2 2 7 2" xfId="4802" xr:uid="{4A28014D-0395-4261-BFD5-23BAFDA19A5C}"/>
    <cellStyle name="Total 2 2 2 2 8" xfId="3479" xr:uid="{D8CD44A2-BCE1-4AF1-A20A-3A47AD913BB9}"/>
    <cellStyle name="Total 2 2 2 3" xfId="445" xr:uid="{C22FED40-20AF-4224-A38E-536EA029BE14}"/>
    <cellStyle name="Total 2 2 2 3 2" xfId="657" xr:uid="{C15117CA-13B9-4C1F-BB47-A075FD81F119}"/>
    <cellStyle name="Total 2 2 2 3 2 2" xfId="1256" xr:uid="{2B43AFE9-A032-4B32-8815-EFFCD2F4DC74}"/>
    <cellStyle name="Total 2 2 2 3 2 2 2" xfId="4408" xr:uid="{30BBC549-7333-436A-BC94-59381B594D4E}"/>
    <cellStyle name="Total 2 2 2 3 2 3" xfId="1790" xr:uid="{29CF2CC2-A681-4FED-B401-EE5AE4D89F8C}"/>
    <cellStyle name="Total 2 2 2 3 2 3 2" xfId="4942" xr:uid="{066D223E-CC2A-415D-8B34-6A3FBBA20E3F}"/>
    <cellStyle name="Total 2 2 2 3 2 4" xfId="2265" xr:uid="{9CE226B9-77A7-4C89-AD80-722F035799FA}"/>
    <cellStyle name="Total 2 2 2 3 2 4 2" xfId="5417" xr:uid="{166E0932-46F8-46A3-ABCE-CDA362F734C1}"/>
    <cellStyle name="Total 2 2 2 3 2 5" xfId="2561" xr:uid="{2F7CF92D-259A-43FD-BEB4-9E228EF8A130}"/>
    <cellStyle name="Total 2 2 2 3 2 5 2" xfId="5713" xr:uid="{97EAEE05-3151-4447-9DC2-9793D4C85EAF}"/>
    <cellStyle name="Total 2 2 2 3 2 6" xfId="3020" xr:uid="{73210B91-B88A-4393-B020-091CCFF4E6D8}"/>
    <cellStyle name="Total 2 2 2 3 2 6 2" xfId="6172" xr:uid="{4701704B-E1A8-4615-8CCE-9AC8764BC5B0}"/>
    <cellStyle name="Total 2 2 2 3 2 7" xfId="3820" xr:uid="{65DAF79A-A91D-438F-A450-383368B9FF70}"/>
    <cellStyle name="Total 2 2 2 3 3" xfId="870" xr:uid="{FDDC1A68-C374-48C5-AE19-F2F9669182E5}"/>
    <cellStyle name="Total 2 2 2 3 3 2" xfId="1469" xr:uid="{F623B629-B22B-4A3B-A8D2-D1EC77DE5655}"/>
    <cellStyle name="Total 2 2 2 3 3 2 2" xfId="4621" xr:uid="{4540A198-5CD1-418F-B5A2-C18549FCD33D}"/>
    <cellStyle name="Total 2 2 2 3 3 3" xfId="2003" xr:uid="{017D52E1-B7FB-44E3-B2AA-92C9EE4AD1E6}"/>
    <cellStyle name="Total 2 2 2 3 3 3 2" xfId="5155" xr:uid="{7B568DEC-A493-49C9-9F4C-CD1D762FC099}"/>
    <cellStyle name="Total 2 2 2 3 3 4" xfId="2478" xr:uid="{E230EF3C-2880-4465-BFB2-B26F53F70C80}"/>
    <cellStyle name="Total 2 2 2 3 3 4 2" xfId="5630" xr:uid="{7DC933B0-BE84-476A-97DB-07DC15D63D5F}"/>
    <cellStyle name="Total 2 2 2 3 3 5" xfId="2820" xr:uid="{904F7529-C7E9-47A2-9167-6F15B7BC5C20}"/>
    <cellStyle name="Total 2 2 2 3 3 5 2" xfId="5972" xr:uid="{976BC090-EF2A-4E8E-A4AB-D803407830E1}"/>
    <cellStyle name="Total 2 2 2 3 3 6" xfId="3233" xr:uid="{92B76B50-A662-4128-8767-4265472DF2C0}"/>
    <cellStyle name="Total 2 2 2 3 3 6 2" xfId="6385" xr:uid="{6317091A-8E1E-4B3D-A726-0A6D8AD557A3}"/>
    <cellStyle name="Total 2 2 2 3 3 7" xfId="4033" xr:uid="{2829CCEF-47AF-4B1C-8087-D15E1EF811A0}"/>
    <cellStyle name="Total 2 2 2 3 4" xfId="989" xr:uid="{81FA0C02-1289-47EB-8AE3-AEACA68822D4}"/>
    <cellStyle name="Total 2 2 2 3 4 2" xfId="1588" xr:uid="{D4E0872D-41E8-49D0-9AA5-E7F45F070619}"/>
    <cellStyle name="Total 2 2 2 3 4 2 2" xfId="4740" xr:uid="{6B0E7710-DD95-43FA-A6A9-A445E6C356FB}"/>
    <cellStyle name="Total 2 2 2 3 4 3" xfId="2122" xr:uid="{833897B9-0496-417A-B97E-A981196C8B4C}"/>
    <cellStyle name="Total 2 2 2 3 4 3 2" xfId="5274" xr:uid="{E988CF9F-3AF1-4D40-ABB5-66054258AEE1}"/>
    <cellStyle name="Total 2 2 2 3 4 4" xfId="2771" xr:uid="{097A1CF5-1BB9-4812-9592-4A8BE1A6A5E5}"/>
    <cellStyle name="Total 2 2 2 3 4 4 2" xfId="5923" xr:uid="{05EA603B-3117-4CF2-A249-39D6CD7647E7}"/>
    <cellStyle name="Total 2 2 2 3 4 5" xfId="2939" xr:uid="{32EDEC1C-809C-457C-A51B-E678BD69C5D2}"/>
    <cellStyle name="Total 2 2 2 3 4 5 2" xfId="6091" xr:uid="{A15994C3-170A-4CF0-A4D4-BD6DFA681CF7}"/>
    <cellStyle name="Total 2 2 2 3 4 6" xfId="3352" xr:uid="{8C4F15A8-CD9F-4B33-BFF2-8B28CC4497BA}"/>
    <cellStyle name="Total 2 2 2 3 4 7" xfId="4152" xr:uid="{EE76B765-9E39-4C62-821A-F645AB193FEB}"/>
    <cellStyle name="Total 2 2 2 3 5" xfId="575" xr:uid="{FEA57825-0802-468F-B8DA-A94FF9E2A0FD}"/>
    <cellStyle name="Total 2 2 2 3 5 2" xfId="3739" xr:uid="{362CF171-EF35-42AA-80CA-037766892E60}"/>
    <cellStyle name="Total 2 2 2 3 6" xfId="1174" xr:uid="{FBA05064-9BD5-4E48-A537-8A2DE1624ECA}"/>
    <cellStyle name="Total 2 2 2 3 6 2" xfId="4327" xr:uid="{EB113E19-49C7-4799-8958-A3FC0C800A46}"/>
    <cellStyle name="Total 2 2 2 3 7" xfId="1709" xr:uid="{0ABD56E6-9762-4CCB-843C-AE70D5B658E4}"/>
    <cellStyle name="Total 2 2 2 3 7 2" xfId="4861" xr:uid="{3B7E0134-D078-4429-8FE6-F19E7B1FF084}"/>
    <cellStyle name="Total 2 2 2 3 8" xfId="3620" xr:uid="{55297266-858F-4CB9-92B3-56B628EBA726}"/>
    <cellStyle name="Total 2 2 2 4" xfId="349" xr:uid="{DC0FD548-A2AA-49E9-A0CB-A195E64A0CFD}"/>
    <cellStyle name="Total 2 2 2 4 2" xfId="705" xr:uid="{48A4E6EC-E7E5-4BFF-A228-4AC1F70B1CCE}"/>
    <cellStyle name="Total 2 2 2 4 2 2" xfId="3868" xr:uid="{FE6CA05D-FEBA-496A-830F-80CB64E680B4}"/>
    <cellStyle name="Total 2 2 2 4 3" xfId="1304" xr:uid="{34F60E65-CCFB-4F22-81DB-EC32F3E9D94B}"/>
    <cellStyle name="Total 2 2 2 4 3 2" xfId="4456" xr:uid="{278234C8-C5FC-41E9-A282-632F2CFF1E4D}"/>
    <cellStyle name="Total 2 2 2 4 4" xfId="1838" xr:uid="{CE0D4EB5-44FD-42D4-BBA0-40AB59B68036}"/>
    <cellStyle name="Total 2 2 2 4 4 2" xfId="4990" xr:uid="{17F429E4-8135-4726-A431-82C81B11A6E7}"/>
    <cellStyle name="Total 2 2 2 4 5" xfId="2313" xr:uid="{5A0CFC17-0FF1-455A-ABCE-3142B45D1DC6}"/>
    <cellStyle name="Total 2 2 2 4 5 2" xfId="5465" xr:uid="{8C8E7341-2004-42AF-BFB2-58DFA34E1EFE}"/>
    <cellStyle name="Total 2 2 2 4 6" xfId="2629" xr:uid="{0DEB09AA-322A-4280-AAE6-A925357830D6}"/>
    <cellStyle name="Total 2 2 2 4 6 2" xfId="5781" xr:uid="{89AF3871-4F99-4F8F-B5BD-5E80384CB4E2}"/>
    <cellStyle name="Total 2 2 2 4 7" xfId="3068" xr:uid="{FAD100E4-165B-4FE7-9690-6975EC29E85D}"/>
    <cellStyle name="Total 2 2 2 4 7 2" xfId="6220" xr:uid="{4D3FE187-61AC-4CDF-AE1D-363093770943}"/>
    <cellStyle name="Total 2 2 2 4 8" xfId="3538" xr:uid="{B9E30224-85D8-45B5-85FA-C360464AE535}"/>
    <cellStyle name="Total 2 2 2 5" xfId="788" xr:uid="{41C1F16A-3381-495E-9CB9-21298009331B}"/>
    <cellStyle name="Total 2 2 2 5 2" xfId="1387" xr:uid="{1936396B-5A2F-4C92-8ADF-F2BC071EB114}"/>
    <cellStyle name="Total 2 2 2 5 2 2" xfId="4539" xr:uid="{DE96143C-3AE4-4A9A-A29A-A74A4354C122}"/>
    <cellStyle name="Total 2 2 2 5 3" xfId="1921" xr:uid="{39F93F90-9CFC-4EDE-AB0D-C0A81E2A5272}"/>
    <cellStyle name="Total 2 2 2 5 3 2" xfId="5073" xr:uid="{02415DBB-B62D-43FC-A54F-F0085F2BB719}"/>
    <cellStyle name="Total 2 2 2 5 4" xfId="2396" xr:uid="{1971A70E-841E-443B-ADA9-8848DFC465B6}"/>
    <cellStyle name="Total 2 2 2 5 4 2" xfId="5548" xr:uid="{42D645F3-C876-4EAB-A09D-0BCACF420B4C}"/>
    <cellStyle name="Total 2 2 2 5 5" xfId="2661" xr:uid="{5D0BB043-6189-484D-BC3A-29049E74AA5C}"/>
    <cellStyle name="Total 2 2 2 5 5 2" xfId="5813" xr:uid="{CF4E75C0-901E-4DFC-A1BF-CCB9B9219DAA}"/>
    <cellStyle name="Total 2 2 2 5 6" xfId="3151" xr:uid="{D44A5E2F-C73B-41FE-94ED-466CF92A1DF5}"/>
    <cellStyle name="Total 2 2 2 5 6 2" xfId="6303" xr:uid="{4F7E45EF-FC11-49D2-BD79-5CEF4515A9A5}"/>
    <cellStyle name="Total 2 2 2 5 7" xfId="3951" xr:uid="{57CD0F4F-7812-4D40-981E-2C056079C025}"/>
    <cellStyle name="Total 2 2 2 6" xfId="907" xr:uid="{27FFB84A-78E6-425D-8858-87ABD7F52839}"/>
    <cellStyle name="Total 2 2 2 6 2" xfId="1506" xr:uid="{2DFB1E8D-FC49-40A7-97BA-3C46841ED49A}"/>
    <cellStyle name="Total 2 2 2 6 2 2" xfId="4658" xr:uid="{754064F9-042F-47E8-AE42-8133078CD5FC}"/>
    <cellStyle name="Total 2 2 2 6 3" xfId="2040" xr:uid="{4B4C353E-7C05-401A-997B-9A8967DDBA93}"/>
    <cellStyle name="Total 2 2 2 6 3 2" xfId="5192" xr:uid="{45A7772B-0CC6-4F78-9E09-D90576E9DC16}"/>
    <cellStyle name="Total 2 2 2 6 4" xfId="2689" xr:uid="{446D3435-F344-448C-8C13-2C0656C149CC}"/>
    <cellStyle name="Total 2 2 2 6 4 2" xfId="5841" xr:uid="{4061D465-118C-4827-9DE8-3E7AF5A9AADC}"/>
    <cellStyle name="Total 2 2 2 6 5" xfId="2857" xr:uid="{5FAE2773-7FED-42AA-AF13-06FA60DC376D}"/>
    <cellStyle name="Total 2 2 2 6 5 2" xfId="6009" xr:uid="{03F8D360-A68F-414A-A157-261BCF631993}"/>
    <cellStyle name="Total 2 2 2 6 6" xfId="3270" xr:uid="{908D927F-E93D-411C-9545-56D2D97C2D11}"/>
    <cellStyle name="Total 2 2 2 6 7" xfId="4070" xr:uid="{E4E44E37-B776-462B-B2C5-E73F9A88C411}"/>
    <cellStyle name="Total 2 2 2 7" xfId="485" xr:uid="{F49E8EC6-ED0A-412B-B802-216A04AA7C87}"/>
    <cellStyle name="Total 2 2 2 7 2" xfId="3657" xr:uid="{A9BFB722-470F-4B4A-BABE-768B18C2AC63}"/>
    <cellStyle name="Total 2 2 2 8" xfId="1082" xr:uid="{464FED67-1B5F-489E-B611-9EFCAD3CFCA8}"/>
    <cellStyle name="Total 2 2 2 8 2" xfId="4243" xr:uid="{A7E0E0A7-D992-428A-A6CB-99911BF2C2A2}"/>
    <cellStyle name="Total 2 2 2 9" xfId="1621" xr:uid="{6B702BB5-5483-4014-9595-AA75346BB1CA}"/>
    <cellStyle name="Total 2 2 2 9 2" xfId="4773" xr:uid="{EB3439F4-1B5E-4E2C-BC8E-9D226942DE0E}"/>
    <cellStyle name="Total 2 2 3" xfId="96" xr:uid="{A96AB0C7-E48D-4EBC-9A09-44469653E8B6}"/>
    <cellStyle name="Total 2 2 3 2" xfId="176" xr:uid="{02703560-0E6A-44E0-AD5E-A0E025195304}"/>
    <cellStyle name="Total 2 2 3 2 2" xfId="462" xr:uid="{EE12711C-B69C-4A8A-A807-238B26337CBE}"/>
    <cellStyle name="Total 2 2 3 2 2 2" xfId="607" xr:uid="{122EDBA8-B189-4BF2-BD25-924B4B26CE1F}"/>
    <cellStyle name="Total 2 2 3 2 2 2 2" xfId="3770" xr:uid="{69A685AE-50C4-419B-B7CE-EC5AD460108A}"/>
    <cellStyle name="Total 2 2 3 2 2 3" xfId="1206" xr:uid="{A281A792-5BFD-4924-996C-DA70CEBC458E}"/>
    <cellStyle name="Total 2 2 3 2 2 3 2" xfId="4358" xr:uid="{69A3725F-6910-4B70-8649-E49D0729C487}"/>
    <cellStyle name="Total 2 2 3 2 2 4" xfId="1740" xr:uid="{4FF09A97-C746-46E1-9B36-076D970FCEE3}"/>
    <cellStyle name="Total 2 2 3 2 2 4 2" xfId="4892" xr:uid="{50291EBB-4D70-46AA-B1E7-114EDF58C034}"/>
    <cellStyle name="Total 2 2 3 2 2 5" xfId="2215" xr:uid="{298C4335-1E62-4B48-86DA-C79CF0BB0973}"/>
    <cellStyle name="Total 2 2 3 2 2 5 2" xfId="5367" xr:uid="{2BEA4A7B-9041-440A-AFED-4464F35FE210}"/>
    <cellStyle name="Total 2 2 3 2 2 6" xfId="1038" xr:uid="{B92CF3FB-1FED-462C-959E-C101780544C7}"/>
    <cellStyle name="Total 2 2 3 2 2 6 2" xfId="4201" xr:uid="{9E62EB62-068E-4A84-9755-1FD7256D423D}"/>
    <cellStyle name="Total 2 2 3 2 2 7" xfId="2970" xr:uid="{50C24096-D950-4E82-96D3-8C5F51084C33}"/>
    <cellStyle name="Total 2 2 3 2 2 7 2" xfId="6122" xr:uid="{950A3A27-919E-477F-9C32-CDC044D81E92}"/>
    <cellStyle name="Total 2 2 3 2 2 8" xfId="3637" xr:uid="{8EC4332C-D7D1-4CC2-961B-4333351357FD}"/>
    <cellStyle name="Total 2 2 3 2 3" xfId="887" xr:uid="{98574C36-E7C4-46C7-8BF5-918207B3F2CA}"/>
    <cellStyle name="Total 2 2 3 2 3 2" xfId="1486" xr:uid="{B59066DD-0038-4ACD-AB00-5C155519D87B}"/>
    <cellStyle name="Total 2 2 3 2 3 2 2" xfId="4638" xr:uid="{120A298F-06C9-40DA-A7B2-B3CA7F4A6558}"/>
    <cellStyle name="Total 2 2 3 2 3 3" xfId="2020" xr:uid="{356F8B78-9265-4F9D-AB5D-EF9EEED7FB44}"/>
    <cellStyle name="Total 2 2 3 2 3 3 2" xfId="5172" xr:uid="{AC498479-9086-4BB3-A932-C0101DBBC4F3}"/>
    <cellStyle name="Total 2 2 3 2 3 4" xfId="2495" xr:uid="{5279BE90-C75B-4BA6-B3F8-9BD4F34D26DF}"/>
    <cellStyle name="Total 2 2 3 2 3 4 2" xfId="5647" xr:uid="{06D4906B-C76E-4614-92E8-88EC55519E9E}"/>
    <cellStyle name="Total 2 2 3 2 3 5" xfId="2837" xr:uid="{70C7BFB0-719E-4808-BD96-8980FF208B59}"/>
    <cellStyle name="Total 2 2 3 2 3 5 2" xfId="5989" xr:uid="{7F8C8AA2-2708-4BB3-AD05-9B9BC95159F3}"/>
    <cellStyle name="Total 2 2 3 2 3 6" xfId="3250" xr:uid="{F41DFDED-BE83-44F8-9B1C-6BAB41805E7E}"/>
    <cellStyle name="Total 2 2 3 2 3 6 2" xfId="6402" xr:uid="{8CE3449D-5AD8-4167-8AF0-B3CD81F96850}"/>
    <cellStyle name="Total 2 2 3 2 3 7" xfId="4050" xr:uid="{8EE22D4E-700C-4091-888B-F022B33C79C1}"/>
    <cellStyle name="Total 2 2 3 2 4" xfId="1006" xr:uid="{00423069-5CD2-47F0-A8D5-D1EEB9B5B699}"/>
    <cellStyle name="Total 2 2 3 2 4 2" xfId="1605" xr:uid="{D1017242-E678-4782-BF94-E5F1C49498AD}"/>
    <cellStyle name="Total 2 2 3 2 4 2 2" xfId="4757" xr:uid="{AF3B5FD4-FD30-4481-B983-C48734FB4C53}"/>
    <cellStyle name="Total 2 2 3 2 4 3" xfId="2139" xr:uid="{819307AF-2C2E-44C2-845C-370ED8C021FF}"/>
    <cellStyle name="Total 2 2 3 2 4 3 2" xfId="5291" xr:uid="{9D6ABFBF-6948-4F25-8150-B6E5F3999878}"/>
    <cellStyle name="Total 2 2 3 2 4 4" xfId="2788" xr:uid="{EEEEAB32-7975-45C5-B648-6E219B9D8BBC}"/>
    <cellStyle name="Total 2 2 3 2 4 4 2" xfId="5940" xr:uid="{57B6C208-2350-4D91-BCCE-37726FB3EBD1}"/>
    <cellStyle name="Total 2 2 3 2 4 5" xfId="2956" xr:uid="{9736CDEA-C002-4F56-A660-1ACE59CCC669}"/>
    <cellStyle name="Total 2 2 3 2 4 5 2" xfId="6108" xr:uid="{D1249407-21FF-4E4A-BE58-32A3167FA1E9}"/>
    <cellStyle name="Total 2 2 3 2 4 6" xfId="3369" xr:uid="{1B3A524C-914A-40CA-BB80-1183857FEEAF}"/>
    <cellStyle name="Total 2 2 3 2 4 7" xfId="4169" xr:uid="{8C799CF4-13CD-4202-BC90-87B6C436DD39}"/>
    <cellStyle name="Total 2 2 3 2 5" xfId="592" xr:uid="{CD166BE8-E534-40DB-97AC-86478995A7CF}"/>
    <cellStyle name="Total 2 2 3 2 5 2" xfId="3756" xr:uid="{BE0FA2B3-9199-4C40-B014-3014A0D2292A}"/>
    <cellStyle name="Total 2 2 3 2 6" xfId="1191" xr:uid="{5A8FF757-C1D5-40C3-8151-E2F74357D4A7}"/>
    <cellStyle name="Total 2 2 3 2 6 2" xfId="4344" xr:uid="{8E9564B6-B75E-48F6-81DB-58E89E586476}"/>
    <cellStyle name="Total 2 2 3 2 7" xfId="1726" xr:uid="{F4CD661B-1086-43C2-97BF-C71162D37EB0}"/>
    <cellStyle name="Total 2 2 3 2 7 2" xfId="4878" xr:uid="{EF647051-7E68-4CB5-8A3A-9E282583FE6C}"/>
    <cellStyle name="Total 2 2 3 2 8" xfId="3493" xr:uid="{86D0B89D-79E9-4D26-9A58-8465760A0460}"/>
    <cellStyle name="Total 2 2 3 3" xfId="403" xr:uid="{66A992A2-86A9-4B77-A6E4-57A2778CC53E}"/>
    <cellStyle name="Total 2 2 3 3 2" xfId="694" xr:uid="{B12D51B3-BAA5-48A2-92DC-9453BCA2A24F}"/>
    <cellStyle name="Total 2 2 3 3 2 2" xfId="3857" xr:uid="{84A1A7CC-641C-4DBC-825B-F0CCAF91A639}"/>
    <cellStyle name="Total 2 2 3 3 3" xfId="1293" xr:uid="{8A9C645C-90B4-4CB1-8AAB-74B3FDF79E15}"/>
    <cellStyle name="Total 2 2 3 3 3 2" xfId="4445" xr:uid="{331BD5C9-05C1-4A29-BB1F-68F1831AAFF5}"/>
    <cellStyle name="Total 2 2 3 3 4" xfId="1827" xr:uid="{3175FFDC-BCDE-4B81-96CF-DBD79DEBD658}"/>
    <cellStyle name="Total 2 2 3 3 4 2" xfId="4979" xr:uid="{4218535D-1D4F-4355-8190-E442853960C4}"/>
    <cellStyle name="Total 2 2 3 3 5" xfId="2302" xr:uid="{01E324D2-34D1-40ED-ABA9-D146FE388EA0}"/>
    <cellStyle name="Total 2 2 3 3 5 2" xfId="5454" xr:uid="{13043018-4324-4809-B0C4-41F408A7024E}"/>
    <cellStyle name="Total 2 2 3 3 6" xfId="2506" xr:uid="{1E79646B-2BDC-4FEE-B08F-D703559759C8}"/>
    <cellStyle name="Total 2 2 3 3 6 2" xfId="5658" xr:uid="{FFDBDF43-B1BC-4F04-8A70-3B8021F9A78D}"/>
    <cellStyle name="Total 2 2 3 3 7" xfId="3057" xr:uid="{81A51BD0-2151-4266-894E-116CF7C3F77F}"/>
    <cellStyle name="Total 2 2 3 3 7 2" xfId="6209" xr:uid="{6D286547-C471-48D3-9B16-84B735C82054}"/>
    <cellStyle name="Total 2 2 3 3 8" xfId="3583" xr:uid="{26D5A716-883D-4800-9D11-042B5091211C}"/>
    <cellStyle name="Total 2 2 3 4" xfId="833" xr:uid="{1966D18F-693A-41D1-9DAC-AA0D82A8E112}"/>
    <cellStyle name="Total 2 2 3 4 2" xfId="1432" xr:uid="{F59B0FFC-E92D-4423-835C-833C1C939876}"/>
    <cellStyle name="Total 2 2 3 4 2 2" xfId="4584" xr:uid="{BCDB560C-3A13-4C92-ACD3-B949ACE1518A}"/>
    <cellStyle name="Total 2 2 3 4 3" xfId="1966" xr:uid="{5C7055C8-455E-459A-8CD2-42BD6E513D57}"/>
    <cellStyle name="Total 2 2 3 4 3 2" xfId="5118" xr:uid="{56D4A5E9-D26C-483A-B052-DE8E82134444}"/>
    <cellStyle name="Total 2 2 3 4 4" xfId="2441" xr:uid="{050F3F4C-95D2-4806-B0B7-9748D6139692}"/>
    <cellStyle name="Total 2 2 3 4 4 2" xfId="5593" xr:uid="{98D2F037-F6A9-4DCD-AFA2-C6DD48F3A3D2}"/>
    <cellStyle name="Total 2 2 3 4 5" xfId="2563" xr:uid="{60FE2290-5F99-46DC-941B-A30887FFFF49}"/>
    <cellStyle name="Total 2 2 3 4 5 2" xfId="5715" xr:uid="{A7865C59-B9B4-4F92-878E-470B28656B33}"/>
    <cellStyle name="Total 2 2 3 4 6" xfId="3196" xr:uid="{2E20D8D0-BD8E-4658-9FF4-9990077203A3}"/>
    <cellStyle name="Total 2 2 3 4 6 2" xfId="6348" xr:uid="{EDC1144E-DB75-4EA4-ACD3-86DCC6792C4C}"/>
    <cellStyle name="Total 2 2 3 4 7" xfId="3996" xr:uid="{8A45C04D-91AF-4F8F-B0D4-0EB8D7BED703}"/>
    <cellStyle name="Total 2 2 3 5" xfId="952" xr:uid="{5E5C575A-590F-4833-AB4D-02B742DFDA0C}"/>
    <cellStyle name="Total 2 2 3 5 2" xfId="1551" xr:uid="{2C268A84-09DF-4AB0-9CFA-D76465D60C92}"/>
    <cellStyle name="Total 2 2 3 5 2 2" xfId="4703" xr:uid="{4C8D4A37-B666-4755-904F-7CB1B5076DA8}"/>
    <cellStyle name="Total 2 2 3 5 3" xfId="2085" xr:uid="{515BB084-8C03-40B3-8252-B59C442FD1F7}"/>
    <cellStyle name="Total 2 2 3 5 3 2" xfId="5237" xr:uid="{86B10498-4E82-47AA-AEF4-12DF443A54CF}"/>
    <cellStyle name="Total 2 2 3 5 4" xfId="2734" xr:uid="{EBC583C9-546A-4F46-BED6-C78D9078D97E}"/>
    <cellStyle name="Total 2 2 3 5 4 2" xfId="5886" xr:uid="{977914D5-8E19-4D83-864A-FDD6BA48AA38}"/>
    <cellStyle name="Total 2 2 3 5 5" xfId="2902" xr:uid="{A63C8492-6F9B-421E-A1CD-C8810416F04B}"/>
    <cellStyle name="Total 2 2 3 5 5 2" xfId="6054" xr:uid="{CFC2FD48-2829-4D7B-873C-236B5F71E074}"/>
    <cellStyle name="Total 2 2 3 5 6" xfId="3315" xr:uid="{53910369-030A-4B33-877A-C6DC4C2477F7}"/>
    <cellStyle name="Total 2 2 3 5 7" xfId="4115" xr:uid="{9CAFFA5C-AA51-4285-B359-B704E441C267}"/>
    <cellStyle name="Total 2 2 3 6" xfId="533" xr:uid="{41748FAB-9A05-4FC2-B6A7-A80AFB94154F}"/>
    <cellStyle name="Total 2 2 3 6 2" xfId="3702" xr:uid="{2526AC64-5C9E-4429-839E-D3DFE9044355}"/>
    <cellStyle name="Total 2 2 3 7" xfId="1131" xr:uid="{5C8B8F35-28F3-4BC1-9958-7AB66E57CA3A}"/>
    <cellStyle name="Total 2 2 3 7 2" xfId="4289" xr:uid="{CCD32FA7-DCC4-4E46-91AE-84F4CB5C6FB5}"/>
    <cellStyle name="Total 2 2 3 8" xfId="1668" xr:uid="{0B046F9A-127E-4DBC-A814-9934505ED79F}"/>
    <cellStyle name="Total 2 2 3 8 2" xfId="4820" xr:uid="{A510BC57-321A-4B44-8974-4B53F4B0790D}"/>
    <cellStyle name="Total 2 2 3 9" xfId="3426" xr:uid="{E5921A42-4F76-4D42-BCCD-2824399C42DD}"/>
    <cellStyle name="Total 2 2 4" xfId="101" xr:uid="{AFB08739-74A6-4CEB-9586-CAF42C1BF812}"/>
    <cellStyle name="Total 2 2 4 2" xfId="181" xr:uid="{E5F7ECBF-9FA2-45FB-AAB4-F14671B08577}"/>
    <cellStyle name="Total 2 2 4 2 2" xfId="467" xr:uid="{5EB4AF37-F5C1-4618-B44D-FF4E87CC60A0}"/>
    <cellStyle name="Total 2 2 4 2 2 2" xfId="646" xr:uid="{806310E0-4F96-4960-A470-12F009D64073}"/>
    <cellStyle name="Total 2 2 4 2 2 2 2" xfId="3809" xr:uid="{45F5DCC0-9FAF-4EC4-8581-3B10F5B38F9A}"/>
    <cellStyle name="Total 2 2 4 2 2 3" xfId="1245" xr:uid="{1CDE0C3E-A83C-416A-8DA5-C772CE3BFF95}"/>
    <cellStyle name="Total 2 2 4 2 2 3 2" xfId="4397" xr:uid="{BC07E12E-7252-4C0E-9572-CD6B0A606FBE}"/>
    <cellStyle name="Total 2 2 4 2 2 4" xfId="1779" xr:uid="{F373E2A5-95AB-41D4-8D56-B18B81C8D532}"/>
    <cellStyle name="Total 2 2 4 2 2 4 2" xfId="4931" xr:uid="{0B557B2E-D233-4D09-B8AF-228D10E8860C}"/>
    <cellStyle name="Total 2 2 4 2 2 5" xfId="2254" xr:uid="{AF20FBDA-271E-4AD8-961A-0314FCB54323}"/>
    <cellStyle name="Total 2 2 4 2 2 5 2" xfId="5406" xr:uid="{8F8AF688-F5AD-4A36-8366-8768EF653772}"/>
    <cellStyle name="Total 2 2 4 2 2 6" xfId="1061" xr:uid="{9F6AAD21-FB9A-47D9-8167-5ABAA62F6499}"/>
    <cellStyle name="Total 2 2 4 2 2 6 2" xfId="4223" xr:uid="{F6A722EB-D0A1-4ED1-B021-2D41760B9421}"/>
    <cellStyle name="Total 2 2 4 2 2 7" xfId="3009" xr:uid="{479FFE9E-1193-4F71-B2D6-649DB4E76A2C}"/>
    <cellStyle name="Total 2 2 4 2 2 7 2" xfId="6161" xr:uid="{A82CA3D1-F2B7-4750-B2A4-621502A2A8E1}"/>
    <cellStyle name="Total 2 2 4 2 2 8" xfId="3642" xr:uid="{E2E710FF-EF89-4BA3-BB37-C0E0D8BA7B6C}"/>
    <cellStyle name="Total 2 2 4 2 3" xfId="892" xr:uid="{88B4594F-011F-414F-AC3F-915F8F8A4C22}"/>
    <cellStyle name="Total 2 2 4 2 3 2" xfId="1491" xr:uid="{1B18AF6D-C2CD-42C5-952F-DC8C309D5DF9}"/>
    <cellStyle name="Total 2 2 4 2 3 2 2" xfId="4643" xr:uid="{B496F582-E2F5-4A9C-9FD8-B13A49AC4EE1}"/>
    <cellStyle name="Total 2 2 4 2 3 3" xfId="2025" xr:uid="{4A43EEE0-359D-434E-A9A4-A3486E26EF28}"/>
    <cellStyle name="Total 2 2 4 2 3 3 2" xfId="5177" xr:uid="{250FA751-051D-41CA-9455-34B703FC4559}"/>
    <cellStyle name="Total 2 2 4 2 3 4" xfId="2500" xr:uid="{56EA255C-9139-4C8F-AC2A-0B2E544554F6}"/>
    <cellStyle name="Total 2 2 4 2 3 4 2" xfId="5652" xr:uid="{6BE011D3-D2A3-409B-A6B0-DFD6167AD23A}"/>
    <cellStyle name="Total 2 2 4 2 3 5" xfId="2842" xr:uid="{02AEA5E1-C70D-4EA6-9D3B-8524100DFA3C}"/>
    <cellStyle name="Total 2 2 4 2 3 5 2" xfId="5994" xr:uid="{B9FC86F3-DDAD-46FD-B765-69A689A34990}"/>
    <cellStyle name="Total 2 2 4 2 3 6" xfId="3255" xr:uid="{F7516984-3108-4003-89D8-4BA399FAF930}"/>
    <cellStyle name="Total 2 2 4 2 3 6 2" xfId="6407" xr:uid="{736D594D-7FF3-47FE-8E17-C5104E1652C0}"/>
    <cellStyle name="Total 2 2 4 2 3 7" xfId="4055" xr:uid="{AFAB0B39-3D15-4160-B22E-E1F30EDD7ED3}"/>
    <cellStyle name="Total 2 2 4 2 4" xfId="1011" xr:uid="{9043223D-26B0-4A6A-ADE4-78336928CB0D}"/>
    <cellStyle name="Total 2 2 4 2 4 2" xfId="1610" xr:uid="{32938F23-5899-4FCC-955F-835F5452516D}"/>
    <cellStyle name="Total 2 2 4 2 4 2 2" xfId="4762" xr:uid="{D0E6D59A-4007-423E-A6DA-73B5B8A181FA}"/>
    <cellStyle name="Total 2 2 4 2 4 3" xfId="2144" xr:uid="{A87144C9-CC0F-4455-BB87-93678962B466}"/>
    <cellStyle name="Total 2 2 4 2 4 3 2" xfId="5296" xr:uid="{6B84F7AB-2521-4645-AFA3-8387AEEE33FE}"/>
    <cellStyle name="Total 2 2 4 2 4 4" xfId="2793" xr:uid="{A11CADB2-E754-4878-92D1-8A989C5A18A9}"/>
    <cellStyle name="Total 2 2 4 2 4 4 2" xfId="5945" xr:uid="{B1D7C849-26ED-4B45-828A-DC5B612A80F9}"/>
    <cellStyle name="Total 2 2 4 2 4 5" xfId="2961" xr:uid="{7B564F17-00DD-484F-8069-1707CE0334DE}"/>
    <cellStyle name="Total 2 2 4 2 4 5 2" xfId="6113" xr:uid="{AD7E3B47-127D-4DD2-A573-D46287BA97B4}"/>
    <cellStyle name="Total 2 2 4 2 4 6" xfId="3374" xr:uid="{9B40519C-74E6-4919-95E9-FB0A80A9A9B4}"/>
    <cellStyle name="Total 2 2 4 2 4 7" xfId="4174" xr:uid="{2B62BC41-2D34-4506-8C2C-DB00BA6C2252}"/>
    <cellStyle name="Total 2 2 4 2 5" xfId="597" xr:uid="{DAAEBBF7-B559-4001-9D2F-CDD350E0B6C9}"/>
    <cellStyle name="Total 2 2 4 2 5 2" xfId="3761" xr:uid="{8057E001-5446-492C-BA23-63A831F89A0B}"/>
    <cellStyle name="Total 2 2 4 2 6" xfId="1196" xr:uid="{939E6CA3-8330-4C8B-8216-0E23B9337A73}"/>
    <cellStyle name="Total 2 2 4 2 6 2" xfId="4349" xr:uid="{7C829ABB-3329-4EC1-BB93-A0DAF3BF9A77}"/>
    <cellStyle name="Total 2 2 4 2 7" xfId="1731" xr:uid="{96A2A42A-C03F-4B19-890A-B7C7F8D33E3E}"/>
    <cellStyle name="Total 2 2 4 2 7 2" xfId="4883" xr:uid="{471B08D2-160C-446B-BF73-4FE05A871055}"/>
    <cellStyle name="Total 2 2 4 2 8" xfId="3498" xr:uid="{B97AA54D-161C-4BFA-9DFF-B86B765673BE}"/>
    <cellStyle name="Total 2 2 4 3" xfId="408" xr:uid="{85609F2C-C928-4A89-B0AF-CC9266426E9C}"/>
    <cellStyle name="Total 2 2 4 3 2" xfId="718" xr:uid="{3D30BF9A-03CE-498C-A440-52FD26878C2B}"/>
    <cellStyle name="Total 2 2 4 3 2 2" xfId="3881" xr:uid="{276A7517-8255-41B3-B0BB-5578E9BB190F}"/>
    <cellStyle name="Total 2 2 4 3 3" xfId="1317" xr:uid="{CEC4AD2E-83E4-43DA-97B3-ED68254E2E49}"/>
    <cellStyle name="Total 2 2 4 3 3 2" xfId="4469" xr:uid="{4FB2AA73-1D3C-4E54-AF60-3147602C414E}"/>
    <cellStyle name="Total 2 2 4 3 4" xfId="1851" xr:uid="{0857A4B2-C2C8-4DC1-94CC-B00033FDDFA6}"/>
    <cellStyle name="Total 2 2 4 3 4 2" xfId="5003" xr:uid="{EEBA8735-1F7D-4CAA-8F8A-060634305A5F}"/>
    <cellStyle name="Total 2 2 4 3 5" xfId="2326" xr:uid="{B3E0C68F-DA24-459A-8B4E-DD59F49CA33E}"/>
    <cellStyle name="Total 2 2 4 3 5 2" xfId="5478" xr:uid="{1734018D-ED8A-43EB-AFBD-2CF14BDFF03D}"/>
    <cellStyle name="Total 2 2 4 3 6" xfId="2151" xr:uid="{FBA1F03C-F561-420F-B63B-6513037D4CBD}"/>
    <cellStyle name="Total 2 2 4 3 6 2" xfId="5303" xr:uid="{393BE29E-72CE-43B9-940D-3B8C438458CB}"/>
    <cellStyle name="Total 2 2 4 3 7" xfId="3081" xr:uid="{D2E054DD-DC3A-4F93-9588-9FD9BB1CBE07}"/>
    <cellStyle name="Total 2 2 4 3 7 2" xfId="6233" xr:uid="{8D2EEC07-234C-4B5E-AD42-13433D3620C7}"/>
    <cellStyle name="Total 2 2 4 3 8" xfId="3588" xr:uid="{4BC4D25B-8652-4B4D-BDFE-5F7704EB5263}"/>
    <cellStyle name="Total 2 2 4 4" xfId="838" xr:uid="{0C6E7CDB-4BD9-4445-835F-605434371B63}"/>
    <cellStyle name="Total 2 2 4 4 2" xfId="1437" xr:uid="{11AE87CE-6D9D-4FFE-99D1-CAE1B4417821}"/>
    <cellStyle name="Total 2 2 4 4 2 2" xfId="4589" xr:uid="{D4FF2926-75BF-406F-9105-39AD6454BA93}"/>
    <cellStyle name="Total 2 2 4 4 3" xfId="1971" xr:uid="{8CFADBD5-FFEA-48B9-925F-FCC213ECE011}"/>
    <cellStyle name="Total 2 2 4 4 3 2" xfId="5123" xr:uid="{2374D4AD-C14D-434F-92A7-04CE2AABD6B4}"/>
    <cellStyle name="Total 2 2 4 4 4" xfId="2446" xr:uid="{FD510498-C0B0-4267-926D-22365CFF30D5}"/>
    <cellStyle name="Total 2 2 4 4 4 2" xfId="5598" xr:uid="{6CD96A78-3CCB-481F-9392-F0173321EA10}"/>
    <cellStyle name="Total 2 2 4 4 5" xfId="2157" xr:uid="{22B42428-2F6B-4556-A351-03E2677AC0B5}"/>
    <cellStyle name="Total 2 2 4 4 5 2" xfId="5309" xr:uid="{2C48E055-3D5C-47AC-8A8F-F67A1AEA2B95}"/>
    <cellStyle name="Total 2 2 4 4 6" xfId="3201" xr:uid="{B3355281-B424-4F7E-ABA7-123843034A60}"/>
    <cellStyle name="Total 2 2 4 4 6 2" xfId="6353" xr:uid="{FB769962-B0DC-4034-B0EB-56A2D761BF34}"/>
    <cellStyle name="Total 2 2 4 4 7" xfId="4001" xr:uid="{573185DF-012D-4C75-9A06-AC9B4E7B2D0F}"/>
    <cellStyle name="Total 2 2 4 5" xfId="957" xr:uid="{1D1958C7-09FF-46B8-AF24-8689C144F020}"/>
    <cellStyle name="Total 2 2 4 5 2" xfId="1556" xr:uid="{649BB28F-99A0-4E8A-A635-37FE66040DF9}"/>
    <cellStyle name="Total 2 2 4 5 2 2" xfId="4708" xr:uid="{C12827E6-BD79-4969-ACA6-FC9223E3C7D7}"/>
    <cellStyle name="Total 2 2 4 5 3" xfId="2090" xr:uid="{A11C02FF-1DED-493C-B7BE-A17353BDD78A}"/>
    <cellStyle name="Total 2 2 4 5 3 2" xfId="5242" xr:uid="{7FFF0C57-229A-4F47-8CC0-73860CE479A9}"/>
    <cellStyle name="Total 2 2 4 5 4" xfId="2739" xr:uid="{7B343755-BD2A-41CF-982F-5007A2BD96FB}"/>
    <cellStyle name="Total 2 2 4 5 4 2" xfId="5891" xr:uid="{D8323CA7-2FD9-4638-9C1C-FEE68A917FE8}"/>
    <cellStyle name="Total 2 2 4 5 5" xfId="2907" xr:uid="{CCBB4D1A-C2E6-4715-8883-4BF7A3DBDE6B}"/>
    <cellStyle name="Total 2 2 4 5 5 2" xfId="6059" xr:uid="{603F734A-39AA-4118-BAD2-E7AF28DCCF81}"/>
    <cellStyle name="Total 2 2 4 5 6" xfId="3320" xr:uid="{72781EC0-F4AC-4362-AE4A-C00B105E4CD6}"/>
    <cellStyle name="Total 2 2 4 5 7" xfId="4120" xr:uid="{8E0C74E2-79C9-4B23-9223-2F48DF86F4C1}"/>
    <cellStyle name="Total 2 2 4 6" xfId="538" xr:uid="{06DD9A03-436D-4F8C-A374-F56612505A6A}"/>
    <cellStyle name="Total 2 2 4 6 2" xfId="3707" xr:uid="{A16D8E9C-F068-4457-9B7E-C9E4B8A76D4E}"/>
    <cellStyle name="Total 2 2 4 7" xfId="1136" xr:uid="{457B6896-060D-4341-9B6C-B477C36C3054}"/>
    <cellStyle name="Total 2 2 4 7 2" xfId="4294" xr:uid="{D517125F-AB90-4A3C-975A-D24176A02225}"/>
    <cellStyle name="Total 2 2 4 8" xfId="1673" xr:uid="{EAFD7E1B-4BF0-4F68-BDA3-774A601F4878}"/>
    <cellStyle name="Total 2 2 4 8 2" xfId="4825" xr:uid="{53A7974B-4EA8-4D14-AB9C-2BCF4813D670}"/>
    <cellStyle name="Total 2 2 4 9" xfId="3431" xr:uid="{A999241F-E371-4803-9D17-560E28C0E03E}"/>
    <cellStyle name="Total 2 2 5" xfId="106" xr:uid="{5D6390C2-B428-429A-82DF-030D49C32F1D}"/>
    <cellStyle name="Total 2 2 5 2" xfId="186" xr:uid="{7A39021E-A3AA-4B3F-89A8-42CC5A14AFF8}"/>
    <cellStyle name="Total 2 2 5 2 2" xfId="472" xr:uid="{3F4F6895-E8D0-497E-AB7B-2ED0D9F0C1EC}"/>
    <cellStyle name="Total 2 2 5 2 2 2" xfId="732" xr:uid="{82C600B9-BE1B-49F2-B4F0-AA6E2FA0C0D9}"/>
    <cellStyle name="Total 2 2 5 2 2 2 2" xfId="3895" xr:uid="{11CF16C5-0D7F-4636-AA36-438157A4E5EF}"/>
    <cellStyle name="Total 2 2 5 2 2 3" xfId="1331" xr:uid="{C76B7569-E70A-43C6-9D1E-C4EF99490EDC}"/>
    <cellStyle name="Total 2 2 5 2 2 3 2" xfId="4483" xr:uid="{2191C15B-4DAD-4DCF-86C9-E28E65F42C88}"/>
    <cellStyle name="Total 2 2 5 2 2 4" xfId="1865" xr:uid="{F99EC4F8-6AAF-4031-B389-43C230F3A92B}"/>
    <cellStyle name="Total 2 2 5 2 2 4 2" xfId="5017" xr:uid="{DDB868DA-8F43-4B76-BF0A-5B10FA2E7AE4}"/>
    <cellStyle name="Total 2 2 5 2 2 5" xfId="2340" xr:uid="{A4C6905C-6AD5-42FC-971B-EE8CC9BFC69D}"/>
    <cellStyle name="Total 2 2 5 2 2 5 2" xfId="5492" xr:uid="{DC52D04C-0943-4402-AC60-5F62EA160FF8}"/>
    <cellStyle name="Total 2 2 5 2 2 6" xfId="2668" xr:uid="{88504C8A-B7E5-4277-8A87-7A944F156BF5}"/>
    <cellStyle name="Total 2 2 5 2 2 6 2" xfId="5820" xr:uid="{8BDC8B29-CD73-4A0D-9293-543D218FFC7A}"/>
    <cellStyle name="Total 2 2 5 2 2 7" xfId="3095" xr:uid="{17518FCD-235A-4BD4-9742-57D36AFEFC0C}"/>
    <cellStyle name="Total 2 2 5 2 2 7 2" xfId="6247" xr:uid="{82111621-F19D-4F0E-8815-052C28E9FD83}"/>
    <cellStyle name="Total 2 2 5 2 2 8" xfId="3647" xr:uid="{F508A184-503B-4B72-B580-5C8B7185D8A7}"/>
    <cellStyle name="Total 2 2 5 2 3" xfId="897" xr:uid="{94695B2C-0B54-4AB0-9637-3A4EB49766DC}"/>
    <cellStyle name="Total 2 2 5 2 3 2" xfId="1496" xr:uid="{600FF123-37AC-496A-8B4F-FA4D2C7CAFFF}"/>
    <cellStyle name="Total 2 2 5 2 3 2 2" xfId="4648" xr:uid="{BF9C950C-2EEF-4DE7-82A1-1CA323AF5B90}"/>
    <cellStyle name="Total 2 2 5 2 3 3" xfId="2030" xr:uid="{15BC0FC1-3B54-46B2-9A40-D49F4F2ECA47}"/>
    <cellStyle name="Total 2 2 5 2 3 3 2" xfId="5182" xr:uid="{23758AB4-C205-4500-A2E5-F15E1CBF4A3C}"/>
    <cellStyle name="Total 2 2 5 2 3 4" xfId="2505" xr:uid="{7D0C79EF-61AD-4078-A794-43541825C7D8}"/>
    <cellStyle name="Total 2 2 5 2 3 4 2" xfId="5657" xr:uid="{3E85E14A-25C8-4860-BD68-1DEBEDF17A4B}"/>
    <cellStyle name="Total 2 2 5 2 3 5" xfId="2847" xr:uid="{ACF49608-936F-47C3-B6DA-C7011AF7C5BF}"/>
    <cellStyle name="Total 2 2 5 2 3 5 2" xfId="5999" xr:uid="{D95A00A8-2852-4F83-ACA1-9C06D19F93AA}"/>
    <cellStyle name="Total 2 2 5 2 3 6" xfId="3260" xr:uid="{8E347984-D7BE-44B7-9611-D6BC0F63ABB7}"/>
    <cellStyle name="Total 2 2 5 2 3 6 2" xfId="6412" xr:uid="{A808A2C6-9AB7-484F-8194-304AEB999F53}"/>
    <cellStyle name="Total 2 2 5 2 3 7" xfId="4060" xr:uid="{BBEEB8E7-8C67-4F28-A9F5-835CD688C810}"/>
    <cellStyle name="Total 2 2 5 2 4" xfId="1016" xr:uid="{9877F655-0675-4902-BC95-C68FBDBE006F}"/>
    <cellStyle name="Total 2 2 5 2 4 2" xfId="1615" xr:uid="{592BA463-846E-43C1-902B-264257A3D434}"/>
    <cellStyle name="Total 2 2 5 2 4 2 2" xfId="4767" xr:uid="{3EE32868-D987-4632-B6DB-522851966033}"/>
    <cellStyle name="Total 2 2 5 2 4 3" xfId="2149" xr:uid="{45874AEB-16FF-46E8-9DC4-5C339E81543A}"/>
    <cellStyle name="Total 2 2 5 2 4 3 2" xfId="5301" xr:uid="{9F3D8727-315F-47FA-9920-3D11B80D2D03}"/>
    <cellStyle name="Total 2 2 5 2 4 4" xfId="2798" xr:uid="{66563D47-9507-4E2E-B110-98BCF3568026}"/>
    <cellStyle name="Total 2 2 5 2 4 4 2" xfId="5950" xr:uid="{320F4010-56EC-467F-A93A-7754CFFADC5D}"/>
    <cellStyle name="Total 2 2 5 2 4 5" xfId="2966" xr:uid="{5D234D00-1456-4E19-89A6-1CFA2168E5E4}"/>
    <cellStyle name="Total 2 2 5 2 4 5 2" xfId="6118" xr:uid="{8532EB3C-59DB-4BF0-BB84-DC321269CA9B}"/>
    <cellStyle name="Total 2 2 5 2 4 6" xfId="3379" xr:uid="{1581736F-3D92-4969-AEAC-8A7D26017E0A}"/>
    <cellStyle name="Total 2 2 5 2 4 7" xfId="4179" xr:uid="{53FA5E8D-AB98-45CB-8E95-F2443039B7A0}"/>
    <cellStyle name="Total 2 2 5 2 5" xfId="602" xr:uid="{E8922977-A1D9-429E-9C4F-736CF0EFB407}"/>
    <cellStyle name="Total 2 2 5 2 5 2" xfId="3766" xr:uid="{7213C7D6-5C81-42A5-B5D6-1C58469088F8}"/>
    <cellStyle name="Total 2 2 5 2 6" xfId="1201" xr:uid="{7BDC7F3E-A34A-4140-B017-4A118EF7DF3D}"/>
    <cellStyle name="Total 2 2 5 2 6 2" xfId="4354" xr:uid="{6A6DAD41-7016-468B-90A5-797B5AD48C7A}"/>
    <cellStyle name="Total 2 2 5 2 7" xfId="1736" xr:uid="{04A05BE6-398D-4803-A058-1640ACC4986F}"/>
    <cellStyle name="Total 2 2 5 2 7 2" xfId="4888" xr:uid="{7AE71EED-4C25-4494-A4DC-7A0EAD732B56}"/>
    <cellStyle name="Total 2 2 5 2 8" xfId="3503" xr:uid="{BB027DBF-0BE1-45E3-B1C0-230BD458BAF5}"/>
    <cellStyle name="Total 2 2 5 3" xfId="413" xr:uid="{9C648E1B-26AB-4AA6-AC14-F632678A6AAB}"/>
    <cellStyle name="Total 2 2 5 3 2" xfId="703" xr:uid="{EFAD97B0-4A6E-4AAF-B2E2-2ADFFC34CA3E}"/>
    <cellStyle name="Total 2 2 5 3 2 2" xfId="3866" xr:uid="{E2CB25C9-D82A-4797-858F-193092891608}"/>
    <cellStyle name="Total 2 2 5 3 3" xfId="1302" xr:uid="{C61E66C7-7928-43BE-B4F0-48121B3B6535}"/>
    <cellStyle name="Total 2 2 5 3 3 2" xfId="4454" xr:uid="{2920E2A5-B81F-4A61-9536-78CE7A76405B}"/>
    <cellStyle name="Total 2 2 5 3 4" xfId="1836" xr:uid="{B2B8A902-4689-4CC8-825D-91F4CDFD56D5}"/>
    <cellStyle name="Total 2 2 5 3 4 2" xfId="4988" xr:uid="{A2E05D08-4125-433D-BCFC-79EF3A56DBFB}"/>
    <cellStyle name="Total 2 2 5 3 5" xfId="2311" xr:uid="{833374FA-A700-413A-B21F-EDBFE864849B}"/>
    <cellStyle name="Total 2 2 5 3 5 2" xfId="5463" xr:uid="{08BFEE5E-28C2-4F33-A2DA-1AFD913E6508}"/>
    <cellStyle name="Total 2 2 5 3 6" xfId="1017" xr:uid="{07952467-3EE0-455A-BF38-BAE7C8CB5EAB}"/>
    <cellStyle name="Total 2 2 5 3 6 2" xfId="4180" xr:uid="{3A791320-6454-43E0-ACD2-C08448D2414A}"/>
    <cellStyle name="Total 2 2 5 3 7" xfId="3066" xr:uid="{A3549EDA-BECA-463F-9B05-63140AE47AAF}"/>
    <cellStyle name="Total 2 2 5 3 7 2" xfId="6218" xr:uid="{40F361B8-65B8-4DA4-809E-DB3D712FBD5F}"/>
    <cellStyle name="Total 2 2 5 3 8" xfId="3593" xr:uid="{3FD1BB1B-2B3F-466B-8138-4F8670B562BD}"/>
    <cellStyle name="Total 2 2 5 4" xfId="843" xr:uid="{F2EDB34F-E657-4376-8D8B-56C763746335}"/>
    <cellStyle name="Total 2 2 5 4 2" xfId="1442" xr:uid="{FFEB9C56-3C94-4B49-A0D9-F5EE2481C147}"/>
    <cellStyle name="Total 2 2 5 4 2 2" xfId="4594" xr:uid="{D351F63A-CBC1-44E8-BEFB-14A721AE1714}"/>
    <cellStyle name="Total 2 2 5 4 3" xfId="1976" xr:uid="{E2FF53ED-2A79-4F99-973A-9654CD0F19AA}"/>
    <cellStyle name="Total 2 2 5 4 3 2" xfId="5128" xr:uid="{CDA1A19F-3C7C-45C8-8FD2-DB6F3C64FFBF}"/>
    <cellStyle name="Total 2 2 5 4 4" xfId="2451" xr:uid="{360F5E46-F029-4D3B-8240-4E932C61DE6D}"/>
    <cellStyle name="Total 2 2 5 4 4 2" xfId="5603" xr:uid="{C2F92344-1D15-412C-9069-6D2C52C70584}"/>
    <cellStyle name="Total 2 2 5 4 5" xfId="2555" xr:uid="{8A83F536-C2AB-4978-999C-5BBC888183B0}"/>
    <cellStyle name="Total 2 2 5 4 5 2" xfId="5707" xr:uid="{61349A38-1BD9-456A-9BFD-647A49CDB8C7}"/>
    <cellStyle name="Total 2 2 5 4 6" xfId="3206" xr:uid="{792C126D-3554-4623-9DA4-F59CF6731929}"/>
    <cellStyle name="Total 2 2 5 4 6 2" xfId="6358" xr:uid="{7D7C2FEB-11F8-489F-BC94-1F04BD113133}"/>
    <cellStyle name="Total 2 2 5 4 7" xfId="4006" xr:uid="{85F87237-CBBA-4BD1-8E09-CB2B207A7BE7}"/>
    <cellStyle name="Total 2 2 5 5" xfId="962" xr:uid="{F5E5E0E7-5D8E-417B-A0C1-774100C3FC30}"/>
    <cellStyle name="Total 2 2 5 5 2" xfId="1561" xr:uid="{3C8633ED-AED0-4D1D-BBA5-409976BE4498}"/>
    <cellStyle name="Total 2 2 5 5 2 2" xfId="4713" xr:uid="{521C03D2-5BBF-4F7C-9C27-8FC81E7D0869}"/>
    <cellStyle name="Total 2 2 5 5 3" xfId="2095" xr:uid="{BC4DF58C-E8E9-4E90-98FA-C99522B50912}"/>
    <cellStyle name="Total 2 2 5 5 3 2" xfId="5247" xr:uid="{FC084978-76E7-4FEC-8E4B-D0173FAB4227}"/>
    <cellStyle name="Total 2 2 5 5 4" xfId="2744" xr:uid="{B8A227DD-F745-4B3F-941C-A24B517D99ED}"/>
    <cellStyle name="Total 2 2 5 5 4 2" xfId="5896" xr:uid="{B80BABE2-2681-4246-8547-9B8DC79A4F06}"/>
    <cellStyle name="Total 2 2 5 5 5" xfId="2912" xr:uid="{32B21483-BA19-431F-BE52-504ABA415EB0}"/>
    <cellStyle name="Total 2 2 5 5 5 2" xfId="6064" xr:uid="{87BF104F-6C0F-4886-876D-D87851C494F7}"/>
    <cellStyle name="Total 2 2 5 5 6" xfId="3325" xr:uid="{C60B454E-8DC1-44CC-AA96-3F0FBD9152E0}"/>
    <cellStyle name="Total 2 2 5 5 7" xfId="4125" xr:uid="{B8244AFE-04D1-4451-BF47-9AA5F9DA0652}"/>
    <cellStyle name="Total 2 2 5 6" xfId="543" xr:uid="{313B3FB4-0123-4249-8B87-F3E9BB2D028E}"/>
    <cellStyle name="Total 2 2 5 6 2" xfId="3712" xr:uid="{B966AA41-9DAA-42AC-A6AE-24623BC716F2}"/>
    <cellStyle name="Total 2 2 5 7" xfId="1141" xr:uid="{851FB727-1DD2-467B-9D27-33DB99D6D022}"/>
    <cellStyle name="Total 2 2 5 7 2" xfId="4299" xr:uid="{748ECF84-3344-4790-BEF6-DA7A84348107}"/>
    <cellStyle name="Total 2 2 5 8" xfId="1678" xr:uid="{9F1B6D50-3490-40A3-9D77-F63012AE820B}"/>
    <cellStyle name="Total 2 2 5 8 2" xfId="4830" xr:uid="{DFEC2F5E-A5CF-4B6E-9565-EC6C26AEA5D4}"/>
    <cellStyle name="Total 2 2 5 9" xfId="3436" xr:uid="{8411A2FF-B165-4662-9BDA-56624638534F}"/>
    <cellStyle name="Total 2 2 6" xfId="124" xr:uid="{341B7F5E-D89B-4B44-96F2-F4FDCA0BCD83}"/>
    <cellStyle name="Total 2 2 6 2" xfId="390" xr:uid="{BF84D5ED-68F5-4750-BD17-AF1E2231AABE}"/>
    <cellStyle name="Total 2 2 6 2 2" xfId="631" xr:uid="{5E06DD87-7F00-4C30-B6F1-BD966179CE5E}"/>
    <cellStyle name="Total 2 2 6 2 2 2" xfId="3794" xr:uid="{FF98D35C-F43F-4727-B81B-5C780D9AC27E}"/>
    <cellStyle name="Total 2 2 6 2 3" xfId="1230" xr:uid="{A8D2A301-8FAC-4867-A35A-D4B0701541DC}"/>
    <cellStyle name="Total 2 2 6 2 3 2" xfId="4382" xr:uid="{34046325-FC25-4342-A247-B81AF55CDE06}"/>
    <cellStyle name="Total 2 2 6 2 4" xfId="1764" xr:uid="{42514867-C03C-420F-B104-672368078E0B}"/>
    <cellStyle name="Total 2 2 6 2 4 2" xfId="4916" xr:uid="{797B9F3E-30A9-4906-BB68-49681758B951}"/>
    <cellStyle name="Total 2 2 6 2 5" xfId="2239" xr:uid="{94C9BD0B-0561-4E13-904A-037EE5CB5084}"/>
    <cellStyle name="Total 2 2 6 2 5 2" xfId="5391" xr:uid="{67222529-7E8F-4213-8034-15BB9A59AB8E}"/>
    <cellStyle name="Total 2 2 6 2 6" xfId="1078" xr:uid="{FD06226B-1FFB-4966-9C92-30BEBBD2D5BB}"/>
    <cellStyle name="Total 2 2 6 2 6 2" xfId="4239" xr:uid="{7AD52CDB-936E-4031-9FB3-40C672B3FC49}"/>
    <cellStyle name="Total 2 2 6 2 7" xfId="2994" xr:uid="{7C6C611F-F8BA-46E5-B280-FD9BE807F3F2}"/>
    <cellStyle name="Total 2 2 6 2 7 2" xfId="6146" xr:uid="{40D5070A-6950-4783-A247-D288081864DA}"/>
    <cellStyle name="Total 2 2 6 2 8" xfId="3571" xr:uid="{03C27285-9716-4656-8C4B-AF1577E7D95C}"/>
    <cellStyle name="Total 2 2 6 3" xfId="821" xr:uid="{AC2C05F1-E343-4EF9-8FCB-89084B94AB2B}"/>
    <cellStyle name="Total 2 2 6 3 2" xfId="1420" xr:uid="{5DD95FF4-0C21-4DC1-8B90-A0CE6CFA5290}"/>
    <cellStyle name="Total 2 2 6 3 2 2" xfId="4572" xr:uid="{57F13FBF-AE66-4B12-BFD7-9253A4929A2D}"/>
    <cellStyle name="Total 2 2 6 3 3" xfId="1954" xr:uid="{C33FA75B-E078-4131-83D2-D4651AB85F57}"/>
    <cellStyle name="Total 2 2 6 3 3 2" xfId="5106" xr:uid="{F1ECD6C2-C7FF-406B-BD64-C460C93F3B8F}"/>
    <cellStyle name="Total 2 2 6 3 4" xfId="2429" xr:uid="{80294232-3143-461B-A4C2-0392062A169E}"/>
    <cellStyle name="Total 2 2 6 3 4 2" xfId="5581" xr:uid="{85D85301-D190-4487-B6CD-90082F532C7E}"/>
    <cellStyle name="Total 2 2 6 3 5" xfId="2210" xr:uid="{7B099F92-E8DB-479B-A038-66D78AE83AB3}"/>
    <cellStyle name="Total 2 2 6 3 5 2" xfId="5362" xr:uid="{6C1DC8A7-9E41-4AE4-BE80-16B4B7B12E35}"/>
    <cellStyle name="Total 2 2 6 3 6" xfId="3184" xr:uid="{CD8AC557-46B9-489C-9D63-EE439BF69883}"/>
    <cellStyle name="Total 2 2 6 3 6 2" xfId="6336" xr:uid="{70D76425-E035-423A-98EB-4991E7330929}"/>
    <cellStyle name="Total 2 2 6 3 7" xfId="3984" xr:uid="{A448E1E9-D019-41DC-A7E7-4577FC8C479F}"/>
    <cellStyle name="Total 2 2 6 4" xfId="940" xr:uid="{247CF02A-3ECE-4765-930C-D7C182408F13}"/>
    <cellStyle name="Total 2 2 6 4 2" xfId="1539" xr:uid="{02857E02-37FF-4767-81BA-4E11D6F45749}"/>
    <cellStyle name="Total 2 2 6 4 2 2" xfId="4691" xr:uid="{9170352D-6DB9-4721-AFC2-C115436D4B9F}"/>
    <cellStyle name="Total 2 2 6 4 3" xfId="2073" xr:uid="{A505ADAE-C498-4C66-B9F4-D84EEF6BB0CE}"/>
    <cellStyle name="Total 2 2 6 4 3 2" xfId="5225" xr:uid="{F618ED8C-2DF6-4628-992B-52168AD76AAD}"/>
    <cellStyle name="Total 2 2 6 4 4" xfId="2722" xr:uid="{03A1C6A5-B01F-49C0-960F-23A0772662E5}"/>
    <cellStyle name="Total 2 2 6 4 4 2" xfId="5874" xr:uid="{40673BDE-B191-49A5-BFD5-E1A6FA4E17E4}"/>
    <cellStyle name="Total 2 2 6 4 5" xfId="2890" xr:uid="{24D5D2F6-9CCA-450F-8631-796D5DA26571}"/>
    <cellStyle name="Total 2 2 6 4 5 2" xfId="6042" xr:uid="{F43C765D-3943-430C-B24B-11441DD7C446}"/>
    <cellStyle name="Total 2 2 6 4 6" xfId="3303" xr:uid="{EE706ECA-BE8B-47CF-B7FF-01D0EE9E25C6}"/>
    <cellStyle name="Total 2 2 6 4 7" xfId="4103" xr:uid="{3B814D2A-1F03-43A7-84C8-DDDE40EDD04D}"/>
    <cellStyle name="Total 2 2 6 5" xfId="521" xr:uid="{98165C19-A79C-498F-9336-E78DD86E0A12}"/>
    <cellStyle name="Total 2 2 6 5 2" xfId="3690" xr:uid="{9E14766C-4D9E-4D97-8877-FA8424D2911E}"/>
    <cellStyle name="Total 2 2 6 6" xfId="1119" xr:uid="{869C5FED-1BCC-42AF-8B5C-3D0436301E14}"/>
    <cellStyle name="Total 2 2 6 6 2" xfId="4277" xr:uid="{71DCB2EC-EACC-4B56-868C-2B4FE9216CE4}"/>
    <cellStyle name="Total 2 2 6 7" xfId="1656" xr:uid="{BED56258-B6E8-4374-BC8A-8C87A04F346C}"/>
    <cellStyle name="Total 2 2 6 7 2" xfId="4808" xr:uid="{E9A5ECCE-E208-49D2-98EB-BE1B117D1FBB}"/>
    <cellStyle name="Total 2 2 6 8" xfId="3446" xr:uid="{97C9D3EB-1AD9-497A-B3DA-D2747C5AD38F}"/>
    <cellStyle name="Total 2 2 7" xfId="127" xr:uid="{EC8F0B26-2B6B-4384-A0C9-E77C4F98F9E8}"/>
    <cellStyle name="Total 2 2 7 2" xfId="450" xr:uid="{DF1464BD-EBF7-478D-BEA3-E7C8AAEEE64A}"/>
    <cellStyle name="Total 2 2 7 2 2" xfId="613" xr:uid="{EFDE98F0-0BC1-493E-84F7-53705DE52BBF}"/>
    <cellStyle name="Total 2 2 7 2 2 2" xfId="3776" xr:uid="{67E6D997-44E5-4E9B-98E6-15BFD3EED930}"/>
    <cellStyle name="Total 2 2 7 2 3" xfId="1212" xr:uid="{72E17006-3650-4577-A7DD-7E91DD8B5E4D}"/>
    <cellStyle name="Total 2 2 7 2 3 2" xfId="4364" xr:uid="{CC99C320-61E5-46B9-BAC9-8040681FB243}"/>
    <cellStyle name="Total 2 2 7 2 4" xfId="1746" xr:uid="{60D3C407-694F-44EA-8C92-83E2202A239C}"/>
    <cellStyle name="Total 2 2 7 2 4 2" xfId="4898" xr:uid="{B6F7E513-DD1B-4B9B-B848-5C02FBA34B0F}"/>
    <cellStyle name="Total 2 2 7 2 5" xfId="2221" xr:uid="{13738568-2195-418A-AC36-2ECF2C429815}"/>
    <cellStyle name="Total 2 2 7 2 5 2" xfId="5373" xr:uid="{6FE6324A-F28D-44D2-9E45-B3A24DEF1AAF}"/>
    <cellStyle name="Total 2 2 7 2 6" xfId="2545" xr:uid="{FE4070E8-3F26-4299-B472-DDDF9CD24672}"/>
    <cellStyle name="Total 2 2 7 2 6 2" xfId="5697" xr:uid="{6300515D-93BC-463C-9777-63F40B3FE804}"/>
    <cellStyle name="Total 2 2 7 2 7" xfId="2976" xr:uid="{A13B4370-4675-4D40-9193-D62CDDDAB587}"/>
    <cellStyle name="Total 2 2 7 2 7 2" xfId="6128" xr:uid="{C8861B6B-2146-4600-8133-AF0C8DC87FC2}"/>
    <cellStyle name="Total 2 2 7 2 8" xfId="3625" xr:uid="{29D02996-5DA7-4781-8602-323B15B62B57}"/>
    <cellStyle name="Total 2 2 7 3" xfId="875" xr:uid="{EEE4261F-18E7-4B54-B893-5ABF15F574AF}"/>
    <cellStyle name="Total 2 2 7 3 2" xfId="1474" xr:uid="{91F83EEF-C7AF-450E-B5D8-44D7AE67FB54}"/>
    <cellStyle name="Total 2 2 7 3 2 2" xfId="4626" xr:uid="{9F0CCCF7-0DD7-49CE-BD58-AE313B9D1014}"/>
    <cellStyle name="Total 2 2 7 3 3" xfId="2008" xr:uid="{5CD2C059-3550-4498-A392-27132211ED9F}"/>
    <cellStyle name="Total 2 2 7 3 3 2" xfId="5160" xr:uid="{59AF281E-E217-47AF-AF8E-26C2D471487C}"/>
    <cellStyle name="Total 2 2 7 3 4" xfId="2483" xr:uid="{8C428795-9C7A-46AE-897C-94644DDA0B52}"/>
    <cellStyle name="Total 2 2 7 3 4 2" xfId="5635" xr:uid="{537A0C73-3E9C-48C3-93E3-BFF723A8BB29}"/>
    <cellStyle name="Total 2 2 7 3 5" xfId="2825" xr:uid="{6A448B15-4E3C-4844-B5F1-ED221E4ECD2B}"/>
    <cellStyle name="Total 2 2 7 3 5 2" xfId="5977" xr:uid="{84377BBB-EE28-47D2-8333-855A0795BE8C}"/>
    <cellStyle name="Total 2 2 7 3 6" xfId="3238" xr:uid="{1DCA45BD-BA9C-4C31-8BC7-2C70A46C161F}"/>
    <cellStyle name="Total 2 2 7 3 6 2" xfId="6390" xr:uid="{C72EA5CA-A882-49D3-8D44-029FD811D70D}"/>
    <cellStyle name="Total 2 2 7 3 7" xfId="4038" xr:uid="{C7F90EAA-2CA1-4E60-AE52-C20D5629AE82}"/>
    <cellStyle name="Total 2 2 7 4" xfId="994" xr:uid="{13F6156B-CCFF-49AB-8873-ACBF006B3B7F}"/>
    <cellStyle name="Total 2 2 7 4 2" xfId="1593" xr:uid="{73B042A6-76C6-48CB-A0D6-885B7080C6B7}"/>
    <cellStyle name="Total 2 2 7 4 2 2" xfId="4745" xr:uid="{2DCBE8D1-DB19-474F-BD92-027351E487DC}"/>
    <cellStyle name="Total 2 2 7 4 3" xfId="2127" xr:uid="{7F2620B4-D1D4-441B-9557-F56DBE4E1B5D}"/>
    <cellStyle name="Total 2 2 7 4 3 2" xfId="5279" xr:uid="{FA943B52-B575-465C-9313-8E645C15A7F9}"/>
    <cellStyle name="Total 2 2 7 4 4" xfId="2776" xr:uid="{6AC8D3EA-B3C3-45D7-95EF-82233083549D}"/>
    <cellStyle name="Total 2 2 7 4 4 2" xfId="5928" xr:uid="{248FAB4B-96A1-46E2-A2D7-747C082E0718}"/>
    <cellStyle name="Total 2 2 7 4 5" xfId="2944" xr:uid="{65C61E07-AB39-43B9-907E-C828168182E0}"/>
    <cellStyle name="Total 2 2 7 4 5 2" xfId="6096" xr:uid="{008C9844-87DD-4A3F-B347-8E34FB7AB32B}"/>
    <cellStyle name="Total 2 2 7 4 6" xfId="3357" xr:uid="{054EE423-3E09-48EF-8F7E-8C764B0D8DD2}"/>
    <cellStyle name="Total 2 2 7 4 7" xfId="4157" xr:uid="{DEA2395B-8DAE-43E1-8CA7-97724E8456B5}"/>
    <cellStyle name="Total 2 2 7 5" xfId="580" xr:uid="{E6C7F406-6FD7-4039-BB67-36284B58C745}"/>
    <cellStyle name="Total 2 2 7 5 2" xfId="3744" xr:uid="{FEF5B2D9-6444-4BC7-8648-DB1BA5F03590}"/>
    <cellStyle name="Total 2 2 7 6" xfId="1179" xr:uid="{F70C25EE-8AE1-46CB-BA83-7527F3A76909}"/>
    <cellStyle name="Total 2 2 7 6 2" xfId="4332" xr:uid="{3FF049E7-3836-40E7-9930-05EA184BF1A1}"/>
    <cellStyle name="Total 2 2 7 7" xfId="1714" xr:uid="{5860982B-8462-4CB8-AE0A-089842AF7E2F}"/>
    <cellStyle name="Total 2 2 7 7 2" xfId="4866" xr:uid="{8584E4B4-7659-49CE-B141-37BBBF7AED8E}"/>
    <cellStyle name="Total 2 2 7 8" xfId="3447" xr:uid="{AF3C286E-3714-40C0-9507-9F7FEF67BF3D}"/>
    <cellStyle name="Total 2 2 8" xfId="210" xr:uid="{4D458CF7-6A29-4119-9100-047772F47629}"/>
    <cellStyle name="Total 2 2 8 2" xfId="3518" xr:uid="{E7B23B68-EF51-44D8-9FD7-C030665159A5}"/>
    <cellStyle name="Total 2 2 9" xfId="222" xr:uid="{34B320F7-DB33-4C2C-941D-DDC614D05857}"/>
    <cellStyle name="Total 2 2 9 2" xfId="3528" xr:uid="{579EC6FA-EC77-4CFC-A432-BBC9FE22ADEE}"/>
    <cellStyle name="Total 2 3" xfId="72" xr:uid="{CD6CDBA2-C5B4-45D0-8456-6A408E35F773}"/>
    <cellStyle name="Total 2 3 10" xfId="3405" xr:uid="{E70FB193-F300-4B62-8567-E0B3BF9BFADF}"/>
    <cellStyle name="Total 2 3 2" xfId="157" xr:uid="{09A89ECD-D75E-4561-9CFE-3A81F97F0783}"/>
    <cellStyle name="Total 2 3 2 2" xfId="380" xr:uid="{7C9CDB06-E743-4D19-A52A-CFAF370A3798}"/>
    <cellStyle name="Total 2 3 2 2 2" xfId="645" xr:uid="{73C9B6CB-92F3-4292-877F-E887FEA0E11E}"/>
    <cellStyle name="Total 2 3 2 2 2 2" xfId="3808" xr:uid="{0459F5E2-3305-4D16-8B3B-462AF815E43E}"/>
    <cellStyle name="Total 2 3 2 2 3" xfId="1244" xr:uid="{E86A9D2C-1AFC-4777-803A-45B51BDB5074}"/>
    <cellStyle name="Total 2 3 2 2 3 2" xfId="4396" xr:uid="{019F1DDF-DA09-4682-8C0C-DB0421BF59C7}"/>
    <cellStyle name="Total 2 3 2 2 4" xfId="1778" xr:uid="{8276C0A9-99AE-44B1-8215-166F212E6E98}"/>
    <cellStyle name="Total 2 3 2 2 4 2" xfId="4930" xr:uid="{58E285DE-4199-4235-A566-FE7B05964158}"/>
    <cellStyle name="Total 2 3 2 2 5" xfId="2253" xr:uid="{ED4B1A61-1740-44D9-A7F8-AA4169A3FF6C}"/>
    <cellStyle name="Total 2 3 2 2 5 2" xfId="5405" xr:uid="{F97AEA72-7805-4249-B221-E4927F3CB005}"/>
    <cellStyle name="Total 2 3 2 2 6" xfId="1681" xr:uid="{75F1F600-A024-452B-B506-431C2372C9FF}"/>
    <cellStyle name="Total 2 3 2 2 6 2" xfId="4833" xr:uid="{D8E190C9-3C90-460B-8BF1-765DCC660ABB}"/>
    <cellStyle name="Total 2 3 2 2 7" xfId="3008" xr:uid="{86595AC7-BFC1-4ADD-AC2C-1467920C822D}"/>
    <cellStyle name="Total 2 3 2 2 7 2" xfId="6160" xr:uid="{F77E3833-BBD6-45E0-9054-6AAA8DD2DBC8}"/>
    <cellStyle name="Total 2 3 2 2 8" xfId="3562" xr:uid="{2BD6AA04-D10B-439C-9ECA-6515DA64118C}"/>
    <cellStyle name="Total 2 3 2 3" xfId="812" xr:uid="{5961436D-8D0F-492B-B099-CCCA44EFBEF6}"/>
    <cellStyle name="Total 2 3 2 3 2" xfId="1411" xr:uid="{C6F76201-874C-4009-B718-71CFA1B0A3B0}"/>
    <cellStyle name="Total 2 3 2 3 2 2" xfId="4563" xr:uid="{196726AD-3DFC-4454-8E15-B4E4FCC36593}"/>
    <cellStyle name="Total 2 3 2 3 3" xfId="1945" xr:uid="{309CFDC0-0F7D-46F1-B17F-E13CE574B1F5}"/>
    <cellStyle name="Total 2 3 2 3 3 2" xfId="5097" xr:uid="{970744CC-BBF8-44A4-9468-FFAA8AE3AD79}"/>
    <cellStyle name="Total 2 3 2 3 4" xfId="2420" xr:uid="{8E45FA2B-EAE1-4500-AB96-F6F9DB3EC802}"/>
    <cellStyle name="Total 2 3 2 3 4 2" xfId="5572" xr:uid="{B521CAF0-12DE-4A33-916E-A257AD7621B3}"/>
    <cellStyle name="Total 2 3 2 3 5" xfId="2508" xr:uid="{F704C89F-0AC5-44CC-BC06-82C014C58B82}"/>
    <cellStyle name="Total 2 3 2 3 5 2" xfId="5660" xr:uid="{E4CADC58-DD35-4886-8589-9DA38848A487}"/>
    <cellStyle name="Total 2 3 2 3 6" xfId="3175" xr:uid="{E28600ED-D1D2-4188-A039-B283DBD1CC88}"/>
    <cellStyle name="Total 2 3 2 3 6 2" xfId="6327" xr:uid="{AB27F3D5-6179-4FA7-A951-5C26D2C8BF24}"/>
    <cellStyle name="Total 2 3 2 3 7" xfId="3975" xr:uid="{C868D38A-4FC4-45E4-AE30-FD4051623576}"/>
    <cellStyle name="Total 2 3 2 4" xfId="931" xr:uid="{A7F1B29D-4BD6-4DA5-A2C2-41C0B504AFA5}"/>
    <cellStyle name="Total 2 3 2 4 2" xfId="1530" xr:uid="{60C023ED-1707-4D78-B6C9-CAE4117905F3}"/>
    <cellStyle name="Total 2 3 2 4 2 2" xfId="4682" xr:uid="{82106A86-0726-4FCE-9ADE-3FB564011D73}"/>
    <cellStyle name="Total 2 3 2 4 3" xfId="2064" xr:uid="{97948BED-E3D8-4E7C-A8DE-BF1E16906B90}"/>
    <cellStyle name="Total 2 3 2 4 3 2" xfId="5216" xr:uid="{182122C6-EB2C-4673-9E6C-CCB7644B6DBE}"/>
    <cellStyle name="Total 2 3 2 4 4" xfId="2713" xr:uid="{E7607702-B991-4817-A027-680A57C5EA60}"/>
    <cellStyle name="Total 2 3 2 4 4 2" xfId="5865" xr:uid="{EBF99DD8-B1C0-459B-9B08-1EABE30855AE}"/>
    <cellStyle name="Total 2 3 2 4 5" xfId="2881" xr:uid="{3F699279-8025-4825-A0CC-E1AD469A3BE9}"/>
    <cellStyle name="Total 2 3 2 4 5 2" xfId="6033" xr:uid="{DF72DB3E-46EC-46A6-B115-4470A990EBE2}"/>
    <cellStyle name="Total 2 3 2 4 6" xfId="3294" xr:uid="{C5B254D3-E76D-424E-A23E-DD808A16F356}"/>
    <cellStyle name="Total 2 3 2 4 7" xfId="4094" xr:uid="{A06B663C-14DA-4AFF-8E8D-E028EAF559E2}"/>
    <cellStyle name="Total 2 3 2 5" xfId="511" xr:uid="{9213B068-0B44-4C6D-BDD7-54AC369BCEE1}"/>
    <cellStyle name="Total 2 3 2 5 2" xfId="3681" xr:uid="{8FD88DA0-9515-4F80-853F-7242BD16E5D2}"/>
    <cellStyle name="Total 2 3 2 6" xfId="1109" xr:uid="{27439413-629E-49FC-A5A3-71491D558679}"/>
    <cellStyle name="Total 2 3 2 6 2" xfId="4268" xr:uid="{C46A8FF2-274C-4C43-B7B2-1210959C3A34}"/>
    <cellStyle name="Total 2 3 2 7" xfId="1646" xr:uid="{A458D6F9-F3BD-4E5D-A24C-2060A097C265}"/>
    <cellStyle name="Total 2 3 2 7 2" xfId="4798" xr:uid="{5892DB2E-3289-4A25-A7EB-C87DA03F5EA5}"/>
    <cellStyle name="Total 2 3 2 8" xfId="3475" xr:uid="{EBBB20EC-9DEA-4CCE-8CC5-0F6E69347275}"/>
    <cellStyle name="Total 2 3 3" xfId="441" xr:uid="{E6E5F772-6D80-4572-B710-E862248A8F4A}"/>
    <cellStyle name="Total 2 3 3 2" xfId="659" xr:uid="{84B3B9F5-0BA3-4A6D-A5E0-CA2862D46BA2}"/>
    <cellStyle name="Total 2 3 3 2 2" xfId="1258" xr:uid="{DD0B8185-B742-4EEF-8644-FC953F5DC6E9}"/>
    <cellStyle name="Total 2 3 3 2 2 2" xfId="4410" xr:uid="{FF59F604-7C0F-440B-82B9-2D8285DC1974}"/>
    <cellStyle name="Total 2 3 3 2 3" xfId="1792" xr:uid="{5C72DAE3-3D2F-4ED5-9604-F8D4534DDC01}"/>
    <cellStyle name="Total 2 3 3 2 3 2" xfId="4944" xr:uid="{BC0EF7F0-F90E-45B5-B28E-BF84439F610E}"/>
    <cellStyle name="Total 2 3 3 2 4" xfId="2267" xr:uid="{EFF80CAB-8606-418E-9162-2071A3A8E41F}"/>
    <cellStyle name="Total 2 3 3 2 4 2" xfId="5419" xr:uid="{CBDC9CCD-9BF8-47E6-9C82-F2EBE3F1DF43}"/>
    <cellStyle name="Total 2 3 3 2 5" xfId="2196" xr:uid="{AC7E7827-7EC9-4995-9469-B6C8FA51A8DA}"/>
    <cellStyle name="Total 2 3 3 2 5 2" xfId="5348" xr:uid="{DE1AB96E-A7C1-4A51-8239-2279FCB0E3EF}"/>
    <cellStyle name="Total 2 3 3 2 6" xfId="3022" xr:uid="{1C7088F4-8352-4822-9C88-B7BB9B54D3F6}"/>
    <cellStyle name="Total 2 3 3 2 6 2" xfId="6174" xr:uid="{CBE518E2-25BD-4BD0-BA68-4C872B90CA49}"/>
    <cellStyle name="Total 2 3 3 2 7" xfId="3822" xr:uid="{EF2E543B-AFA7-4E86-91A8-47A16C3196CF}"/>
    <cellStyle name="Total 2 3 3 3" xfId="866" xr:uid="{7D8C8B1F-2944-423E-B638-CC68BB3D6BA9}"/>
    <cellStyle name="Total 2 3 3 3 2" xfId="1465" xr:uid="{DD53347A-44CC-4873-B1A7-AD863CD8470C}"/>
    <cellStyle name="Total 2 3 3 3 2 2" xfId="4617" xr:uid="{57AF1A31-2E62-4AAD-8690-F0D0174AF72D}"/>
    <cellStyle name="Total 2 3 3 3 3" xfId="1999" xr:uid="{31FC7683-F7A7-45CB-8440-EE64ABE00A7B}"/>
    <cellStyle name="Total 2 3 3 3 3 2" xfId="5151" xr:uid="{D96B2292-A89A-4885-91E9-81EC3BF95F14}"/>
    <cellStyle name="Total 2 3 3 3 4" xfId="2474" xr:uid="{F1EA5E26-8C1B-4BC3-83E6-D1EA9898469B}"/>
    <cellStyle name="Total 2 3 3 3 4 2" xfId="5626" xr:uid="{F97A841F-B07F-4C55-A14F-D341C1B67EE0}"/>
    <cellStyle name="Total 2 3 3 3 5" xfId="2816" xr:uid="{36494B1D-2D97-4A11-BB3E-3990CBA1DCCF}"/>
    <cellStyle name="Total 2 3 3 3 5 2" xfId="5968" xr:uid="{2A1FE9F0-419F-4BD4-8C4A-EFB865275CC8}"/>
    <cellStyle name="Total 2 3 3 3 6" xfId="3229" xr:uid="{F755FF58-1F3A-4E13-9A0A-B496E06F81D6}"/>
    <cellStyle name="Total 2 3 3 3 6 2" xfId="6381" xr:uid="{72BE8FD9-5328-4FCE-8C2D-1213442226FB}"/>
    <cellStyle name="Total 2 3 3 3 7" xfId="4029" xr:uid="{7A1ED90F-9EFB-4E0B-911F-5184500E1E3D}"/>
    <cellStyle name="Total 2 3 3 4" xfId="985" xr:uid="{958A3916-5F09-4623-B18E-07A2AE16EE54}"/>
    <cellStyle name="Total 2 3 3 4 2" xfId="1584" xr:uid="{BA0900C5-EEFA-418A-AF7D-D02DEC38F652}"/>
    <cellStyle name="Total 2 3 3 4 2 2" xfId="4736" xr:uid="{21A9BE29-2126-48FD-ABA6-84F8C648635D}"/>
    <cellStyle name="Total 2 3 3 4 3" xfId="2118" xr:uid="{08941D45-3E69-4C1F-BD8C-5D81786900AE}"/>
    <cellStyle name="Total 2 3 3 4 3 2" xfId="5270" xr:uid="{93C15B3F-59F4-4214-8F7D-A6327E0000A5}"/>
    <cellStyle name="Total 2 3 3 4 4" xfId="2767" xr:uid="{676C70E0-549A-4BD7-AC0E-F68E38DEAC30}"/>
    <cellStyle name="Total 2 3 3 4 4 2" xfId="5919" xr:uid="{5196E9FC-5662-4733-8E8A-93F235E49BBE}"/>
    <cellStyle name="Total 2 3 3 4 5" xfId="2935" xr:uid="{E130B994-326E-4A87-81CB-311F306AF7F1}"/>
    <cellStyle name="Total 2 3 3 4 5 2" xfId="6087" xr:uid="{33FC8E9C-AB11-4A16-AEF3-7C475D77E19D}"/>
    <cellStyle name="Total 2 3 3 4 6" xfId="3348" xr:uid="{8EE4D311-5570-462B-8841-71346B251FDB}"/>
    <cellStyle name="Total 2 3 3 4 7" xfId="4148" xr:uid="{2D0BA34C-DF8E-4A67-BB1D-4C90A25ABEA3}"/>
    <cellStyle name="Total 2 3 3 5" xfId="571" xr:uid="{6F634A7B-354E-4FDE-9E5E-5B86C3AE18B0}"/>
    <cellStyle name="Total 2 3 3 5 2" xfId="3735" xr:uid="{80CE1B65-5C8B-480E-8D07-6F4550B2CCF9}"/>
    <cellStyle name="Total 2 3 3 6" xfId="1170" xr:uid="{F1B8BD6D-4ED6-406E-ADA5-377BE0063F0F}"/>
    <cellStyle name="Total 2 3 3 6 2" xfId="4323" xr:uid="{4B76E7C4-0515-4326-8347-3A63BC2F011E}"/>
    <cellStyle name="Total 2 3 3 7" xfId="1705" xr:uid="{F834AD5D-7751-431C-AF91-48E20419527C}"/>
    <cellStyle name="Total 2 3 3 7 2" xfId="4857" xr:uid="{AFB56D45-768F-470F-963E-41A98A81C8A3}"/>
    <cellStyle name="Total 2 3 3 8" xfId="3616" xr:uid="{4E26C86E-D84C-4FA3-9169-776C101D3E30}"/>
    <cellStyle name="Total 2 3 4" xfId="336" xr:uid="{353DD258-75B9-43D3-9DB8-05331AB8ABD7}"/>
    <cellStyle name="Total 2 3 4 2" xfId="713" xr:uid="{6C8368DF-80D2-4699-8BB0-0C6B0EA2704C}"/>
    <cellStyle name="Total 2 3 4 2 2" xfId="3876" xr:uid="{1D7E5D5B-EB5C-4A90-8DE0-4994BFB911E0}"/>
    <cellStyle name="Total 2 3 4 3" xfId="1312" xr:uid="{CAA16F98-B05C-4B0B-BFF3-CE87F2B0DD7A}"/>
    <cellStyle name="Total 2 3 4 3 2" xfId="4464" xr:uid="{DC7E95F7-9B1D-4203-8A88-D9A58AB7A9C2}"/>
    <cellStyle name="Total 2 3 4 4" xfId="1846" xr:uid="{5F42378B-24FD-44C3-A5C6-D8489A1A6949}"/>
    <cellStyle name="Total 2 3 4 4 2" xfId="4998" xr:uid="{ADE1B3C7-3B23-47DD-86D7-01F17F44BE8D}"/>
    <cellStyle name="Total 2 3 4 5" xfId="2321" xr:uid="{AE4E9993-5F31-4F5F-BFD1-382D074B9DF8}"/>
    <cellStyle name="Total 2 3 4 5 2" xfId="5473" xr:uid="{1AA73BFC-E96E-48FF-8E57-858F1D6EC68F}"/>
    <cellStyle name="Total 2 3 4 6" xfId="2644" xr:uid="{2706C03C-6A52-4434-B442-49E932EEA482}"/>
    <cellStyle name="Total 2 3 4 6 2" xfId="5796" xr:uid="{0F2A644E-D207-4485-901C-B1C2735951F0}"/>
    <cellStyle name="Total 2 3 4 7" xfId="3076" xr:uid="{56C87266-DDDC-4ED3-9A88-EC4472C16098}"/>
    <cellStyle name="Total 2 3 4 7 2" xfId="6228" xr:uid="{276F314B-B104-4B5E-B4C9-95D756042A5C}"/>
    <cellStyle name="Total 2 3 4 8" xfId="3533" xr:uid="{859C079F-FE1C-4699-83FD-2A57D61D79D6}"/>
    <cellStyle name="Total 2 3 5" xfId="783" xr:uid="{FECF7898-B1FD-4A96-B7BE-9EC6A705E4B8}"/>
    <cellStyle name="Total 2 3 5 2" xfId="1382" xr:uid="{095363A4-537C-4540-8A98-AB7661C486D6}"/>
    <cellStyle name="Total 2 3 5 2 2" xfId="4534" xr:uid="{78018B37-62C8-4A0C-94CC-6EB484DB285D}"/>
    <cellStyle name="Total 2 3 5 3" xfId="1916" xr:uid="{98D8E232-2161-4EFC-A6AA-C7F29C904A6F}"/>
    <cellStyle name="Total 2 3 5 3 2" xfId="5068" xr:uid="{8F8F5321-10F7-44A9-9FCC-4A19C9627B0D}"/>
    <cellStyle name="Total 2 3 5 4" xfId="2391" xr:uid="{5C2F0E80-EFFE-4239-ABF6-EB4C5DF52E44}"/>
    <cellStyle name="Total 2 3 5 4 2" xfId="5543" xr:uid="{702A5DA9-8010-4908-BD15-CEC9A9231C82}"/>
    <cellStyle name="Total 2 3 5 5" xfId="2622" xr:uid="{F0842F6D-3DBB-4113-ABBB-D97C6053304A}"/>
    <cellStyle name="Total 2 3 5 5 2" xfId="5774" xr:uid="{A0D72D1A-56B2-4B33-B841-F47A40FB464F}"/>
    <cellStyle name="Total 2 3 5 6" xfId="3146" xr:uid="{31EDB69B-EF1C-4518-8012-290420EFBE5E}"/>
    <cellStyle name="Total 2 3 5 6 2" xfId="6298" xr:uid="{AF7A665A-0557-441B-A9A5-82503751438C}"/>
    <cellStyle name="Total 2 3 5 7" xfId="3946" xr:uid="{F1770BD2-17FF-4CAF-95C2-B83A7CAEA5A5}"/>
    <cellStyle name="Total 2 3 6" xfId="902" xr:uid="{5B577A95-568A-4CB1-95A4-66A2DCD85EBB}"/>
    <cellStyle name="Total 2 3 6 2" xfId="1501" xr:uid="{AAEEBC08-08B0-4EF8-8543-73E274D4B824}"/>
    <cellStyle name="Total 2 3 6 2 2" xfId="4653" xr:uid="{1D848254-A7C7-4A64-AE62-754F6FF30F2D}"/>
    <cellStyle name="Total 2 3 6 3" xfId="2035" xr:uid="{938E175F-77CF-4FBF-9AB4-0A0FEEE50B6F}"/>
    <cellStyle name="Total 2 3 6 3 2" xfId="5187" xr:uid="{95A748DF-1F59-418B-A8F5-9C2DA8EFAD62}"/>
    <cellStyle name="Total 2 3 6 4" xfId="2684" xr:uid="{0559F161-86C2-40E9-97C4-F515E93D8E0E}"/>
    <cellStyle name="Total 2 3 6 4 2" xfId="5836" xr:uid="{8CE35D15-AB4D-42DE-8AFB-6B7B61D3D6C5}"/>
    <cellStyle name="Total 2 3 6 5" xfId="2852" xr:uid="{6579920C-08CE-4B3A-B80A-BBBBEFA9618D}"/>
    <cellStyle name="Total 2 3 6 5 2" xfId="6004" xr:uid="{F3CC3949-ABBC-4317-BE07-FD5E86BF2D73}"/>
    <cellStyle name="Total 2 3 6 6" xfId="3265" xr:uid="{EB65C55E-3904-41D4-81A1-83E0A428CEA8}"/>
    <cellStyle name="Total 2 3 6 7" xfId="4065" xr:uid="{D9B810AC-D01D-4DFA-9F71-C6B2D6546137}"/>
    <cellStyle name="Total 2 3 7" xfId="479" xr:uid="{848F779A-934F-4B82-A2DF-44C1F3785D5F}"/>
    <cellStyle name="Total 2 3 7 2" xfId="3652" xr:uid="{0FE6425F-C528-4A0B-8667-00CD6BB7A159}"/>
    <cellStyle name="Total 2 3 8" xfId="1073" xr:uid="{FB085DA2-4703-4551-BB6C-276A62E8D73A}"/>
    <cellStyle name="Total 2 3 8 2" xfId="4235" xr:uid="{63F606AB-8785-4942-B9E1-97C28497CC44}"/>
    <cellStyle name="Total 2 3 9" xfId="1053" xr:uid="{46E78238-6467-4A0D-A011-EA3D70794D40}"/>
    <cellStyle name="Total 2 3 9 2" xfId="4215" xr:uid="{6183F49A-76D3-42C7-A53D-21C6F478252A}"/>
    <cellStyle name="Total 2 4" xfId="73" xr:uid="{8261B119-CF99-4620-8C6F-BC4B0D6B3C9D}"/>
    <cellStyle name="Total 2 4 2" xfId="158" xr:uid="{878CEA42-C194-4639-BCA2-043F78DC4BE3}"/>
    <cellStyle name="Total 2 4 2 2" xfId="442" xr:uid="{6D9CC01A-0320-4532-AF69-1F2920815564}"/>
    <cellStyle name="Total 2 4 2 2 2" xfId="617" xr:uid="{A4B4217A-0FC5-4895-9ABC-4F198D8CB813}"/>
    <cellStyle name="Total 2 4 2 2 2 2" xfId="3780" xr:uid="{FECB87BF-434E-4224-BF74-19CE0FC4D98E}"/>
    <cellStyle name="Total 2 4 2 2 3" xfId="1216" xr:uid="{6EC0CE09-702C-4B56-9C62-980AAA889092}"/>
    <cellStyle name="Total 2 4 2 2 3 2" xfId="4368" xr:uid="{A98AA5C7-E9D2-4643-81FA-54E9B9770431}"/>
    <cellStyle name="Total 2 4 2 2 4" xfId="1750" xr:uid="{3D00E2EB-A738-463C-9729-26BA980FC544}"/>
    <cellStyle name="Total 2 4 2 2 4 2" xfId="4902" xr:uid="{5672FC39-8AF2-45A7-84BB-55D893D6C0F7}"/>
    <cellStyle name="Total 2 4 2 2 5" xfId="2225" xr:uid="{3E6A63C7-2C1F-4EBB-89D5-F55F05CA6B06}"/>
    <cellStyle name="Total 2 4 2 2 5 2" xfId="5377" xr:uid="{14DB5D87-0751-439B-86CC-E7C664618DF2}"/>
    <cellStyle name="Total 2 4 2 2 6" xfId="1680" xr:uid="{21DB1A75-49A8-49B7-B98B-7CA7CE9E419E}"/>
    <cellStyle name="Total 2 4 2 2 6 2" xfId="4832" xr:uid="{6AF0B747-702E-4B76-8567-CC4AB1766602}"/>
    <cellStyle name="Total 2 4 2 2 7" xfId="2980" xr:uid="{229BC9CA-01BF-46D6-B473-3BFF567467F1}"/>
    <cellStyle name="Total 2 4 2 2 7 2" xfId="6132" xr:uid="{868C2788-3754-47DA-928B-7C7D1315CDAB}"/>
    <cellStyle name="Total 2 4 2 2 8" xfId="3617" xr:uid="{0E06FEE6-7B27-4D15-9AAD-DFE223A62127}"/>
    <cellStyle name="Total 2 4 2 3" xfId="867" xr:uid="{6AF4F389-EA20-4124-9B60-FCD5B03C4F83}"/>
    <cellStyle name="Total 2 4 2 3 2" xfId="1466" xr:uid="{0709C687-4CF8-4E65-9734-409C57D2864C}"/>
    <cellStyle name="Total 2 4 2 3 2 2" xfId="4618" xr:uid="{93F500E0-CAD7-4C02-898E-6A195D61DE9A}"/>
    <cellStyle name="Total 2 4 2 3 3" xfId="2000" xr:uid="{62205422-6501-4426-B8F9-8859866CA200}"/>
    <cellStyle name="Total 2 4 2 3 3 2" xfId="5152" xr:uid="{59E1FAA1-380F-4408-A95F-6CF70D0E14A8}"/>
    <cellStyle name="Total 2 4 2 3 4" xfId="2475" xr:uid="{2AD09525-15D2-4FE3-AF7D-94CC1A653F70}"/>
    <cellStyle name="Total 2 4 2 3 4 2" xfId="5627" xr:uid="{E0361F9F-A9F8-4A17-8D65-1B3DC8336BD4}"/>
    <cellStyle name="Total 2 4 2 3 5" xfId="2817" xr:uid="{6B16C00C-DD6D-462F-9332-432578DBBC32}"/>
    <cellStyle name="Total 2 4 2 3 5 2" xfId="5969" xr:uid="{FF29CC56-0492-4701-81CF-8D756EF3F6BF}"/>
    <cellStyle name="Total 2 4 2 3 6" xfId="3230" xr:uid="{2817850E-D8D9-47B7-A8FD-07B001F49204}"/>
    <cellStyle name="Total 2 4 2 3 6 2" xfId="6382" xr:uid="{BB1DDC14-3F82-4BE9-B3C0-2E61E5E116FB}"/>
    <cellStyle name="Total 2 4 2 3 7" xfId="4030" xr:uid="{04430EAD-9ED6-4275-BC70-EC270C63354D}"/>
    <cellStyle name="Total 2 4 2 4" xfId="986" xr:uid="{5DBCEB9F-BF17-4390-959F-88DD8E0C3676}"/>
    <cellStyle name="Total 2 4 2 4 2" xfId="1585" xr:uid="{9F2DF1C3-0A3A-4D55-8262-3AE9B91F7130}"/>
    <cellStyle name="Total 2 4 2 4 2 2" xfId="4737" xr:uid="{0C0213DC-F524-48E3-8373-A20225BAC4D4}"/>
    <cellStyle name="Total 2 4 2 4 3" xfId="2119" xr:uid="{3EE11C4A-BD39-4004-93EF-3EC736F2CD4A}"/>
    <cellStyle name="Total 2 4 2 4 3 2" xfId="5271" xr:uid="{92B8FDF1-E4AA-4F13-8CA4-4C92F5EB6D40}"/>
    <cellStyle name="Total 2 4 2 4 4" xfId="2768" xr:uid="{03D17976-B49A-494E-8120-80CB0B322FA9}"/>
    <cellStyle name="Total 2 4 2 4 4 2" xfId="5920" xr:uid="{E631CAC1-D2ED-4CFB-B683-3DB94265C8DA}"/>
    <cellStyle name="Total 2 4 2 4 5" xfId="2936" xr:uid="{E60718DB-E0E2-47BA-BADB-EAA5D87F76E9}"/>
    <cellStyle name="Total 2 4 2 4 5 2" xfId="6088" xr:uid="{48DBCF1B-0597-4236-B5A9-FB4796FE993B}"/>
    <cellStyle name="Total 2 4 2 4 6" xfId="3349" xr:uid="{AB2F9F0F-6F06-4550-B1A7-C510AECC2A01}"/>
    <cellStyle name="Total 2 4 2 4 7" xfId="4149" xr:uid="{E0F4EE53-12A8-49E7-91DF-00D5C03AA10E}"/>
    <cellStyle name="Total 2 4 2 5" xfId="572" xr:uid="{27C0C1FB-E26B-49F4-A2CA-4761BE104261}"/>
    <cellStyle name="Total 2 4 2 5 2" xfId="3736" xr:uid="{A3B9A870-3015-4B9C-BB10-73DCAC32B55C}"/>
    <cellStyle name="Total 2 4 2 6" xfId="1171" xr:uid="{706575FC-470B-475D-9174-D9539A2E35C4}"/>
    <cellStyle name="Total 2 4 2 6 2" xfId="4324" xr:uid="{B1C6B6CF-6C8B-41B1-AE93-917FCA94F6BD}"/>
    <cellStyle name="Total 2 4 2 7" xfId="1706" xr:uid="{71B59DAA-A3C1-49FC-A9E3-A03BE2D10CD3}"/>
    <cellStyle name="Total 2 4 2 7 2" xfId="4858" xr:uid="{53C08067-A37D-4495-B50E-02B1AD22B490}"/>
    <cellStyle name="Total 2 4 2 8" xfId="3476" xr:uid="{7159E82F-5A97-4186-B87B-8DC5034BFAE7}"/>
    <cellStyle name="Total 2 4 3" xfId="381" xr:uid="{36C9E261-5A08-4F7D-97DC-9D904A3BB49C}"/>
    <cellStyle name="Total 2 4 3 2" xfId="633" xr:uid="{42A30535-A613-414A-8D7F-6C9255478981}"/>
    <cellStyle name="Total 2 4 3 2 2" xfId="3796" xr:uid="{5E9BF431-EA27-4B9A-A27C-58BEB21FB686}"/>
    <cellStyle name="Total 2 4 3 3" xfId="1232" xr:uid="{026D8087-E2F9-4D36-B6BB-2D3D6C291C98}"/>
    <cellStyle name="Total 2 4 3 3 2" xfId="4384" xr:uid="{17EABF95-E8D0-4A45-9604-FF3D9CAF27B6}"/>
    <cellStyle name="Total 2 4 3 4" xfId="1766" xr:uid="{9E5FF887-07F9-4874-8402-C5CD0B015ACA}"/>
    <cellStyle name="Total 2 4 3 4 2" xfId="4918" xr:uid="{4472B2B3-9249-44C0-AA68-7B36A61E044B}"/>
    <cellStyle name="Total 2 4 3 5" xfId="2241" xr:uid="{9283F434-C20E-4723-989A-7BEA72680E24}"/>
    <cellStyle name="Total 2 4 3 5 2" xfId="5393" xr:uid="{897D3017-1A09-4975-A5D3-E6FC45FB906E}"/>
    <cellStyle name="Total 2 4 3 6" xfId="2542" xr:uid="{39B7EFD0-7E19-4434-99A3-68A5FDC5D172}"/>
    <cellStyle name="Total 2 4 3 6 2" xfId="5694" xr:uid="{36748D21-5380-4E55-8A5D-FAB6BBD99F00}"/>
    <cellStyle name="Total 2 4 3 7" xfId="2996" xr:uid="{50C97A59-FE56-42D2-BFAE-2562E91F015A}"/>
    <cellStyle name="Total 2 4 3 7 2" xfId="6148" xr:uid="{E481132F-285E-4F62-9E1E-A0BDA9ED1283}"/>
    <cellStyle name="Total 2 4 3 8" xfId="3563" xr:uid="{9B0F4C06-6BC8-4441-B132-4B9BFDB8862E}"/>
    <cellStyle name="Total 2 4 4" xfId="813" xr:uid="{4DE4E4B3-6DB2-4D3F-9621-1DB7F2ADCAE6}"/>
    <cellStyle name="Total 2 4 4 2" xfId="1412" xr:uid="{AB1440DE-D79F-4ADB-8E72-C3B8AF826B36}"/>
    <cellStyle name="Total 2 4 4 2 2" xfId="4564" xr:uid="{3DDAD87D-1C01-4EB4-ABFC-AD704772E515}"/>
    <cellStyle name="Total 2 4 4 3" xfId="1946" xr:uid="{6EDC010D-9455-455F-98EB-0587F476BC19}"/>
    <cellStyle name="Total 2 4 4 3 2" xfId="5098" xr:uid="{8E28EC9C-D52F-461A-A8CD-2659010430D1}"/>
    <cellStyle name="Total 2 4 4 4" xfId="2421" xr:uid="{890EBC5D-C6B8-40A2-A0AE-D30346785753}"/>
    <cellStyle name="Total 2 4 4 4 2" xfId="5573" xr:uid="{E20DCC08-6AB0-43DA-9F65-D4B2859E894A}"/>
    <cellStyle name="Total 2 4 4 5" xfId="2206" xr:uid="{6FA73A96-152D-47F2-B7D3-1B1FE9494B47}"/>
    <cellStyle name="Total 2 4 4 5 2" xfId="5358" xr:uid="{7005798F-B5FB-4C63-95F4-87BCDE31A8BC}"/>
    <cellStyle name="Total 2 4 4 6" xfId="3176" xr:uid="{09CF953A-F1D3-4709-8917-522A3D0E8314}"/>
    <cellStyle name="Total 2 4 4 6 2" xfId="6328" xr:uid="{7F886D73-5F01-4EB1-A9F6-73ACCC16E54F}"/>
    <cellStyle name="Total 2 4 4 7" xfId="3976" xr:uid="{9E473794-6948-4EA7-A2B6-87F368CF6AE6}"/>
    <cellStyle name="Total 2 4 5" xfId="932" xr:uid="{153276DF-28F3-4449-AF63-3A63CC4D72A8}"/>
    <cellStyle name="Total 2 4 5 2" xfId="1531" xr:uid="{C0FAFD5F-C41F-4FB1-BF81-2732766BCFA8}"/>
    <cellStyle name="Total 2 4 5 2 2" xfId="4683" xr:uid="{A0E6B63A-D0B2-4AD6-B0AC-F616F9EF69D7}"/>
    <cellStyle name="Total 2 4 5 3" xfId="2065" xr:uid="{4FEAFDB3-98CE-455E-BC7A-554F84B4A60B}"/>
    <cellStyle name="Total 2 4 5 3 2" xfId="5217" xr:uid="{83177275-A31F-4C7D-99A1-EDB70A094CCB}"/>
    <cellStyle name="Total 2 4 5 4" xfId="2714" xr:uid="{61FD22CD-ABCA-424D-B49E-C14797CF7C45}"/>
    <cellStyle name="Total 2 4 5 4 2" xfId="5866" xr:uid="{FF2F8F1A-742B-492F-A7ED-694BC0325352}"/>
    <cellStyle name="Total 2 4 5 5" xfId="2882" xr:uid="{568A2680-8D9E-4B87-9B35-87FE8288A628}"/>
    <cellStyle name="Total 2 4 5 5 2" xfId="6034" xr:uid="{E97401B4-73F2-4358-BD5C-6B07259E9F14}"/>
    <cellStyle name="Total 2 4 5 6" xfId="3295" xr:uid="{03A98160-7C0F-42FF-84E2-223D88C7E35A}"/>
    <cellStyle name="Total 2 4 5 7" xfId="4095" xr:uid="{5FF41C00-67DB-4AC0-8839-6E0E31E4043D}"/>
    <cellStyle name="Total 2 4 6" xfId="512" xr:uid="{ED7597A9-4C96-4AA8-8095-E73F6C126A81}"/>
    <cellStyle name="Total 2 4 6 2" xfId="3682" xr:uid="{CDE5276D-399E-48B0-B262-9048215B79BC}"/>
    <cellStyle name="Total 2 4 7" xfId="1110" xr:uid="{09B92BA9-1A41-482D-BC69-CC63964CE410}"/>
    <cellStyle name="Total 2 4 7 2" xfId="4269" xr:uid="{AE4BEF57-CDDE-4665-A1F0-E20967DF85B8}"/>
    <cellStyle name="Total 2 4 8" xfId="1647" xr:uid="{E13828EA-9887-4763-9626-F194B47A02F0}"/>
    <cellStyle name="Total 2 4 8 2" xfId="4799" xr:uid="{91D2C63A-64F1-4C62-AA0A-98F026487FC6}"/>
    <cellStyle name="Total 2 4 9" xfId="3406" xr:uid="{9724329E-7A1C-48C3-BD81-B8AD64A44E88}"/>
    <cellStyle name="Total 2 5" xfId="86" xr:uid="{549CD50C-06A1-4891-AF65-B00A7DEE0F57}"/>
    <cellStyle name="Total 2 5 2" xfId="166" xr:uid="{C7542F4A-31A4-4A7B-A7CD-8B7222428E91}"/>
    <cellStyle name="Total 2 5 2 2" xfId="452" xr:uid="{4F2CD7CF-56DB-41E0-A675-5D2E80053842}"/>
    <cellStyle name="Total 2 5 2 2 2" xfId="612" xr:uid="{9369D486-1CA4-4D5E-AB3F-A6528E495C98}"/>
    <cellStyle name="Total 2 5 2 2 2 2" xfId="3775" xr:uid="{AFE5A1B0-6F49-4353-A84B-64DD7EFF6611}"/>
    <cellStyle name="Total 2 5 2 2 3" xfId="1211" xr:uid="{A3D49438-05D8-45F1-9586-8FA00BEBDE3B}"/>
    <cellStyle name="Total 2 5 2 2 3 2" xfId="4363" xr:uid="{B6C59102-C41E-4ACB-BB26-808522CB8DB6}"/>
    <cellStyle name="Total 2 5 2 2 4" xfId="1745" xr:uid="{86856080-44B1-4BD1-A5C1-793255C62F91}"/>
    <cellStyle name="Total 2 5 2 2 4 2" xfId="4897" xr:uid="{EE14B84C-0084-440B-8516-FCA0D6900F51}"/>
    <cellStyle name="Total 2 5 2 2 5" xfId="2220" xr:uid="{BC1DD1A8-2526-4BF5-9A65-58B8E489DF48}"/>
    <cellStyle name="Total 2 5 2 2 5 2" xfId="5372" xr:uid="{7958D457-C56F-45B1-A7C9-086F1DDF0A8C}"/>
    <cellStyle name="Total 2 5 2 2 6" xfId="2177" xr:uid="{FE58AF6A-6153-419A-927B-B780E135D7BF}"/>
    <cellStyle name="Total 2 5 2 2 6 2" xfId="5329" xr:uid="{7AA86A6A-A533-4827-B942-2964EB1C12A5}"/>
    <cellStyle name="Total 2 5 2 2 7" xfId="2975" xr:uid="{1859C52F-3E5C-4418-8C7D-983E5646F779}"/>
    <cellStyle name="Total 2 5 2 2 7 2" xfId="6127" xr:uid="{1E2709FB-F494-4B5B-B7F3-070B861D87AB}"/>
    <cellStyle name="Total 2 5 2 2 8" xfId="3627" xr:uid="{62948C9F-B112-4E31-B29A-0DE8609C6818}"/>
    <cellStyle name="Total 2 5 2 3" xfId="877" xr:uid="{3C3F2581-25D4-40B0-B547-EE2954B68034}"/>
    <cellStyle name="Total 2 5 2 3 2" xfId="1476" xr:uid="{17FC5DAB-50F0-41E6-B662-DCA9DFC9778F}"/>
    <cellStyle name="Total 2 5 2 3 2 2" xfId="4628" xr:uid="{E006A930-B8BF-41CE-A118-936B8456080D}"/>
    <cellStyle name="Total 2 5 2 3 3" xfId="2010" xr:uid="{80F67C7E-78C9-41ED-97D9-22913BAFE548}"/>
    <cellStyle name="Total 2 5 2 3 3 2" xfId="5162" xr:uid="{9631372C-3533-4B74-95C6-8538FA5C3E6D}"/>
    <cellStyle name="Total 2 5 2 3 4" xfId="2485" xr:uid="{88802436-C9DE-4955-81A2-5E187E131886}"/>
    <cellStyle name="Total 2 5 2 3 4 2" xfId="5637" xr:uid="{1D30762C-9EE2-4219-A91E-AA807373EDE3}"/>
    <cellStyle name="Total 2 5 2 3 5" xfId="2827" xr:uid="{6FC7BC12-2853-4276-95EF-88F15AC1687A}"/>
    <cellStyle name="Total 2 5 2 3 5 2" xfId="5979" xr:uid="{FE8EFC40-A3A8-49FF-BDF9-BAE9516612EB}"/>
    <cellStyle name="Total 2 5 2 3 6" xfId="3240" xr:uid="{0787C795-1A5F-45D2-B54F-7FC59B0E60F0}"/>
    <cellStyle name="Total 2 5 2 3 6 2" xfId="6392" xr:uid="{4677AB95-6CBD-4BB0-8629-96403CAD64F6}"/>
    <cellStyle name="Total 2 5 2 3 7" xfId="4040" xr:uid="{FBE79FF3-B859-4B6A-AC0F-E3CBDCC45A18}"/>
    <cellStyle name="Total 2 5 2 4" xfId="996" xr:uid="{5E73AB95-A86A-4EFC-834D-256B6B965919}"/>
    <cellStyle name="Total 2 5 2 4 2" xfId="1595" xr:uid="{6FA19CE7-60FC-4E6E-A589-F1B2C8802B7E}"/>
    <cellStyle name="Total 2 5 2 4 2 2" xfId="4747" xr:uid="{2B94DFAC-B163-4E7C-8A1B-23A116EFE9FF}"/>
    <cellStyle name="Total 2 5 2 4 3" xfId="2129" xr:uid="{61C22F15-C7B6-4FDC-9C20-E73E4CEFEF94}"/>
    <cellStyle name="Total 2 5 2 4 3 2" xfId="5281" xr:uid="{716D26EC-8C6C-4D42-81C7-0CC7BF247EDB}"/>
    <cellStyle name="Total 2 5 2 4 4" xfId="2778" xr:uid="{8B91ACA7-C010-46FF-8B24-870E7E1D5287}"/>
    <cellStyle name="Total 2 5 2 4 4 2" xfId="5930" xr:uid="{F9BDD4C3-7A6E-49AA-B62D-331B1C60298D}"/>
    <cellStyle name="Total 2 5 2 4 5" xfId="2946" xr:uid="{BFD15607-4FFD-4F4B-A359-41095D034354}"/>
    <cellStyle name="Total 2 5 2 4 5 2" xfId="6098" xr:uid="{0112790A-D75A-492B-B3FE-293670D11AE2}"/>
    <cellStyle name="Total 2 5 2 4 6" xfId="3359" xr:uid="{DF921F27-0144-45A4-A853-00FD048F1A1E}"/>
    <cellStyle name="Total 2 5 2 4 7" xfId="4159" xr:uid="{4184A5D4-75BC-4F5A-8314-11F88AF1C88C}"/>
    <cellStyle name="Total 2 5 2 5" xfId="582" xr:uid="{65DAB8A2-C753-4E8B-B36A-1C394249D08C}"/>
    <cellStyle name="Total 2 5 2 5 2" xfId="3746" xr:uid="{E98476A8-20B3-4D12-BE68-26E2E9505C27}"/>
    <cellStyle name="Total 2 5 2 6" xfId="1181" xr:uid="{1EF0C2CF-29B5-4646-AB45-A0CBE94A1611}"/>
    <cellStyle name="Total 2 5 2 6 2" xfId="4334" xr:uid="{E447F938-875F-418C-A53E-9C5F8805971D}"/>
    <cellStyle name="Total 2 5 2 7" xfId="1716" xr:uid="{4A5E4FDA-D458-47EA-AC44-F61DA2F2CAD8}"/>
    <cellStyle name="Total 2 5 2 7 2" xfId="4868" xr:uid="{A708E4A5-CCAB-4774-9C61-E680E78A5393}"/>
    <cellStyle name="Total 2 5 2 8" xfId="3483" xr:uid="{FB7095DE-7828-4D04-A7E4-7C3E73C4E3EE}"/>
    <cellStyle name="Total 2 5 3" xfId="393" xr:uid="{A7043762-63CD-43BE-A759-5204059C26A9}"/>
    <cellStyle name="Total 2 5 3 2" xfId="684" xr:uid="{FF6F0FD4-207B-4F6F-9004-4A18E8FB705A}"/>
    <cellStyle name="Total 2 5 3 2 2" xfId="3847" xr:uid="{F8653616-E7A4-421D-B77A-D1485D61BE65}"/>
    <cellStyle name="Total 2 5 3 3" xfId="1283" xr:uid="{AEECF357-1BA5-4879-911E-1304A7686857}"/>
    <cellStyle name="Total 2 5 3 3 2" xfId="4435" xr:uid="{63A45BCD-D7B3-4FFE-89F3-D848F96489D6}"/>
    <cellStyle name="Total 2 5 3 4" xfId="1817" xr:uid="{AC3C0B39-8A71-45BF-A260-44AA6674F7A0}"/>
    <cellStyle name="Total 2 5 3 4 2" xfId="4969" xr:uid="{051EA97A-ABDD-4C77-8AC0-DB24DEAF30E4}"/>
    <cellStyle name="Total 2 5 3 5" xfId="2292" xr:uid="{41EA3802-AE7B-457A-94F4-46C85CD6473A}"/>
    <cellStyle name="Total 2 5 3 5 2" xfId="5444" xr:uid="{B5DC9E45-6305-4694-83C6-E061ADD2DD28}"/>
    <cellStyle name="Total 2 5 3 6" xfId="2535" xr:uid="{01E0AEBD-990D-4ACE-9834-84CE2BF6A822}"/>
    <cellStyle name="Total 2 5 3 6 2" xfId="5687" xr:uid="{0C63B1CC-0D43-40ED-A5BD-D2CF2386E2D5}"/>
    <cellStyle name="Total 2 5 3 7" xfId="3047" xr:uid="{0F2B4566-44CE-4EC6-A1A5-D86D615EAFFC}"/>
    <cellStyle name="Total 2 5 3 7 2" xfId="6199" xr:uid="{1F1F79DF-DFE5-44CE-8686-A880415D89B4}"/>
    <cellStyle name="Total 2 5 3 8" xfId="3573" xr:uid="{5FECC2DC-B1AE-42D7-8F52-A53270F771CE}"/>
    <cellStyle name="Total 2 5 4" xfId="823" xr:uid="{97D7624D-97A2-4F27-938E-A48714B42DB3}"/>
    <cellStyle name="Total 2 5 4 2" xfId="1422" xr:uid="{BE029A46-2F82-42FF-9C8F-1CA1D3ABE55A}"/>
    <cellStyle name="Total 2 5 4 2 2" xfId="4574" xr:uid="{E1A68C40-3B61-4261-B002-210DAA588CC2}"/>
    <cellStyle name="Total 2 5 4 3" xfId="1956" xr:uid="{CC631437-9D3A-4172-9F05-CA58B726606A}"/>
    <cellStyle name="Total 2 5 4 3 2" xfId="5108" xr:uid="{95BB8B5F-430E-4CEC-B0C1-34087ACD762B}"/>
    <cellStyle name="Total 2 5 4 4" xfId="2431" xr:uid="{E4DF359E-D0C9-493D-B498-86727F95EFC1}"/>
    <cellStyle name="Total 2 5 4 4 2" xfId="5583" xr:uid="{E6141C07-7050-463D-BBA3-6EB986589A18}"/>
    <cellStyle name="Total 2 5 4 5" xfId="2576" xr:uid="{9B69AF88-0191-485E-8BE2-FECCF7C292A6}"/>
    <cellStyle name="Total 2 5 4 5 2" xfId="5728" xr:uid="{F6E5316F-E355-47E4-B6AD-EF13EBB7B0C5}"/>
    <cellStyle name="Total 2 5 4 6" xfId="3186" xr:uid="{5641B76E-F1B9-467F-AC55-7D380255FC94}"/>
    <cellStyle name="Total 2 5 4 6 2" xfId="6338" xr:uid="{A9AEA293-8E8D-4926-9AA4-3136856236F1}"/>
    <cellStyle name="Total 2 5 4 7" xfId="3986" xr:uid="{D57CE954-1C4C-4E9A-B234-E8036BDFBFD9}"/>
    <cellStyle name="Total 2 5 5" xfId="942" xr:uid="{EE5E41A3-FA4E-4108-B67A-450BB492C122}"/>
    <cellStyle name="Total 2 5 5 2" xfId="1541" xr:uid="{B1D8FCDE-22F4-488C-884D-C44C384120C8}"/>
    <cellStyle name="Total 2 5 5 2 2" xfId="4693" xr:uid="{7B334B20-6CEF-41F2-A0EA-0926A3F3375E}"/>
    <cellStyle name="Total 2 5 5 3" xfId="2075" xr:uid="{4B3CC4A1-6474-4701-88D6-FBB116FE0788}"/>
    <cellStyle name="Total 2 5 5 3 2" xfId="5227" xr:uid="{CFBAEB29-6334-4DB5-B3E8-1D473E19651C}"/>
    <cellStyle name="Total 2 5 5 4" xfId="2724" xr:uid="{5E539794-58E7-4CC8-9112-4DE2F1EC5577}"/>
    <cellStyle name="Total 2 5 5 4 2" xfId="5876" xr:uid="{F4A53A85-66EA-4CAA-BE0D-DF170565521B}"/>
    <cellStyle name="Total 2 5 5 5" xfId="2892" xr:uid="{F0501FD5-AB9E-49AA-9AB6-D9C9FCB3A926}"/>
    <cellStyle name="Total 2 5 5 5 2" xfId="6044" xr:uid="{017F526F-803B-41ED-8E40-274D09A99F4F}"/>
    <cellStyle name="Total 2 5 5 6" xfId="3305" xr:uid="{E79EECDF-1790-41E7-AD0D-3B79E4C16594}"/>
    <cellStyle name="Total 2 5 5 7" xfId="4105" xr:uid="{340A54BE-A171-4E79-9701-4B3FF7E6096A}"/>
    <cellStyle name="Total 2 5 6" xfId="523" xr:uid="{18722055-00A7-496A-91EA-A56BC11C34A1}"/>
    <cellStyle name="Total 2 5 6 2" xfId="3692" xr:uid="{ABB77FD4-022F-44AC-8777-95E59DDBC004}"/>
    <cellStyle name="Total 2 5 7" xfId="1121" xr:uid="{4A2FF796-791D-443B-B367-A74E240F778A}"/>
    <cellStyle name="Total 2 5 7 2" xfId="4279" xr:uid="{7E4A3AE0-CED9-4D2E-B2E1-8FF2038BBBC0}"/>
    <cellStyle name="Total 2 5 8" xfId="1658" xr:uid="{3D0DE0B6-34BD-4AC1-8877-0579DF9E0DDB}"/>
    <cellStyle name="Total 2 5 8 2" xfId="4810" xr:uid="{96CFD6EB-9814-4161-B460-ED2777F759F5}"/>
    <cellStyle name="Total 2 5 9" xfId="3416" xr:uid="{3AB74907-C67B-400A-A0A8-D3819502145A}"/>
    <cellStyle name="Total 2 6" xfId="91" xr:uid="{41D03F16-FFBE-4C06-AABE-34E1BE33709C}"/>
    <cellStyle name="Total 2 6 2" xfId="171" xr:uid="{F2F1554D-5E43-46D8-B54C-7F4C53A103B2}"/>
    <cellStyle name="Total 2 6 2 2" xfId="457" xr:uid="{3DD76282-DFAC-4A33-8D35-43288350BF18}"/>
    <cellStyle name="Total 2 6 2 2 2" xfId="651" xr:uid="{A924E939-342C-415A-AA37-2E8927F67952}"/>
    <cellStyle name="Total 2 6 2 2 2 2" xfId="3814" xr:uid="{7B0F9F67-26E8-4421-9057-9F07EB71B49E}"/>
    <cellStyle name="Total 2 6 2 2 3" xfId="1250" xr:uid="{E32D7564-6167-4EE6-8E01-A9EBE42206E3}"/>
    <cellStyle name="Total 2 6 2 2 3 2" xfId="4402" xr:uid="{C748FD91-EEE0-4EFA-8514-083F78CEB478}"/>
    <cellStyle name="Total 2 6 2 2 4" xfId="1784" xr:uid="{76FC0D3D-CCC6-49E6-A5E0-2088140AA645}"/>
    <cellStyle name="Total 2 6 2 2 4 2" xfId="4936" xr:uid="{187FBF9B-866B-4122-B34E-1107EFD05620}"/>
    <cellStyle name="Total 2 6 2 2 5" xfId="2259" xr:uid="{BA05B5CC-BDB7-4A2F-BA97-59845B7AA3F8}"/>
    <cellStyle name="Total 2 6 2 2 5 2" xfId="5411" xr:uid="{37887DA8-90AA-4589-882C-9C2E6E682F96}"/>
    <cellStyle name="Total 2 6 2 2 6" xfId="2628" xr:uid="{0E16AFB9-9082-49B6-A937-0A76B3EBE8BD}"/>
    <cellStyle name="Total 2 6 2 2 6 2" xfId="5780" xr:uid="{B704684F-1844-4957-AA60-9966B9C70119}"/>
    <cellStyle name="Total 2 6 2 2 7" xfId="3014" xr:uid="{C2192E1D-7AF1-47A5-828D-F6DD89ACA450}"/>
    <cellStyle name="Total 2 6 2 2 7 2" xfId="6166" xr:uid="{2C4E5CCE-244C-41B8-BE1F-0DE67B2D7EF8}"/>
    <cellStyle name="Total 2 6 2 2 8" xfId="3632" xr:uid="{8A5801EE-60FB-49E5-83F6-3A99584C2399}"/>
    <cellStyle name="Total 2 6 2 3" xfId="882" xr:uid="{6C59E01D-3495-4104-BE15-25AF7AF56264}"/>
    <cellStyle name="Total 2 6 2 3 2" xfId="1481" xr:uid="{132E9AFF-DC30-402F-B0F0-563EDFF97CE2}"/>
    <cellStyle name="Total 2 6 2 3 2 2" xfId="4633" xr:uid="{26A20C41-842A-4D33-B989-9C1B91C3BAF6}"/>
    <cellStyle name="Total 2 6 2 3 3" xfId="2015" xr:uid="{3EB27F4A-824C-494A-9C70-61CF43CEAA42}"/>
    <cellStyle name="Total 2 6 2 3 3 2" xfId="5167" xr:uid="{9179A49F-80EB-4049-A88E-CA8A2B2602E7}"/>
    <cellStyle name="Total 2 6 2 3 4" xfId="2490" xr:uid="{BBF3EE60-C9D1-4743-981C-2F158600614E}"/>
    <cellStyle name="Total 2 6 2 3 4 2" xfId="5642" xr:uid="{55385C19-0AAD-40C1-8009-985CF7C3BE50}"/>
    <cellStyle name="Total 2 6 2 3 5" xfId="2832" xr:uid="{77E145C4-BED5-4B16-80B1-F1DE3AAEA1F9}"/>
    <cellStyle name="Total 2 6 2 3 5 2" xfId="5984" xr:uid="{E80947CD-A5CE-445F-BBDD-A26F93ACA3BF}"/>
    <cellStyle name="Total 2 6 2 3 6" xfId="3245" xr:uid="{75660953-2257-4A08-AB1F-B64AADC81995}"/>
    <cellStyle name="Total 2 6 2 3 6 2" xfId="6397" xr:uid="{716B24BC-DED3-48F4-9E8A-76E339BC80A8}"/>
    <cellStyle name="Total 2 6 2 3 7" xfId="4045" xr:uid="{533D8024-9B80-4FC9-805F-78AD9B09F480}"/>
    <cellStyle name="Total 2 6 2 4" xfId="1001" xr:uid="{C79CE586-C6D3-47E6-8867-3EA66A2F0E4F}"/>
    <cellStyle name="Total 2 6 2 4 2" xfId="1600" xr:uid="{B3E3F0B8-3457-400E-BE29-5E57D63076C1}"/>
    <cellStyle name="Total 2 6 2 4 2 2" xfId="4752" xr:uid="{8B6EB6A6-9FB3-4447-8792-732D276CF138}"/>
    <cellStyle name="Total 2 6 2 4 3" xfId="2134" xr:uid="{C6E4C6D4-2518-4326-88F7-351D99DAD4CB}"/>
    <cellStyle name="Total 2 6 2 4 3 2" xfId="5286" xr:uid="{6510D8E0-37EE-444E-BEA6-B31D44FCD41E}"/>
    <cellStyle name="Total 2 6 2 4 4" xfId="2783" xr:uid="{8DD4D256-7C84-4E99-8C16-ED0DE8A39D85}"/>
    <cellStyle name="Total 2 6 2 4 4 2" xfId="5935" xr:uid="{F8DE1E0A-8290-4532-BD0A-084C2E8EC14D}"/>
    <cellStyle name="Total 2 6 2 4 5" xfId="2951" xr:uid="{83FC53FF-297B-4B02-84C6-0DB60458985E}"/>
    <cellStyle name="Total 2 6 2 4 5 2" xfId="6103" xr:uid="{8D78D0A9-34E4-4F67-9D11-71CCB157BF7E}"/>
    <cellStyle name="Total 2 6 2 4 6" xfId="3364" xr:uid="{5E333A8E-151B-4B66-896A-0CD73C9963DD}"/>
    <cellStyle name="Total 2 6 2 4 7" xfId="4164" xr:uid="{558C1DED-1F41-4E8C-B6B9-4BFB36F49BD6}"/>
    <cellStyle name="Total 2 6 2 5" xfId="587" xr:uid="{A9999FF4-BFC3-4960-88C1-FC97AEC7CF44}"/>
    <cellStyle name="Total 2 6 2 5 2" xfId="3751" xr:uid="{3083DC70-F42C-416B-86AF-013B15E85A0B}"/>
    <cellStyle name="Total 2 6 2 6" xfId="1186" xr:uid="{7B13ACB4-3133-460D-9429-F18D39B784EA}"/>
    <cellStyle name="Total 2 6 2 6 2" xfId="4339" xr:uid="{C25490B0-177D-4C11-8CD5-7BB6BAE5AF75}"/>
    <cellStyle name="Total 2 6 2 7" xfId="1721" xr:uid="{C5CEB3DD-A5D0-452A-9440-54E95FB1A26E}"/>
    <cellStyle name="Total 2 6 2 7 2" xfId="4873" xr:uid="{2298B88B-3972-4100-B866-09CA4B39BA76}"/>
    <cellStyle name="Total 2 6 2 8" xfId="3488" xr:uid="{4EBCDB6F-EB2B-457B-A471-803F64A98951}"/>
    <cellStyle name="Total 2 6 3" xfId="398" xr:uid="{ABC5F5C3-5874-47C3-BE16-084F477EFE57}"/>
    <cellStyle name="Total 2 6 3 2" xfId="714" xr:uid="{E3B8DF4E-929C-4A62-AF83-BA59F179B77A}"/>
    <cellStyle name="Total 2 6 3 2 2" xfId="3877" xr:uid="{C3424BA6-1CC4-47A0-91CF-DFBD273B2CC1}"/>
    <cellStyle name="Total 2 6 3 3" xfId="1313" xr:uid="{038890C7-6B80-4E11-9DE5-B37AE1C31586}"/>
    <cellStyle name="Total 2 6 3 3 2" xfId="4465" xr:uid="{3FCED1E8-AB9B-4CB4-A070-99E888E11A80}"/>
    <cellStyle name="Total 2 6 3 4" xfId="1847" xr:uid="{2A77AB92-2924-44F0-9372-78058B9E5332}"/>
    <cellStyle name="Total 2 6 3 4 2" xfId="4999" xr:uid="{893FC5F9-9F50-4B11-A397-D972EB0C6686}"/>
    <cellStyle name="Total 2 6 3 5" xfId="2322" xr:uid="{66A88557-738F-43E3-981D-6CD01C58EC29}"/>
    <cellStyle name="Total 2 6 3 5 2" xfId="5474" xr:uid="{B3F8F17C-901D-4D59-889E-85155E17BA66}"/>
    <cellStyle name="Total 2 6 3 6" xfId="2595" xr:uid="{E9697220-4042-48CB-AE91-089AFA6BBB1B}"/>
    <cellStyle name="Total 2 6 3 6 2" xfId="5747" xr:uid="{4BBE62A6-2947-4F71-B3E1-04A8235FBC7E}"/>
    <cellStyle name="Total 2 6 3 7" xfId="3077" xr:uid="{BECB8F01-85F4-4A05-A483-3888B6DD4289}"/>
    <cellStyle name="Total 2 6 3 7 2" xfId="6229" xr:uid="{9BDB185D-71F6-4AAC-A52F-C0387F754114}"/>
    <cellStyle name="Total 2 6 3 8" xfId="3578" xr:uid="{2B3FB672-8613-4251-B54F-9B167688D467}"/>
    <cellStyle name="Total 2 6 4" xfId="828" xr:uid="{DEB118E9-7ACF-401F-B19D-E9AEA4625A88}"/>
    <cellStyle name="Total 2 6 4 2" xfId="1427" xr:uid="{7A49F49B-4E38-49EE-A322-80702ADEE933}"/>
    <cellStyle name="Total 2 6 4 2 2" xfId="4579" xr:uid="{6A6B7FA3-51C2-47F4-B548-68E093AE9BB8}"/>
    <cellStyle name="Total 2 6 4 3" xfId="1961" xr:uid="{7D81E229-36D1-4F5A-B0FA-7AE30FA6A4AD}"/>
    <cellStyle name="Total 2 6 4 3 2" xfId="5113" xr:uid="{D00B29A3-4906-4F26-A7A7-C19D9E7A2E04}"/>
    <cellStyle name="Total 2 6 4 4" xfId="2436" xr:uid="{8C7807F7-36FD-4180-A295-448F213123EE}"/>
    <cellStyle name="Total 2 6 4 4 2" xfId="5588" xr:uid="{B87F4199-49B1-4616-AE95-46EFA93AE8B1}"/>
    <cellStyle name="Total 2 6 4 5" xfId="2528" xr:uid="{C9EC545F-6F35-4EA3-BE60-FF0D477AFBF4}"/>
    <cellStyle name="Total 2 6 4 5 2" xfId="5680" xr:uid="{EEE04FB9-ECCC-435C-A6AB-EB10D33F8D24}"/>
    <cellStyle name="Total 2 6 4 6" xfId="3191" xr:uid="{57152737-9FFE-4961-8780-D2D6390825D0}"/>
    <cellStyle name="Total 2 6 4 6 2" xfId="6343" xr:uid="{B1286105-73A0-48CC-A1E5-286DBF966181}"/>
    <cellStyle name="Total 2 6 4 7" xfId="3991" xr:uid="{32228CE3-7BCC-4021-94DF-264465160D9F}"/>
    <cellStyle name="Total 2 6 5" xfId="947" xr:uid="{2FAB2D2A-8332-4A72-9D6F-3B35BC2AA819}"/>
    <cellStyle name="Total 2 6 5 2" xfId="1546" xr:uid="{77B394F6-2E28-44D8-AF23-B874E260D81D}"/>
    <cellStyle name="Total 2 6 5 2 2" xfId="4698" xr:uid="{F1947F4E-5F10-490F-A583-C15409065D88}"/>
    <cellStyle name="Total 2 6 5 3" xfId="2080" xr:uid="{7405BB91-5FFF-4263-918D-E2B2A970ED09}"/>
    <cellStyle name="Total 2 6 5 3 2" xfId="5232" xr:uid="{F8453BDB-FEE3-485E-B4A1-32AAFC2C7D1F}"/>
    <cellStyle name="Total 2 6 5 4" xfId="2729" xr:uid="{D292A075-AC6D-42D1-9049-38113D26F072}"/>
    <cellStyle name="Total 2 6 5 4 2" xfId="5881" xr:uid="{B2C31AD4-AA9A-4DAE-8629-4AD3092E595B}"/>
    <cellStyle name="Total 2 6 5 5" xfId="2897" xr:uid="{5AFE8846-64FC-48FB-9AE9-188898304F1B}"/>
    <cellStyle name="Total 2 6 5 5 2" xfId="6049" xr:uid="{C6CAB27A-E26E-4BEC-A818-96E87A81ECAC}"/>
    <cellStyle name="Total 2 6 5 6" xfId="3310" xr:uid="{A8941FB6-655A-40DC-B7C4-E067D7346905}"/>
    <cellStyle name="Total 2 6 5 7" xfId="4110" xr:uid="{D92CE130-8ED7-4537-884E-FFD333A98AD1}"/>
    <cellStyle name="Total 2 6 6" xfId="528" xr:uid="{F840B485-2571-4CCD-90FF-6929A73E9D6C}"/>
    <cellStyle name="Total 2 6 6 2" xfId="3697" xr:uid="{91ABD189-69F8-49C2-B79E-C5C77D5389A8}"/>
    <cellStyle name="Total 2 6 7" xfId="1126" xr:uid="{1AD6A91E-12F9-4662-9FAE-B161BEF262BB}"/>
    <cellStyle name="Total 2 6 7 2" xfId="4284" xr:uid="{1352CF88-7532-499B-955D-33AFED0B69BB}"/>
    <cellStyle name="Total 2 6 8" xfId="1663" xr:uid="{CFFB6596-F021-4153-BFB6-2E2136E6C12B}"/>
    <cellStyle name="Total 2 6 8 2" xfId="4815" xr:uid="{9667C33B-513C-4F39-B1B8-9501DD82C0E8}"/>
    <cellStyle name="Total 2 6 9" xfId="3421" xr:uid="{FE3DB341-FE3F-4E1B-B07E-F4A4A0B5B85D}"/>
    <cellStyle name="Total 2 7" xfId="66" xr:uid="{9A48B651-74B3-4DA6-93C5-AC6817319561}"/>
    <cellStyle name="Total 2 7 2" xfId="151" xr:uid="{8E61599E-267F-4926-B228-BA1630838239}"/>
    <cellStyle name="Total 2 7 2 2" xfId="435" xr:uid="{86982E33-8F7D-4614-A5BE-D82CB5170B62}"/>
    <cellStyle name="Total 2 7 2 2 2" xfId="662" xr:uid="{3B848613-532F-4BB4-9ABB-4C6D90A2916A}"/>
    <cellStyle name="Total 2 7 2 2 2 2" xfId="3825" xr:uid="{FA4C32E2-D90A-412A-B39A-7D5DBBBDD704}"/>
    <cellStyle name="Total 2 7 2 2 3" xfId="1261" xr:uid="{CAD29F3F-B2DF-4328-8DE2-EEED5896B4BB}"/>
    <cellStyle name="Total 2 7 2 2 3 2" xfId="4413" xr:uid="{38B91BFC-1C60-4185-8024-CEF6BF12090E}"/>
    <cellStyle name="Total 2 7 2 2 4" xfId="1795" xr:uid="{BBEE3C30-2556-4E7A-B5B2-2F1FBCFEB8D2}"/>
    <cellStyle name="Total 2 7 2 2 4 2" xfId="4947" xr:uid="{581D287D-200C-4D2F-A9C2-24B5B1E0F122}"/>
    <cellStyle name="Total 2 7 2 2 5" xfId="2270" xr:uid="{86A374FA-D21A-40B6-B112-2256C61FD53D}"/>
    <cellStyle name="Total 2 7 2 2 5 2" xfId="5422" xr:uid="{E56C0FDE-2C35-4CA7-A608-BACFF73A178F}"/>
    <cellStyle name="Total 2 7 2 2 6" xfId="2173" xr:uid="{A3D07C41-BEA0-4815-8EE0-7E143A20B81C}"/>
    <cellStyle name="Total 2 7 2 2 6 2" xfId="5325" xr:uid="{ED8E2AB9-7B2F-4D5C-82D4-8CBB6B370E75}"/>
    <cellStyle name="Total 2 7 2 2 7" xfId="3025" xr:uid="{2EA04F47-A7F0-4642-AC4A-BD7221A323EA}"/>
    <cellStyle name="Total 2 7 2 2 7 2" xfId="6177" xr:uid="{6C88D5B3-705B-4A11-8D51-37BE2634B323}"/>
    <cellStyle name="Total 2 7 2 2 8" xfId="3610" xr:uid="{8559F305-1296-4CA4-8A67-B8E1532327A2}"/>
    <cellStyle name="Total 2 7 2 3" xfId="860" xr:uid="{42D0581E-04D7-467D-889D-18F8D45CB0F4}"/>
    <cellStyle name="Total 2 7 2 3 2" xfId="1459" xr:uid="{CDAD497D-0DB4-4240-B1F1-3156900255B9}"/>
    <cellStyle name="Total 2 7 2 3 2 2" xfId="4611" xr:uid="{B73B9696-FA92-4FC6-BEFF-F471F8C4B72F}"/>
    <cellStyle name="Total 2 7 2 3 3" xfId="1993" xr:uid="{F0618E9B-5A29-4657-A47D-7B3B6464E450}"/>
    <cellStyle name="Total 2 7 2 3 3 2" xfId="5145" xr:uid="{5B37A52F-C575-47A9-AE22-4274339EA359}"/>
    <cellStyle name="Total 2 7 2 3 4" xfId="2468" xr:uid="{566C846F-1E97-4022-9948-E7607E22B704}"/>
    <cellStyle name="Total 2 7 2 3 4 2" xfId="5620" xr:uid="{F5DFA892-45D8-4FB7-9437-7B55D36018B6}"/>
    <cellStyle name="Total 2 7 2 3 5" xfId="2810" xr:uid="{E64D58AF-D443-4CD9-AD88-A60021CDF373}"/>
    <cellStyle name="Total 2 7 2 3 5 2" xfId="5962" xr:uid="{AA8E44D7-48AF-4E47-8EE2-1CA36998DC70}"/>
    <cellStyle name="Total 2 7 2 3 6" xfId="3223" xr:uid="{2FAA1E87-DDEF-4B9E-B324-55A65BC69691}"/>
    <cellStyle name="Total 2 7 2 3 6 2" xfId="6375" xr:uid="{90602BB8-9AE2-48C9-9A46-267C2363ADD1}"/>
    <cellStyle name="Total 2 7 2 3 7" xfId="4023" xr:uid="{EB224CF6-3C2D-42F8-8AFA-25E292608C8B}"/>
    <cellStyle name="Total 2 7 2 4" xfId="979" xr:uid="{5465C649-6140-4150-BB4D-58A20F390904}"/>
    <cellStyle name="Total 2 7 2 4 2" xfId="1578" xr:uid="{F38C7432-5511-40A3-B0A0-87A897180B6B}"/>
    <cellStyle name="Total 2 7 2 4 2 2" xfId="4730" xr:uid="{838F2C46-AD54-4D29-8CDD-529D27A2939A}"/>
    <cellStyle name="Total 2 7 2 4 3" xfId="2112" xr:uid="{7DB3B515-F613-485F-833F-ACF4815E3246}"/>
    <cellStyle name="Total 2 7 2 4 3 2" xfId="5264" xr:uid="{8E04368D-404B-437E-B229-B5F07DD60C83}"/>
    <cellStyle name="Total 2 7 2 4 4" xfId="2761" xr:uid="{6302DB88-9FBA-4997-8F83-BF473744445C}"/>
    <cellStyle name="Total 2 7 2 4 4 2" xfId="5913" xr:uid="{D2379DF8-3D88-4CA4-8D74-1F36779EFB77}"/>
    <cellStyle name="Total 2 7 2 4 5" xfId="2929" xr:uid="{A5567364-133C-429D-94E0-25A262F39ED2}"/>
    <cellStyle name="Total 2 7 2 4 5 2" xfId="6081" xr:uid="{0DAB6E3F-A6D3-466B-B3B5-11C3F8BD8C2E}"/>
    <cellStyle name="Total 2 7 2 4 6" xfId="3342" xr:uid="{46A0C1BC-14B4-4CAF-9B7F-8168CDDBA94F}"/>
    <cellStyle name="Total 2 7 2 4 7" xfId="4142" xr:uid="{32F62BAB-5EB7-42D9-A422-C1E007676980}"/>
    <cellStyle name="Total 2 7 2 5" xfId="565" xr:uid="{C905C45C-5A1B-4CB2-8D32-6AB67D886E7E}"/>
    <cellStyle name="Total 2 7 2 5 2" xfId="3729" xr:uid="{4373B0D7-AE4F-4193-9F33-7DDC3A6E6D0A}"/>
    <cellStyle name="Total 2 7 2 6" xfId="1164" xr:uid="{77A4FDC6-C673-4656-9D83-E52A64C54B55}"/>
    <cellStyle name="Total 2 7 2 6 2" xfId="4317" xr:uid="{EE1B897B-1E71-45F0-9FCE-7EBCA4B771ED}"/>
    <cellStyle name="Total 2 7 2 7" xfId="1699" xr:uid="{0A4E8719-CC32-4612-BBF1-92B6DC82A414}"/>
    <cellStyle name="Total 2 7 2 7 2" xfId="4851" xr:uid="{EDFC35AD-C8E5-4604-8CDB-335D29A63E9E}"/>
    <cellStyle name="Total 2 7 2 8" xfId="3469" xr:uid="{F5339B4F-2887-450C-8F8C-A9E36DD4ADF5}"/>
    <cellStyle name="Total 2 7 3" xfId="374" xr:uid="{67F2C2A5-827A-4F23-9009-44AEC9F6C002}"/>
    <cellStyle name="Total 2 7 3 2" xfId="707" xr:uid="{DC7B2920-AC36-4760-A013-EB13F7098009}"/>
    <cellStyle name="Total 2 7 3 2 2" xfId="3870" xr:uid="{E560527C-ABB5-4DB6-82E0-05FEAD47D5E2}"/>
    <cellStyle name="Total 2 7 3 3" xfId="1306" xr:uid="{E1041252-87EE-4EA5-8CFB-29FA8A7F7887}"/>
    <cellStyle name="Total 2 7 3 3 2" xfId="4458" xr:uid="{34B8821C-0648-440B-8CC2-AA30FE42B1A8}"/>
    <cellStyle name="Total 2 7 3 4" xfId="1840" xr:uid="{24CA69A3-5A54-445A-892B-983EC6B9DA92}"/>
    <cellStyle name="Total 2 7 3 4 2" xfId="4992" xr:uid="{9F21000B-8762-4351-949E-3B34CEAA8CB7}"/>
    <cellStyle name="Total 2 7 3 5" xfId="2315" xr:uid="{CD16D1D3-3CA3-4620-80AF-A626B48203CA}"/>
    <cellStyle name="Total 2 7 3 5 2" xfId="5467" xr:uid="{80B3546F-1E19-4F06-A7D2-290A8D8BB05C}"/>
    <cellStyle name="Total 2 7 3 6" xfId="2529" xr:uid="{07BB1D78-EC62-4C08-AC54-8271C59E446E}"/>
    <cellStyle name="Total 2 7 3 6 2" xfId="5681" xr:uid="{CED0DF64-DD48-43F6-8330-D3B23FE01FCB}"/>
    <cellStyle name="Total 2 7 3 7" xfId="3070" xr:uid="{12244C09-542E-4906-8EFE-87B101584B23}"/>
    <cellStyle name="Total 2 7 3 7 2" xfId="6222" xr:uid="{FE92A9D9-A101-493F-A75F-60A17368B6BD}"/>
    <cellStyle name="Total 2 7 3 8" xfId="3556" xr:uid="{5F5A8C67-1DD7-412A-8A55-903E69C423D2}"/>
    <cellStyle name="Total 2 7 4" xfId="806" xr:uid="{B1E21519-DAF5-4C17-9970-DA4D6E615505}"/>
    <cellStyle name="Total 2 7 4 2" xfId="1405" xr:uid="{6850F27B-2AD9-492D-B862-D86F7BBA44AD}"/>
    <cellStyle name="Total 2 7 4 2 2" xfId="4557" xr:uid="{8D33E4A2-3BBB-4698-8AC0-974E74A3DBC5}"/>
    <cellStyle name="Total 2 7 4 3" xfId="1939" xr:uid="{0E3FF4CF-F8EA-499D-93B6-FFBAAF4D2C1A}"/>
    <cellStyle name="Total 2 7 4 3 2" xfId="5091" xr:uid="{AB73C6A5-4252-467C-9596-C170FA0DF7D1}"/>
    <cellStyle name="Total 2 7 4 4" xfId="2414" xr:uid="{4E21FA7E-6F3A-47E9-AB06-6A00BC6D88F3}"/>
    <cellStyle name="Total 2 7 4 4 2" xfId="5566" xr:uid="{62C5C7F1-6999-44A6-B9AD-1E8CE10BDC37}"/>
    <cellStyle name="Total 2 7 4 5" xfId="2521" xr:uid="{9B57BEF6-D895-4477-9B8F-329EA101306C}"/>
    <cellStyle name="Total 2 7 4 5 2" xfId="5673" xr:uid="{8C88601E-97CD-49BE-AED7-0AC124060E34}"/>
    <cellStyle name="Total 2 7 4 6" xfId="3169" xr:uid="{8212F605-A385-4FA4-8F0B-5137E826C906}"/>
    <cellStyle name="Total 2 7 4 6 2" xfId="6321" xr:uid="{29FE75D0-8731-4F0C-BEF7-10DB89254BEA}"/>
    <cellStyle name="Total 2 7 4 7" xfId="3969" xr:uid="{46AF0184-2E6C-4956-8C5B-F0906769206A}"/>
    <cellStyle name="Total 2 7 5" xfId="925" xr:uid="{4769F178-2173-49A8-A4E9-E56B0F03C24C}"/>
    <cellStyle name="Total 2 7 5 2" xfId="1524" xr:uid="{91AAEC7E-75BC-4C66-A17B-ED1D4ED378BE}"/>
    <cellStyle name="Total 2 7 5 2 2" xfId="4676" xr:uid="{F846BC5B-2400-456D-8C2F-0EB79812D7BA}"/>
    <cellStyle name="Total 2 7 5 3" xfId="2058" xr:uid="{FE478EA7-2EBF-4840-BB8A-C98214689CDE}"/>
    <cellStyle name="Total 2 7 5 3 2" xfId="5210" xr:uid="{32233BD7-8B10-4CBE-A214-B072DABC389E}"/>
    <cellStyle name="Total 2 7 5 4" xfId="2707" xr:uid="{204C6253-860A-4F13-8D4D-8DDB7CD31A46}"/>
    <cellStyle name="Total 2 7 5 4 2" xfId="5859" xr:uid="{16BC8A9A-EDB0-47AC-A4AA-BD0F189EE5DD}"/>
    <cellStyle name="Total 2 7 5 5" xfId="2875" xr:uid="{BA7D41C6-0646-43FB-A41D-09F4E25FE952}"/>
    <cellStyle name="Total 2 7 5 5 2" xfId="6027" xr:uid="{A86A3BA9-C2DE-4F31-AEB5-89E911B39655}"/>
    <cellStyle name="Total 2 7 5 6" xfId="3288" xr:uid="{66157436-F9CC-45B0-917E-CFAEB4780AD3}"/>
    <cellStyle name="Total 2 7 5 7" xfId="4088" xr:uid="{F3528145-D4BB-4F8F-8F70-DCB01DC40F47}"/>
    <cellStyle name="Total 2 7 6" xfId="505" xr:uid="{8231839B-EA78-4FBD-9ACC-8A14007218E2}"/>
    <cellStyle name="Total 2 7 6 2" xfId="3675" xr:uid="{8F9AF9A2-5FDB-44FA-963F-B3331D43E428}"/>
    <cellStyle name="Total 2 7 7" xfId="1103" xr:uid="{0A556017-C77A-4CCB-9685-692D0979318C}"/>
    <cellStyle name="Total 2 7 7 2" xfId="4262" xr:uid="{0F5D82C5-E7E7-4B8F-A8FF-354BB01E4690}"/>
    <cellStyle name="Total 2 7 8" xfId="1640" xr:uid="{47258031-8BD9-4F79-9008-299244798072}"/>
    <cellStyle name="Total 2 7 8 2" xfId="4792" xr:uid="{ED40F10B-5375-4F39-8828-3105A69BA926}"/>
    <cellStyle name="Total 2 7 9" xfId="3399" xr:uid="{CE66B4EB-5E9D-4B36-957C-923093D2E8E4}"/>
    <cellStyle name="Total 2 8" xfId="118" xr:uid="{B41F2F32-6C5D-406D-9E4F-F6568A37CC99}"/>
    <cellStyle name="Total 2 8 2" xfId="357" xr:uid="{19FD67D0-4917-45A5-98C3-099BD6C92835}"/>
    <cellStyle name="Total 2 8 2 2" xfId="641" xr:uid="{8FA92BB9-5D1F-4556-9D4B-02312DDF9510}"/>
    <cellStyle name="Total 2 8 2 2 2" xfId="3804" xr:uid="{097C3567-6CCD-4DA0-9AE0-8EC6A0464419}"/>
    <cellStyle name="Total 2 8 2 3" xfId="1240" xr:uid="{D467B259-5B2F-4843-8F35-315C68A32C55}"/>
    <cellStyle name="Total 2 8 2 3 2" xfId="4392" xr:uid="{DB5DDF30-279B-4407-9D78-43374D11684E}"/>
    <cellStyle name="Total 2 8 2 4" xfId="1774" xr:uid="{AD143974-280C-41E8-A15C-D9B92B6E9A86}"/>
    <cellStyle name="Total 2 8 2 4 2" xfId="4926" xr:uid="{DEE29E72-BE03-480F-B723-B566B8A4BC37}"/>
    <cellStyle name="Total 2 8 2 5" xfId="2249" xr:uid="{8EA7D8EC-8C98-4257-85C4-1222D69E919F}"/>
    <cellStyle name="Total 2 8 2 5 2" xfId="5401" xr:uid="{D9D40FD7-816E-4269-AE7A-B61E86C6BC44}"/>
    <cellStyle name="Total 2 8 2 6" xfId="1020" xr:uid="{F6F4C16A-1454-4816-B00E-47EF60F9FF1B}"/>
    <cellStyle name="Total 2 8 2 6 2" xfId="4183" xr:uid="{E418FC9F-C957-44AD-8EE8-4151054DE77B}"/>
    <cellStyle name="Total 2 8 2 7" xfId="3004" xr:uid="{AAC98670-4BA4-460F-B932-7DC448514388}"/>
    <cellStyle name="Total 2 8 2 7 2" xfId="6156" xr:uid="{C27A6F90-AEAD-47DF-824A-8E280DDC3FA7}"/>
    <cellStyle name="Total 2 8 2 8" xfId="3543" xr:uid="{46265FDE-166F-46F2-9678-C3411EED871E}"/>
    <cellStyle name="Total 2 8 3" xfId="793" xr:uid="{C75C9926-2A77-4D1C-87C3-3E0D6E8158B8}"/>
    <cellStyle name="Total 2 8 3 2" xfId="1392" xr:uid="{EAD01AAD-A2B8-428B-A111-D646ABA35A47}"/>
    <cellStyle name="Total 2 8 3 2 2" xfId="4544" xr:uid="{6D1D89C1-C8C8-474F-A430-E5DFC5ACD30E}"/>
    <cellStyle name="Total 2 8 3 3" xfId="1926" xr:uid="{78895593-49D2-4291-B826-39BEE19A4D89}"/>
    <cellStyle name="Total 2 8 3 3 2" xfId="5078" xr:uid="{AED9F29F-5CB0-4D31-8637-BC055D9523EC}"/>
    <cellStyle name="Total 2 8 3 4" xfId="2401" xr:uid="{B8D8C381-F12E-4DCB-8670-41E209E10688}"/>
    <cellStyle name="Total 2 8 3 4 2" xfId="5553" xr:uid="{27154A0E-E0C1-4500-9DDC-22A3C617EE9F}"/>
    <cellStyle name="Total 2 8 3 5" xfId="2591" xr:uid="{8ADB0A72-6BA2-4E6B-B67D-857E2E9BBA06}"/>
    <cellStyle name="Total 2 8 3 5 2" xfId="5743" xr:uid="{8A2D89CA-6A40-426F-BA83-8F19A44BAD65}"/>
    <cellStyle name="Total 2 8 3 6" xfId="3156" xr:uid="{D2DF21A9-19BA-4C08-9EE7-4D323ACD4FEF}"/>
    <cellStyle name="Total 2 8 3 6 2" xfId="6308" xr:uid="{E71E66D4-CE4B-4351-BBBD-4048D5FF9CCF}"/>
    <cellStyle name="Total 2 8 3 7" xfId="3956" xr:uid="{39459571-1D3C-4E86-9CD9-3C6A748802DF}"/>
    <cellStyle name="Total 2 8 4" xfId="912" xr:uid="{A18339A8-7862-43B2-9D87-E85FB2AA4770}"/>
    <cellStyle name="Total 2 8 4 2" xfId="1511" xr:uid="{5CAA009F-53D0-48C9-971B-DA14746961EF}"/>
    <cellStyle name="Total 2 8 4 2 2" xfId="4663" xr:uid="{ABB8F8F5-E2CF-4FDF-B4E1-60A68180A2FA}"/>
    <cellStyle name="Total 2 8 4 3" xfId="2045" xr:uid="{3933CD96-F932-41B6-808A-C31DDFC21103}"/>
    <cellStyle name="Total 2 8 4 3 2" xfId="5197" xr:uid="{1A37EB4C-A859-4435-8296-6816A6B89787}"/>
    <cellStyle name="Total 2 8 4 4" xfId="2694" xr:uid="{3D797169-881C-4E2F-B804-9277FD038BEE}"/>
    <cellStyle name="Total 2 8 4 4 2" xfId="5846" xr:uid="{FFB94DA6-29B6-4BD9-AC4A-0EE6B0C36A15}"/>
    <cellStyle name="Total 2 8 4 5" xfId="2862" xr:uid="{64CFF54D-9946-4450-92F2-98172DA12F25}"/>
    <cellStyle name="Total 2 8 4 5 2" xfId="6014" xr:uid="{FA9CD22B-2DA0-4B71-A166-5066499C034A}"/>
    <cellStyle name="Total 2 8 4 6" xfId="3275" xr:uid="{70FD0B70-CCE4-46E8-A849-E154190D326E}"/>
    <cellStyle name="Total 2 8 4 7" xfId="4075" xr:uid="{8DA01941-BE35-479F-8F37-2FE64D86F379}"/>
    <cellStyle name="Total 2 8 5" xfId="490" xr:uid="{305DEE46-A715-4287-85A8-2BC8F2D700A5}"/>
    <cellStyle name="Total 2 8 5 2" xfId="3662" xr:uid="{A29D5BB3-076A-4BE8-9EEA-FB2673524822}"/>
    <cellStyle name="Total 2 8 6" xfId="1088" xr:uid="{7C05245E-97A8-4D81-8952-E666B37C924F}"/>
    <cellStyle name="Total 2 8 6 2" xfId="4249" xr:uid="{37D978E4-3EDE-413D-8783-515B958F8F92}"/>
    <cellStyle name="Total 2 8 7" xfId="1626" xr:uid="{3625C42A-FA06-4546-8CF3-4AE5497C3A83}"/>
    <cellStyle name="Total 2 8 7 2" xfId="4778" xr:uid="{7D310300-E006-4DFE-8D99-8C628C61926B}"/>
    <cellStyle name="Total 2 8 8" xfId="3441" xr:uid="{FD9ACD62-64B5-41A6-AA5B-BA4C454EF93E}"/>
    <cellStyle name="Total 2 9" xfId="132" xr:uid="{295360C7-0B67-4A72-ABB0-3F718282E3CC}"/>
    <cellStyle name="Total 2 9 2" xfId="422" xr:uid="{7E67B8A8-5C6E-4A33-94BE-58D84BDD83F8}"/>
    <cellStyle name="Total 2 9 2 2" xfId="627" xr:uid="{F3C61B19-D83E-43C8-AFD3-43ED6C48EBAE}"/>
    <cellStyle name="Total 2 9 2 2 2" xfId="3790" xr:uid="{42C501E4-3AF4-45AF-A329-DC7780FB504A}"/>
    <cellStyle name="Total 2 9 2 3" xfId="1226" xr:uid="{8E60E8F2-99D7-4B3D-8EF8-C80830C025D3}"/>
    <cellStyle name="Total 2 9 2 3 2" xfId="4378" xr:uid="{5EA8FD31-A709-4904-95C0-D849967EE08A}"/>
    <cellStyle name="Total 2 9 2 4" xfId="1760" xr:uid="{16301A1F-9E01-4587-A2BF-19452A28EB01}"/>
    <cellStyle name="Total 2 9 2 4 2" xfId="4912" xr:uid="{832A68CD-DB17-49B3-A0EF-465C64D56141}"/>
    <cellStyle name="Total 2 9 2 5" xfId="2235" xr:uid="{C7F93610-93BE-4BC4-B420-F6EA94D8D804}"/>
    <cellStyle name="Total 2 9 2 5 2" xfId="5387" xr:uid="{88E4361F-C31B-4B52-B249-9E9D50354A6B}"/>
    <cellStyle name="Total 2 9 2 6" xfId="2599" xr:uid="{02AF06E8-D5C6-4D95-BCE9-5EED6A3E0CA6}"/>
    <cellStyle name="Total 2 9 2 6 2" xfId="5751" xr:uid="{FDF8EF83-9534-43E3-9D60-9357ADD19A3F}"/>
    <cellStyle name="Total 2 9 2 7" xfId="2990" xr:uid="{567FF683-993D-4A72-9E35-1003EA29B738}"/>
    <cellStyle name="Total 2 9 2 7 2" xfId="6142" xr:uid="{E6AFB15E-77EE-4472-88CC-EFE163A594A8}"/>
    <cellStyle name="Total 2 9 2 8" xfId="3597" xr:uid="{E10E19FC-34CF-4CD1-87D9-9B3F9B075AB3}"/>
    <cellStyle name="Total 2 9 3" xfId="847" xr:uid="{49FF7787-115A-4977-B75E-8EED3494B335}"/>
    <cellStyle name="Total 2 9 3 2" xfId="1446" xr:uid="{F2886FA8-6C43-4EBC-8C38-CE596D6DA619}"/>
    <cellStyle name="Total 2 9 3 2 2" xfId="4598" xr:uid="{BF526867-4B4C-4718-8A38-3FD70D5E97C2}"/>
    <cellStyle name="Total 2 9 3 3" xfId="1980" xr:uid="{78494E15-A9B9-42D8-9B95-0A195393F70F}"/>
    <cellStyle name="Total 2 9 3 3 2" xfId="5132" xr:uid="{F694AC32-A61D-4FCC-8605-B9856C7BC137}"/>
    <cellStyle name="Total 2 9 3 4" xfId="2455" xr:uid="{625BAEB0-BC0C-477A-A235-D8F201F7778F}"/>
    <cellStyle name="Total 2 9 3 4 2" xfId="5607" xr:uid="{E62ED519-8AD0-410E-8BFA-6BC3D62CE192}"/>
    <cellStyle name="Total 2 9 3 5" xfId="2156" xr:uid="{DCFCB99E-B194-4865-BC9C-FA570D01D2F0}"/>
    <cellStyle name="Total 2 9 3 5 2" xfId="5308" xr:uid="{6DCDF623-D3F4-48B7-B11C-1CA703EB96B6}"/>
    <cellStyle name="Total 2 9 3 6" xfId="3210" xr:uid="{C1521EA7-4563-421B-A40A-78DD96638D81}"/>
    <cellStyle name="Total 2 9 3 6 2" xfId="6362" xr:uid="{F02AC7B2-44BA-4F27-BC72-53424FE59A59}"/>
    <cellStyle name="Total 2 9 3 7" xfId="4010" xr:uid="{59AC0640-777B-4ADA-909C-373A65D83A93}"/>
    <cellStyle name="Total 2 9 4" xfId="966" xr:uid="{CD568B15-D4CE-4884-BBF2-44A6BEFDA080}"/>
    <cellStyle name="Total 2 9 4 2" xfId="1565" xr:uid="{E932C22C-4E20-4190-B331-701C8DD77B0E}"/>
    <cellStyle name="Total 2 9 4 2 2" xfId="4717" xr:uid="{2FC010C8-CA51-40A9-80D2-4F8966730B09}"/>
    <cellStyle name="Total 2 9 4 3" xfId="2099" xr:uid="{985A6CB9-D375-40A4-A8EB-87452E38BC76}"/>
    <cellStyle name="Total 2 9 4 3 2" xfId="5251" xr:uid="{AC4A27F5-9806-4C63-90D7-FA596AEB025C}"/>
    <cellStyle name="Total 2 9 4 4" xfId="2748" xr:uid="{71901048-3C96-48A4-A7A3-10BCEB6E5FFE}"/>
    <cellStyle name="Total 2 9 4 4 2" xfId="5900" xr:uid="{876549EA-9CCB-4719-82F1-33A388B2345F}"/>
    <cellStyle name="Total 2 9 4 5" xfId="2916" xr:uid="{A357C12E-EBF4-4A75-8A4F-977BC46D86BC}"/>
    <cellStyle name="Total 2 9 4 5 2" xfId="6068" xr:uid="{F737F143-626F-45A4-A441-D5AAE46E588E}"/>
    <cellStyle name="Total 2 9 4 6" xfId="3329" xr:uid="{3AA49203-DFA3-4A81-AE06-6D34FC45A12E}"/>
    <cellStyle name="Total 2 9 4 7" xfId="4129" xr:uid="{2A2AC43F-E189-4280-BFB0-3FBD1AF64AFC}"/>
    <cellStyle name="Total 2 9 5" xfId="552" xr:uid="{76BC5BC6-0FAD-4E9A-BA83-FF73B38DDB10}"/>
    <cellStyle name="Total 2 9 5 2" xfId="3716" xr:uid="{FFF5A639-0367-4F25-B827-5CEA65855A93}"/>
    <cellStyle name="Total 2 9 6" xfId="1151" xr:uid="{5E099A27-4B61-4E70-A607-65BA4BCCDFE0}"/>
    <cellStyle name="Total 2 9 6 2" xfId="4304" xr:uid="{0BBF1550-A2EB-417D-A17F-7E0C63F21C35}"/>
    <cellStyle name="Total 2 9 7" xfId="1686" xr:uid="{56068FD7-E153-4099-BECD-E9657DC0BCE3}"/>
    <cellStyle name="Total 2 9 7 2" xfId="4838" xr:uid="{E55890F6-4CF4-4A26-ACCE-DE2C2BEBE532}"/>
    <cellStyle name="Total 2 9 8" xfId="3452" xr:uid="{BF065260-1D05-4491-9920-0CBB894ECFE3}"/>
    <cellStyle name="Warning Text 2" xfId="46" xr:uid="{14764949-A2D7-473F-9CDE-D0E461E9A4DB}"/>
    <cellStyle name="Warning Text 2 2" xfId="337" xr:uid="{3569AA13-6864-4139-8539-77A9C829E78C}"/>
    <cellStyle name="Warning Text 2 3" xfId="291" xr:uid="{3F5BFC6E-8913-4AD8-8A18-F063EB939992}"/>
  </cellStyles>
  <dxfs count="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Table Style 1" pivot="0" count="0" xr9:uid="{D091CD58-F494-4EB7-A9AB-1F390C23C3B3}"/>
  </tableStyles>
  <colors>
    <mruColors>
      <color rgb="FFFFFF99"/>
      <color rgb="FFCCFFCC"/>
      <color rgb="FFFF99FF"/>
      <color rgb="FFFFCCCC"/>
      <color rgb="FFFF6699"/>
      <color rgb="FF00FFCC"/>
      <color rgb="FFCCECFF"/>
      <color rgb="FF3399FF"/>
      <color rgb="FF3333FF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cstransportco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335E-2017-47EF-9178-555958457894}">
  <sheetPr>
    <tabColor theme="9" tint="0.59999389629810485"/>
    <pageSetUpPr fitToPage="1"/>
  </sheetPr>
  <dimension ref="A1:AJ41"/>
  <sheetViews>
    <sheetView showGridLines="0" tabSelected="1" zoomScale="70" zoomScaleNormal="70" workbookViewId="0">
      <pane ySplit="2" topLeftCell="A3" activePane="bottomLeft" state="frozen"/>
      <selection activeCell="E1" sqref="E1"/>
      <selection pane="bottomLeft" activeCell="Z17" sqref="Z17"/>
    </sheetView>
  </sheetViews>
  <sheetFormatPr defaultColWidth="8.85546875" defaultRowHeight="17.25"/>
  <cols>
    <col min="1" max="1" width="7.42578125" style="549" customWidth="1"/>
    <col min="2" max="2" width="23.42578125" style="549" customWidth="1"/>
    <col min="3" max="3" width="12.85546875" style="549" bestFit="1" customWidth="1"/>
    <col min="4" max="4" width="12.85546875" style="549" customWidth="1"/>
    <col min="5" max="5" width="14.85546875" style="549" bestFit="1" customWidth="1"/>
    <col min="6" max="6" width="21" style="549" bestFit="1" customWidth="1"/>
    <col min="7" max="7" width="35.140625" style="549" customWidth="1"/>
    <col min="8" max="8" width="35.140625" style="550" customWidth="1"/>
    <col min="9" max="9" width="35.140625" style="549" customWidth="1"/>
    <col min="10" max="10" width="14.140625" style="549" customWidth="1"/>
    <col min="11" max="13" width="12.42578125" style="549" customWidth="1"/>
    <col min="14" max="14" width="15" style="558" bestFit="1" customWidth="1"/>
    <col min="15" max="15" width="12.7109375" style="558" bestFit="1" customWidth="1"/>
    <col min="16" max="16" width="19.42578125" style="683" customWidth="1"/>
    <col min="17" max="18" width="19.85546875" style="683" customWidth="1"/>
    <col min="19" max="19" width="21.140625" style="667" bestFit="1" customWidth="1"/>
    <col min="20" max="20" width="13.42578125" style="541" customWidth="1"/>
    <col min="21" max="21" width="36" style="580" bestFit="1" customWidth="1"/>
    <col min="22" max="22" width="17" style="682" customWidth="1"/>
    <col min="23" max="23" width="19.42578125" style="683" bestFit="1" customWidth="1"/>
    <col min="24" max="24" width="19.42578125" style="658" customWidth="1"/>
    <col min="25" max="25" width="19.42578125" style="554" customWidth="1"/>
    <col min="26" max="26" width="17" style="675" customWidth="1"/>
    <col min="27" max="27" width="16.42578125" style="541" customWidth="1"/>
    <col min="28" max="28" width="21.140625" style="696" bestFit="1" customWidth="1"/>
    <col min="29" max="29" width="17" style="675" customWidth="1"/>
    <col min="30" max="30" width="21.140625" style="667" bestFit="1" customWidth="1"/>
    <col min="31" max="31" width="21.140625" style="667" customWidth="1"/>
    <col min="32" max="32" width="18.42578125" style="552" customWidth="1"/>
    <col min="33" max="33" width="11.42578125" style="549" bestFit="1" customWidth="1"/>
    <col min="34" max="34" width="24.7109375" style="553" bestFit="1" customWidth="1"/>
    <col min="35" max="35" width="16.140625" style="553" customWidth="1"/>
    <col min="36" max="36" width="25" style="541" customWidth="1"/>
    <col min="37" max="16384" width="8.85546875" style="545"/>
  </cols>
  <sheetData>
    <row r="1" spans="1:36">
      <c r="Q1" s="690">
        <f>SUBTOTAL(9, Q3:Q41)</f>
        <v>480</v>
      </c>
      <c r="R1" s="690"/>
      <c r="W1" s="683">
        <f>SUBTOTAL(9, W3:W41)</f>
        <v>365</v>
      </c>
      <c r="Y1" s="650">
        <f>SUBTOTAL(9, Y3:Y41)</f>
        <v>178</v>
      </c>
    </row>
    <row r="2" spans="1:36" s="556" customFormat="1" ht="66">
      <c r="A2" s="539" t="s">
        <v>0</v>
      </c>
      <c r="B2" s="540" t="s">
        <v>1055</v>
      </c>
      <c r="C2" s="540" t="s">
        <v>70</v>
      </c>
      <c r="D2" s="761" t="s">
        <v>1222</v>
      </c>
      <c r="E2" s="539" t="s">
        <v>1223</v>
      </c>
      <c r="F2" s="539" t="s">
        <v>9</v>
      </c>
      <c r="G2" s="539" t="s">
        <v>8</v>
      </c>
      <c r="H2" s="539" t="s">
        <v>2</v>
      </c>
      <c r="I2" s="539" t="s">
        <v>3</v>
      </c>
      <c r="J2" s="539" t="s">
        <v>250</v>
      </c>
      <c r="K2" s="539" t="s">
        <v>10</v>
      </c>
      <c r="L2" s="661" t="s">
        <v>841</v>
      </c>
      <c r="M2" s="662" t="s">
        <v>1089</v>
      </c>
      <c r="N2" s="663" t="s">
        <v>1060</v>
      </c>
      <c r="O2" s="664" t="s">
        <v>1212</v>
      </c>
      <c r="P2" s="691" t="s">
        <v>1084</v>
      </c>
      <c r="Q2" s="691" t="s">
        <v>1085</v>
      </c>
      <c r="R2" s="695" t="s">
        <v>1224</v>
      </c>
      <c r="S2" s="668" t="s">
        <v>1059</v>
      </c>
      <c r="T2" s="665" t="s">
        <v>1061</v>
      </c>
      <c r="U2" s="666" t="s">
        <v>23</v>
      </c>
      <c r="V2" s="684" t="s">
        <v>1086</v>
      </c>
      <c r="W2" s="684" t="s">
        <v>1087</v>
      </c>
      <c r="X2" s="659" t="s">
        <v>1145</v>
      </c>
      <c r="Y2" s="540" t="s">
        <v>1146</v>
      </c>
      <c r="Z2" s="676" t="s">
        <v>1207</v>
      </c>
      <c r="AA2" s="615" t="s">
        <v>32</v>
      </c>
      <c r="AB2" s="697" t="s">
        <v>1216</v>
      </c>
      <c r="AC2" s="676" t="s">
        <v>1186</v>
      </c>
      <c r="AD2" s="677" t="s">
        <v>1187</v>
      </c>
      <c r="AE2" s="677" t="s">
        <v>1214</v>
      </c>
      <c r="AF2" s="612" t="s">
        <v>1062</v>
      </c>
      <c r="AG2" s="613" t="s">
        <v>24</v>
      </c>
      <c r="AH2" s="614" t="s">
        <v>1088</v>
      </c>
      <c r="AI2" s="614" t="s">
        <v>667</v>
      </c>
      <c r="AJ2" s="615" t="s">
        <v>1033</v>
      </c>
    </row>
    <row r="3" spans="1:36" s="524" customFormat="1" ht="43.5" customHeight="1">
      <c r="A3" s="525">
        <v>1</v>
      </c>
      <c r="B3" s="525" t="s">
        <v>1147</v>
      </c>
      <c r="C3" s="525">
        <v>1</v>
      </c>
      <c r="D3" s="607"/>
      <c r="E3" s="525" t="s">
        <v>1148</v>
      </c>
      <c r="F3" s="525" t="s">
        <v>1181</v>
      </c>
      <c r="G3" s="525" t="s">
        <v>195</v>
      </c>
      <c r="H3" s="525" t="s">
        <v>1141</v>
      </c>
      <c r="I3" s="525" t="s">
        <v>1143</v>
      </c>
      <c r="J3" s="525">
        <v>500</v>
      </c>
      <c r="K3" s="527" t="s">
        <v>76</v>
      </c>
      <c r="L3" s="527"/>
      <c r="M3" s="617"/>
      <c r="N3" s="536"/>
      <c r="O3" s="629"/>
      <c r="P3" s="685">
        <v>0.1</v>
      </c>
      <c r="Q3" s="685">
        <f>P3*J3</f>
        <v>50</v>
      </c>
      <c r="R3" s="687"/>
      <c r="S3" s="669"/>
      <c r="T3" s="543" t="s">
        <v>82</v>
      </c>
      <c r="U3" s="591" t="s">
        <v>1069</v>
      </c>
      <c r="V3" s="685"/>
      <c r="W3" s="686">
        <f>V3*J3</f>
        <v>0</v>
      </c>
      <c r="X3" s="657">
        <v>0.3</v>
      </c>
      <c r="Y3" s="657">
        <f>X3*J3</f>
        <v>150</v>
      </c>
      <c r="Z3" s="678"/>
      <c r="AA3" s="530"/>
      <c r="AB3" s="669"/>
      <c r="AC3" s="678"/>
      <c r="AD3" s="669"/>
      <c r="AE3" s="670"/>
      <c r="AF3" s="542" t="s">
        <v>1149</v>
      </c>
      <c r="AG3" s="532"/>
      <c r="AH3" s="544"/>
      <c r="AI3" s="544"/>
      <c r="AJ3" s="527"/>
    </row>
    <row r="4" spans="1:36" s="524" customFormat="1" ht="43.5" customHeight="1">
      <c r="A4" s="607">
        <f>A3+1</f>
        <v>2</v>
      </c>
      <c r="B4" s="525" t="s">
        <v>1147</v>
      </c>
      <c r="C4" s="607">
        <v>2</v>
      </c>
      <c r="D4" s="607"/>
      <c r="E4" s="607" t="s">
        <v>1148</v>
      </c>
      <c r="F4" s="607" t="s">
        <v>1181</v>
      </c>
      <c r="G4" s="607" t="s">
        <v>195</v>
      </c>
      <c r="H4" s="607" t="s">
        <v>1142</v>
      </c>
      <c r="I4" s="607" t="s">
        <v>1144</v>
      </c>
      <c r="J4" s="607">
        <v>7</v>
      </c>
      <c r="K4" s="617" t="s">
        <v>76</v>
      </c>
      <c r="L4" s="617"/>
      <c r="M4" s="617"/>
      <c r="N4" s="629"/>
      <c r="O4" s="629"/>
      <c r="P4" s="687">
        <v>0</v>
      </c>
      <c r="Q4" s="687">
        <f>P4*J4</f>
        <v>0</v>
      </c>
      <c r="R4" s="687"/>
      <c r="S4" s="670"/>
      <c r="T4" s="646" t="s">
        <v>82</v>
      </c>
      <c r="U4" s="601" t="s">
        <v>1182</v>
      </c>
      <c r="V4" s="687"/>
      <c r="W4" s="688">
        <f>V4*J4</f>
        <v>0</v>
      </c>
      <c r="X4" s="657">
        <v>4</v>
      </c>
      <c r="Y4" s="657">
        <f>X4*J4</f>
        <v>28</v>
      </c>
      <c r="Z4" s="679"/>
      <c r="AA4" s="623"/>
      <c r="AB4" s="670"/>
      <c r="AC4" s="679"/>
      <c r="AD4" s="670"/>
      <c r="AE4" s="670"/>
      <c r="AF4" s="542" t="s">
        <v>1149</v>
      </c>
      <c r="AG4" s="625"/>
      <c r="AH4" s="626"/>
      <c r="AI4" s="626"/>
      <c r="AJ4" s="617"/>
    </row>
    <row r="5" spans="1:36" s="524" customFormat="1" ht="43.5" customHeight="1">
      <c r="A5" s="607">
        <f t="shared" ref="A5:A8" si="0">A4+1</f>
        <v>3</v>
      </c>
      <c r="B5" s="607" t="s">
        <v>1151</v>
      </c>
      <c r="C5" s="607">
        <v>1</v>
      </c>
      <c r="D5" s="607"/>
      <c r="E5" s="607" t="s">
        <v>1148</v>
      </c>
      <c r="F5" s="607" t="s">
        <v>1183</v>
      </c>
      <c r="G5" s="607" t="s">
        <v>1150</v>
      </c>
      <c r="H5" s="607" t="s">
        <v>1152</v>
      </c>
      <c r="I5" s="607" t="s">
        <v>198</v>
      </c>
      <c r="J5" s="607">
        <v>1</v>
      </c>
      <c r="K5" s="617" t="s">
        <v>125</v>
      </c>
      <c r="L5" s="617"/>
      <c r="M5" s="617" t="s">
        <v>1153</v>
      </c>
      <c r="N5" s="629"/>
      <c r="O5" s="629"/>
      <c r="P5" s="687">
        <v>50</v>
      </c>
      <c r="Q5" s="687">
        <f>P5*J5</f>
        <v>50</v>
      </c>
      <c r="R5" s="687"/>
      <c r="S5" s="670"/>
      <c r="T5" s="646" t="s">
        <v>82</v>
      </c>
      <c r="U5" s="591" t="s">
        <v>1069</v>
      </c>
      <c r="V5" s="687">
        <v>5</v>
      </c>
      <c r="W5" s="688">
        <f>V5*J5</f>
        <v>5</v>
      </c>
      <c r="X5" s="657"/>
      <c r="Y5" s="657">
        <f>X5*J5</f>
        <v>0</v>
      </c>
      <c r="Z5" s="679"/>
      <c r="AA5" s="623"/>
      <c r="AB5" s="670"/>
      <c r="AC5" s="679"/>
      <c r="AD5" s="670"/>
      <c r="AE5" s="670"/>
      <c r="AF5" s="620"/>
      <c r="AG5" s="625"/>
      <c r="AH5" s="626"/>
      <c r="AI5" s="626"/>
      <c r="AJ5" s="617"/>
    </row>
    <row r="6" spans="1:36" s="524" customFormat="1" ht="43.5" customHeight="1">
      <c r="A6" s="607">
        <v>4</v>
      </c>
      <c r="B6" s="607" t="s">
        <v>1151</v>
      </c>
      <c r="C6" s="607">
        <v>1</v>
      </c>
      <c r="D6" s="607"/>
      <c r="E6" s="607" t="s">
        <v>1148</v>
      </c>
      <c r="F6" s="607" t="s">
        <v>1183</v>
      </c>
      <c r="G6" s="607" t="s">
        <v>1150</v>
      </c>
      <c r="H6" s="607" t="s">
        <v>1154</v>
      </c>
      <c r="I6" s="607" t="s">
        <v>198</v>
      </c>
      <c r="J6" s="607">
        <v>1</v>
      </c>
      <c r="K6" s="617" t="s">
        <v>125</v>
      </c>
      <c r="L6" s="617"/>
      <c r="M6" s="617" t="s">
        <v>1155</v>
      </c>
      <c r="N6" s="629" t="s">
        <v>1197</v>
      </c>
      <c r="O6" s="629"/>
      <c r="P6" s="687">
        <v>50</v>
      </c>
      <c r="Q6" s="687">
        <f>P6*J6</f>
        <v>50</v>
      </c>
      <c r="R6" s="687"/>
      <c r="S6" s="670"/>
      <c r="T6" s="646" t="s">
        <v>82</v>
      </c>
      <c r="U6" s="601" t="s">
        <v>1182</v>
      </c>
      <c r="V6" s="687">
        <v>5</v>
      </c>
      <c r="W6" s="688">
        <f>V6*J6</f>
        <v>5</v>
      </c>
      <c r="X6" s="657"/>
      <c r="Y6" s="657">
        <f>X6*J6</f>
        <v>0</v>
      </c>
      <c r="Z6" s="679"/>
      <c r="AA6" s="623"/>
      <c r="AB6" s="670"/>
      <c r="AC6" s="679"/>
      <c r="AD6" s="670"/>
      <c r="AE6" s="670"/>
      <c r="AF6" s="620"/>
      <c r="AG6" s="625"/>
      <c r="AH6" s="626"/>
      <c r="AI6" s="626"/>
      <c r="AJ6" s="617"/>
    </row>
    <row r="7" spans="1:36" s="524" customFormat="1" ht="43.5" customHeight="1">
      <c r="A7" s="607">
        <f t="shared" si="0"/>
        <v>5</v>
      </c>
      <c r="B7" s="607" t="s">
        <v>1151</v>
      </c>
      <c r="C7" s="607">
        <v>1</v>
      </c>
      <c r="D7" s="607"/>
      <c r="E7" s="607" t="s">
        <v>1148</v>
      </c>
      <c r="F7" s="607" t="s">
        <v>1183</v>
      </c>
      <c r="G7" s="607" t="s">
        <v>1150</v>
      </c>
      <c r="H7" s="607" t="s">
        <v>1195</v>
      </c>
      <c r="I7" s="607" t="s">
        <v>198</v>
      </c>
      <c r="J7" s="607">
        <v>1</v>
      </c>
      <c r="K7" s="617" t="s">
        <v>125</v>
      </c>
      <c r="L7" s="617"/>
      <c r="M7" s="617" t="s">
        <v>1155</v>
      </c>
      <c r="N7" s="629" t="s">
        <v>1196</v>
      </c>
      <c r="O7" s="629"/>
      <c r="P7" s="687">
        <v>50</v>
      </c>
      <c r="Q7" s="687">
        <f>P7*J7</f>
        <v>50</v>
      </c>
      <c r="R7" s="687"/>
      <c r="S7" s="670"/>
      <c r="T7" s="646" t="s">
        <v>82</v>
      </c>
      <c r="U7" s="589" t="s">
        <v>1078</v>
      </c>
      <c r="V7" s="687">
        <v>5</v>
      </c>
      <c r="W7" s="688">
        <f>V7*J7</f>
        <v>5</v>
      </c>
      <c r="X7" s="657"/>
      <c r="Y7" s="657">
        <f>X7*J7</f>
        <v>0</v>
      </c>
      <c r="Z7" s="679"/>
      <c r="AA7" s="623"/>
      <c r="AB7" s="670"/>
      <c r="AC7" s="679"/>
      <c r="AD7" s="670"/>
      <c r="AE7" s="670"/>
      <c r="AF7" s="620"/>
      <c r="AG7" s="625"/>
      <c r="AH7" s="626"/>
      <c r="AI7" s="626"/>
      <c r="AJ7" s="617"/>
    </row>
    <row r="8" spans="1:36" s="524" customFormat="1" ht="43.5" customHeight="1">
      <c r="A8" s="607">
        <f t="shared" si="0"/>
        <v>6</v>
      </c>
      <c r="B8" s="607" t="s">
        <v>1158</v>
      </c>
      <c r="C8" s="607">
        <v>1</v>
      </c>
      <c r="D8" s="607"/>
      <c r="E8" s="607" t="s">
        <v>1148</v>
      </c>
      <c r="F8" s="622" t="s">
        <v>1164</v>
      </c>
      <c r="G8" s="607" t="s">
        <v>1159</v>
      </c>
      <c r="H8" s="607" t="s">
        <v>1199</v>
      </c>
      <c r="I8" s="607" t="s">
        <v>1160</v>
      </c>
      <c r="J8" s="607">
        <v>1</v>
      </c>
      <c r="K8" s="617" t="s">
        <v>125</v>
      </c>
      <c r="L8" s="617"/>
      <c r="M8" s="617" t="s">
        <v>9</v>
      </c>
      <c r="N8" s="629" t="s">
        <v>1198</v>
      </c>
      <c r="O8" s="629" t="s">
        <v>1161</v>
      </c>
      <c r="P8" s="687">
        <v>50</v>
      </c>
      <c r="Q8" s="687">
        <f>P8*J8</f>
        <v>50</v>
      </c>
      <c r="R8" s="687"/>
      <c r="S8" s="670">
        <v>46007</v>
      </c>
      <c r="T8" s="646" t="s">
        <v>1177</v>
      </c>
      <c r="U8" s="591" t="s">
        <v>1069</v>
      </c>
      <c r="V8" s="687">
        <v>5</v>
      </c>
      <c r="W8" s="688">
        <f>V8*J8</f>
        <v>5</v>
      </c>
      <c r="X8" s="657"/>
      <c r="Y8" s="657">
        <f>X8*J8</f>
        <v>0</v>
      </c>
      <c r="Z8" s="679">
        <f>W8</f>
        <v>5</v>
      </c>
      <c r="AA8" s="623"/>
      <c r="AB8" s="670"/>
      <c r="AC8" s="679"/>
      <c r="AD8" s="670">
        <v>46013</v>
      </c>
      <c r="AE8" s="670"/>
      <c r="AF8" s="620"/>
      <c r="AG8" s="625"/>
      <c r="AH8" s="626"/>
      <c r="AI8" s="626"/>
      <c r="AJ8" s="617"/>
    </row>
    <row r="9" spans="1:36" s="524" customFormat="1" ht="43.5" customHeight="1">
      <c r="A9" s="607">
        <f>A8+1</f>
        <v>7</v>
      </c>
      <c r="B9" s="607" t="s">
        <v>1218</v>
      </c>
      <c r="C9" s="607">
        <v>1</v>
      </c>
      <c r="D9" s="607"/>
      <c r="E9" s="607" t="s">
        <v>1219</v>
      </c>
      <c r="F9" s="622" t="s">
        <v>1164</v>
      </c>
      <c r="G9" s="607" t="s">
        <v>82</v>
      </c>
      <c r="H9" s="607" t="s">
        <v>1220</v>
      </c>
      <c r="I9" s="607" t="s">
        <v>1221</v>
      </c>
      <c r="J9" s="607">
        <v>15</v>
      </c>
      <c r="K9" s="617"/>
      <c r="L9" s="617"/>
      <c r="M9" s="617"/>
      <c r="N9" s="629"/>
      <c r="O9" s="629"/>
      <c r="P9" s="687">
        <v>0</v>
      </c>
      <c r="Q9" s="687">
        <f>P9*J9</f>
        <v>0</v>
      </c>
      <c r="R9" s="687"/>
      <c r="S9" s="670">
        <v>46101</v>
      </c>
      <c r="T9" s="646" t="s">
        <v>1177</v>
      </c>
      <c r="U9" s="605" t="s">
        <v>1081</v>
      </c>
      <c r="V9" s="687">
        <v>5</v>
      </c>
      <c r="W9" s="688">
        <f>V9*J9</f>
        <v>75</v>
      </c>
      <c r="X9" s="657"/>
      <c r="Y9" s="657">
        <f>X9*J9</f>
        <v>0</v>
      </c>
      <c r="Z9" s="679">
        <v>0</v>
      </c>
      <c r="AA9" s="623"/>
      <c r="AB9" s="670"/>
      <c r="AC9" s="679">
        <v>0</v>
      </c>
      <c r="AD9" s="670"/>
      <c r="AE9" s="670" t="s">
        <v>1215</v>
      </c>
      <c r="AF9" s="620"/>
      <c r="AG9" s="625"/>
      <c r="AH9" s="626"/>
      <c r="AI9" s="626"/>
      <c r="AJ9" s="617"/>
    </row>
    <row r="10" spans="1:36" s="524" customFormat="1" ht="43.5" customHeight="1">
      <c r="A10" s="607">
        <f t="shared" ref="A10:A41" si="1">A9+1</f>
        <v>8</v>
      </c>
      <c r="B10" s="607" t="s">
        <v>1163</v>
      </c>
      <c r="C10" s="607">
        <v>1</v>
      </c>
      <c r="D10" s="607"/>
      <c r="E10" s="607" t="s">
        <v>1210</v>
      </c>
      <c r="F10" s="607" t="s">
        <v>1208</v>
      </c>
      <c r="G10" s="622" t="s">
        <v>1150</v>
      </c>
      <c r="H10" s="607" t="s">
        <v>1165</v>
      </c>
      <c r="I10" s="607" t="s">
        <v>1166</v>
      </c>
      <c r="J10" s="607">
        <v>18</v>
      </c>
      <c r="K10" s="617" t="s">
        <v>125</v>
      </c>
      <c r="L10" s="617"/>
      <c r="M10" s="644" t="s">
        <v>1153</v>
      </c>
      <c r="N10" s="630"/>
      <c r="O10" s="630"/>
      <c r="P10" s="688"/>
      <c r="Q10" s="687">
        <f>P10*J10</f>
        <v>0</v>
      </c>
      <c r="R10" s="687"/>
      <c r="S10" s="670">
        <v>46113</v>
      </c>
      <c r="T10" s="620" t="s">
        <v>1177</v>
      </c>
      <c r="U10" s="588" t="s">
        <v>1082</v>
      </c>
      <c r="V10" s="687">
        <v>5</v>
      </c>
      <c r="W10" s="688">
        <f>V10*J10</f>
        <v>90</v>
      </c>
      <c r="X10" s="657"/>
      <c r="Y10" s="657">
        <f>X10*J10</f>
        <v>0</v>
      </c>
      <c r="Z10" s="679">
        <v>5</v>
      </c>
      <c r="AA10" s="623"/>
      <c r="AB10" s="670"/>
      <c r="AC10" s="679">
        <v>28765</v>
      </c>
      <c r="AD10" s="670">
        <v>46128</v>
      </c>
      <c r="AE10" s="670"/>
      <c r="AF10" s="621"/>
      <c r="AG10" s="625"/>
      <c r="AH10" s="626"/>
      <c r="AI10" s="626"/>
      <c r="AJ10" s="617"/>
    </row>
    <row r="11" spans="1:36" s="524" customFormat="1" ht="43.5" customHeight="1">
      <c r="A11" s="607">
        <f t="shared" si="1"/>
        <v>9</v>
      </c>
      <c r="B11" s="607" t="s">
        <v>1167</v>
      </c>
      <c r="C11" s="607">
        <v>1</v>
      </c>
      <c r="D11" s="607"/>
      <c r="E11" s="607" t="s">
        <v>1209</v>
      </c>
      <c r="F11" s="607" t="s">
        <v>1185</v>
      </c>
      <c r="G11" s="622" t="s">
        <v>1179</v>
      </c>
      <c r="H11" s="607" t="s">
        <v>1184</v>
      </c>
      <c r="I11" s="607" t="s">
        <v>1180</v>
      </c>
      <c r="J11" s="607">
        <v>1</v>
      </c>
      <c r="K11" s="617" t="s">
        <v>125</v>
      </c>
      <c r="L11" s="617"/>
      <c r="M11" s="617" t="s">
        <v>1177</v>
      </c>
      <c r="N11" s="629" t="s">
        <v>1188</v>
      </c>
      <c r="O11" s="629" t="s">
        <v>1206</v>
      </c>
      <c r="P11" s="692">
        <v>55</v>
      </c>
      <c r="Q11" s="687">
        <f>P11*J11</f>
        <v>55</v>
      </c>
      <c r="R11" s="687"/>
      <c r="S11" s="670">
        <v>46115</v>
      </c>
      <c r="T11" s="620" t="s">
        <v>1191</v>
      </c>
      <c r="U11" s="591" t="s">
        <v>1069</v>
      </c>
      <c r="V11" s="687">
        <v>5</v>
      </c>
      <c r="W11" s="688">
        <f>V11*J11</f>
        <v>5</v>
      </c>
      <c r="X11" s="657"/>
      <c r="Y11" s="657">
        <f>X11*J11</f>
        <v>0</v>
      </c>
      <c r="Z11" s="679">
        <v>5</v>
      </c>
      <c r="AA11" s="623"/>
      <c r="AB11" s="670"/>
      <c r="AC11" s="679"/>
      <c r="AD11" s="670"/>
      <c r="AE11" s="670"/>
      <c r="AF11" s="621"/>
      <c r="AG11" s="625"/>
      <c r="AH11" s="626"/>
      <c r="AI11" s="626"/>
      <c r="AJ11" s="617"/>
    </row>
    <row r="12" spans="1:36" s="524" customFormat="1" ht="43.5" customHeight="1">
      <c r="A12" s="607">
        <f t="shared" si="1"/>
        <v>10</v>
      </c>
      <c r="B12" s="607" t="s">
        <v>1168</v>
      </c>
      <c r="C12" s="607">
        <v>1</v>
      </c>
      <c r="D12" s="607"/>
      <c r="E12" s="607" t="s">
        <v>1162</v>
      </c>
      <c r="F12" s="607" t="s">
        <v>1164</v>
      </c>
      <c r="G12" s="607" t="s">
        <v>1169</v>
      </c>
      <c r="H12" s="607" t="s">
        <v>1170</v>
      </c>
      <c r="I12" s="607" t="s">
        <v>691</v>
      </c>
      <c r="J12" s="607">
        <v>1</v>
      </c>
      <c r="K12" s="617" t="s">
        <v>125</v>
      </c>
      <c r="L12" s="617"/>
      <c r="M12" s="617" t="s">
        <v>1177</v>
      </c>
      <c r="N12" s="629"/>
      <c r="O12" s="629" t="s">
        <v>1217</v>
      </c>
      <c r="P12" s="687">
        <v>5</v>
      </c>
      <c r="Q12" s="687">
        <f>P12*J12</f>
        <v>5</v>
      </c>
      <c r="R12" s="687"/>
      <c r="S12" s="670">
        <v>46118</v>
      </c>
      <c r="T12" s="620" t="s">
        <v>1177</v>
      </c>
      <c r="U12" s="591" t="s">
        <v>1069</v>
      </c>
      <c r="V12" s="687">
        <v>5</v>
      </c>
      <c r="W12" s="688">
        <f>V12*J12</f>
        <v>5</v>
      </c>
      <c r="X12" s="657"/>
      <c r="Y12" s="657">
        <f>X12*J12</f>
        <v>0</v>
      </c>
      <c r="Z12" s="679">
        <v>5</v>
      </c>
      <c r="AA12" s="623"/>
      <c r="AB12" s="698">
        <v>46121</v>
      </c>
      <c r="AC12" s="679" t="s">
        <v>82</v>
      </c>
      <c r="AE12" s="670" t="s">
        <v>1215</v>
      </c>
      <c r="AF12" s="621"/>
      <c r="AG12" s="625"/>
      <c r="AH12" s="645"/>
      <c r="AI12" s="626"/>
      <c r="AJ12" s="617"/>
    </row>
    <row r="13" spans="1:36" s="524" customFormat="1" ht="43.5" customHeight="1">
      <c r="A13" s="607">
        <f t="shared" si="1"/>
        <v>11</v>
      </c>
      <c r="B13" s="607">
        <v>6572694</v>
      </c>
      <c r="C13" s="607">
        <v>1</v>
      </c>
      <c r="D13" s="607"/>
      <c r="E13" s="607" t="s">
        <v>1162</v>
      </c>
      <c r="F13" s="607" t="s">
        <v>1211</v>
      </c>
      <c r="G13" s="622" t="s">
        <v>371</v>
      </c>
      <c r="H13" s="622" t="s">
        <v>1171</v>
      </c>
      <c r="I13" s="622" t="s">
        <v>133</v>
      </c>
      <c r="J13" s="622">
        <v>30</v>
      </c>
      <c r="K13" s="644" t="s">
        <v>91</v>
      </c>
      <c r="L13" s="644"/>
      <c r="M13" s="644" t="s">
        <v>1177</v>
      </c>
      <c r="N13" s="630" t="s">
        <v>82</v>
      </c>
      <c r="O13" s="630" t="s">
        <v>1213</v>
      </c>
      <c r="P13" s="693">
        <v>5</v>
      </c>
      <c r="Q13" s="687">
        <f>P13*J13</f>
        <v>150</v>
      </c>
      <c r="R13" s="687">
        <v>181.33</v>
      </c>
      <c r="S13" s="671">
        <v>46119</v>
      </c>
      <c r="T13" s="620" t="s">
        <v>1177</v>
      </c>
      <c r="U13" s="591" t="s">
        <v>1069</v>
      </c>
      <c r="V13" s="687">
        <v>5</v>
      </c>
      <c r="W13" s="688">
        <f>V13*J13</f>
        <v>150</v>
      </c>
      <c r="X13" s="657"/>
      <c r="Y13" s="657">
        <f>X13*J13</f>
        <v>0</v>
      </c>
      <c r="Z13" s="679">
        <v>5</v>
      </c>
      <c r="AA13" s="623"/>
      <c r="AB13" s="671"/>
      <c r="AC13" s="679"/>
      <c r="AD13" s="671"/>
      <c r="AE13" s="670" t="s">
        <v>1215</v>
      </c>
      <c r="AF13" s="621"/>
      <c r="AG13" s="625"/>
      <c r="AH13" s="626"/>
      <c r="AI13" s="626"/>
      <c r="AJ13" s="617"/>
    </row>
    <row r="14" spans="1:36" s="524" customFormat="1" ht="43.5" customHeight="1">
      <c r="A14" s="607">
        <f t="shared" si="1"/>
        <v>12</v>
      </c>
      <c r="B14" s="607"/>
      <c r="C14" s="607">
        <v>1</v>
      </c>
      <c r="D14" s="607"/>
      <c r="E14" s="607" t="s">
        <v>1162</v>
      </c>
      <c r="F14" s="607" t="s">
        <v>1172</v>
      </c>
      <c r="G14" s="622" t="s">
        <v>1176</v>
      </c>
      <c r="H14" s="622" t="s">
        <v>1173</v>
      </c>
      <c r="I14" s="622" t="s">
        <v>1175</v>
      </c>
      <c r="J14" s="622">
        <v>2</v>
      </c>
      <c r="K14" s="644" t="s">
        <v>1174</v>
      </c>
      <c r="L14" s="644"/>
      <c r="M14" s="644"/>
      <c r="N14" s="630"/>
      <c r="O14" s="630"/>
      <c r="P14" s="688">
        <v>5</v>
      </c>
      <c r="Q14" s="687">
        <f>P14*J14</f>
        <v>10</v>
      </c>
      <c r="R14" s="687"/>
      <c r="S14" s="671"/>
      <c r="T14" s="620" t="s">
        <v>1178</v>
      </c>
      <c r="U14" s="582" t="s">
        <v>1083</v>
      </c>
      <c r="V14" s="687">
        <v>5</v>
      </c>
      <c r="W14" s="688">
        <f>V14*J14</f>
        <v>10</v>
      </c>
      <c r="X14" s="657"/>
      <c r="Y14" s="657">
        <f>X14*J14</f>
        <v>0</v>
      </c>
      <c r="Z14" s="679">
        <v>5</v>
      </c>
      <c r="AA14" s="623"/>
      <c r="AB14" s="671"/>
      <c r="AC14" s="679"/>
      <c r="AD14" s="671"/>
      <c r="AE14" s="671"/>
      <c r="AF14" s="621"/>
      <c r="AG14" s="625"/>
      <c r="AH14" s="626"/>
      <c r="AI14" s="626"/>
      <c r="AJ14" s="617"/>
    </row>
    <row r="15" spans="1:36" s="524" customFormat="1" ht="43.5" customHeight="1">
      <c r="A15" s="607">
        <f t="shared" si="1"/>
        <v>13</v>
      </c>
      <c r="B15" s="607" t="s">
        <v>1190</v>
      </c>
      <c r="C15" s="607">
        <v>1</v>
      </c>
      <c r="D15" s="607"/>
      <c r="E15" s="607" t="s">
        <v>205</v>
      </c>
      <c r="F15" s="607" t="s">
        <v>1189</v>
      </c>
      <c r="G15" s="622" t="s">
        <v>1200</v>
      </c>
      <c r="H15" s="622" t="s">
        <v>1192</v>
      </c>
      <c r="I15" s="622" t="s">
        <v>1193</v>
      </c>
      <c r="J15" s="622">
        <v>1</v>
      </c>
      <c r="K15" s="644" t="s">
        <v>125</v>
      </c>
      <c r="L15" s="644"/>
      <c r="M15" s="644" t="s">
        <v>1153</v>
      </c>
      <c r="N15" s="630" t="s">
        <v>1194</v>
      </c>
      <c r="O15" s="630"/>
      <c r="P15" s="694">
        <v>5</v>
      </c>
      <c r="Q15" s="687">
        <f>P15*J15</f>
        <v>5</v>
      </c>
      <c r="R15" s="687"/>
      <c r="S15" s="671">
        <v>46125</v>
      </c>
      <c r="T15" s="620" t="s">
        <v>1191</v>
      </c>
      <c r="U15" s="601" t="s">
        <v>1182</v>
      </c>
      <c r="V15" s="687">
        <v>5</v>
      </c>
      <c r="W15" s="688">
        <f>V15*J15</f>
        <v>5</v>
      </c>
      <c r="X15" s="657"/>
      <c r="Y15" s="657">
        <f>X15*J15</f>
        <v>0</v>
      </c>
      <c r="Z15" s="679"/>
      <c r="AA15" s="623"/>
      <c r="AB15" s="671"/>
      <c r="AC15" s="679"/>
      <c r="AD15" s="671"/>
      <c r="AE15" s="671"/>
      <c r="AF15" s="621"/>
      <c r="AG15" s="625"/>
      <c r="AH15" s="626"/>
      <c r="AI15" s="626"/>
      <c r="AJ15" s="617"/>
    </row>
    <row r="16" spans="1:36" s="524" customFormat="1" ht="43.5" customHeight="1">
      <c r="A16" s="607">
        <f t="shared" si="1"/>
        <v>14</v>
      </c>
      <c r="B16" s="607" t="s">
        <v>1204</v>
      </c>
      <c r="C16" s="607">
        <v>1</v>
      </c>
      <c r="D16" s="607"/>
      <c r="E16" s="607" t="s">
        <v>205</v>
      </c>
      <c r="F16" s="607" t="s">
        <v>1202</v>
      </c>
      <c r="G16" s="622" t="s">
        <v>1203</v>
      </c>
      <c r="H16" s="622" t="s">
        <v>1154</v>
      </c>
      <c r="I16" s="622" t="s">
        <v>1201</v>
      </c>
      <c r="J16" s="622">
        <v>1</v>
      </c>
      <c r="K16" s="644" t="s">
        <v>125</v>
      </c>
      <c r="L16" s="644"/>
      <c r="M16" s="644" t="s">
        <v>1153</v>
      </c>
      <c r="N16" s="629" t="s">
        <v>1197</v>
      </c>
      <c r="O16" s="630" t="s">
        <v>1205</v>
      </c>
      <c r="P16" s="687">
        <v>5</v>
      </c>
      <c r="Q16" s="687">
        <f>P16*J16</f>
        <v>5</v>
      </c>
      <c r="R16" s="687"/>
      <c r="S16" s="671">
        <v>46129</v>
      </c>
      <c r="T16" s="620" t="s">
        <v>1191</v>
      </c>
      <c r="U16" s="581" t="s">
        <v>1068</v>
      </c>
      <c r="V16" s="687">
        <v>5</v>
      </c>
      <c r="W16" s="688">
        <f>V16*J16</f>
        <v>5</v>
      </c>
      <c r="X16" s="657"/>
      <c r="Y16" s="657">
        <f>X16*J16</f>
        <v>0</v>
      </c>
      <c r="Z16" s="679">
        <v>5</v>
      </c>
      <c r="AA16" s="623"/>
      <c r="AB16" s="671"/>
      <c r="AC16" s="679"/>
      <c r="AD16" s="671"/>
      <c r="AE16" s="671"/>
      <c r="AF16" s="621"/>
      <c r="AG16" s="625"/>
      <c r="AH16" s="626"/>
      <c r="AI16" s="626"/>
      <c r="AJ16" s="617"/>
    </row>
    <row r="17" spans="1:36" s="524" customFormat="1" ht="43.5" customHeight="1">
      <c r="A17" s="607">
        <f t="shared" si="1"/>
        <v>15</v>
      </c>
      <c r="B17" s="607"/>
      <c r="C17" s="607"/>
      <c r="D17" s="607"/>
      <c r="E17" s="607"/>
      <c r="F17" s="607"/>
      <c r="G17" s="622"/>
      <c r="H17" s="622"/>
      <c r="I17" s="622"/>
      <c r="J17" s="622"/>
      <c r="K17" s="644"/>
      <c r="L17" s="644"/>
      <c r="M17" s="622"/>
      <c r="N17" s="630"/>
      <c r="O17" s="630"/>
      <c r="P17" s="688"/>
      <c r="Q17" s="687">
        <f>P17*J17</f>
        <v>0</v>
      </c>
      <c r="R17" s="687"/>
      <c r="S17" s="671"/>
      <c r="T17" s="620"/>
      <c r="U17" s="581" t="s">
        <v>1068</v>
      </c>
      <c r="V17" s="687"/>
      <c r="W17" s="688">
        <f>V17*J17</f>
        <v>0</v>
      </c>
      <c r="X17" s="657"/>
      <c r="Y17" s="657">
        <f>X17*J17</f>
        <v>0</v>
      </c>
      <c r="Z17" s="679"/>
      <c r="AA17" s="623"/>
      <c r="AB17" s="671"/>
      <c r="AC17" s="679"/>
      <c r="AD17" s="671"/>
      <c r="AE17" s="671"/>
      <c r="AF17" s="621"/>
      <c r="AG17" s="625"/>
      <c r="AH17" s="626"/>
      <c r="AI17" s="626"/>
      <c r="AJ17" s="617"/>
    </row>
    <row r="18" spans="1:36" s="524" customFormat="1" ht="43.5" customHeight="1">
      <c r="A18" s="607">
        <f t="shared" si="1"/>
        <v>16</v>
      </c>
      <c r="B18" s="607"/>
      <c r="C18" s="607"/>
      <c r="D18" s="607"/>
      <c r="E18" s="607"/>
      <c r="F18" s="607"/>
      <c r="G18" s="622"/>
      <c r="H18" s="622"/>
      <c r="I18" s="622"/>
      <c r="J18" s="622"/>
      <c r="K18" s="644"/>
      <c r="L18" s="644"/>
      <c r="M18" s="644"/>
      <c r="N18" s="630"/>
      <c r="O18" s="630"/>
      <c r="P18" s="688"/>
      <c r="Q18" s="687">
        <f>P18*J18</f>
        <v>0</v>
      </c>
      <c r="R18" s="687"/>
      <c r="S18" s="672"/>
      <c r="T18" s="620"/>
      <c r="U18" s="581" t="s">
        <v>1068</v>
      </c>
      <c r="V18" s="687"/>
      <c r="W18" s="688">
        <f>V18*J18</f>
        <v>0</v>
      </c>
      <c r="X18" s="657"/>
      <c r="Y18" s="657">
        <f>X18*J18</f>
        <v>0</v>
      </c>
      <c r="Z18" s="679"/>
      <c r="AA18" s="623"/>
      <c r="AB18" s="672"/>
      <c r="AC18" s="679"/>
      <c r="AD18" s="672"/>
      <c r="AE18" s="672"/>
      <c r="AF18" s="621"/>
      <c r="AG18" s="625"/>
      <c r="AH18" s="645"/>
      <c r="AI18" s="626"/>
      <c r="AJ18" s="617"/>
    </row>
    <row r="19" spans="1:36" s="524" customFormat="1" ht="43.5" customHeight="1">
      <c r="A19" s="607">
        <f t="shared" si="1"/>
        <v>17</v>
      </c>
      <c r="B19" s="607"/>
      <c r="C19" s="607"/>
      <c r="D19" s="607"/>
      <c r="E19" s="607"/>
      <c r="F19" s="607"/>
      <c r="G19" s="622"/>
      <c r="H19" s="622"/>
      <c r="I19" s="622"/>
      <c r="J19" s="622"/>
      <c r="K19" s="644"/>
      <c r="L19" s="644"/>
      <c r="M19" s="644"/>
      <c r="N19" s="630"/>
      <c r="O19" s="630"/>
      <c r="P19" s="688"/>
      <c r="Q19" s="687">
        <f>P19*J19</f>
        <v>0</v>
      </c>
      <c r="R19" s="687"/>
      <c r="S19" s="672"/>
      <c r="T19" s="620"/>
      <c r="U19" s="581" t="s">
        <v>1068</v>
      </c>
      <c r="V19" s="687"/>
      <c r="W19" s="688">
        <f>V19*J19</f>
        <v>0</v>
      </c>
      <c r="X19" s="657"/>
      <c r="Y19" s="657">
        <f>X19*J19</f>
        <v>0</v>
      </c>
      <c r="Z19" s="679"/>
      <c r="AA19" s="623"/>
      <c r="AB19" s="672"/>
      <c r="AC19" s="679"/>
      <c r="AD19" s="672"/>
      <c r="AE19" s="672"/>
      <c r="AF19" s="621"/>
      <c r="AG19" s="625"/>
      <c r="AH19" s="645"/>
      <c r="AI19" s="626"/>
      <c r="AJ19" s="617"/>
    </row>
    <row r="20" spans="1:36" s="524" customFormat="1" ht="43.5" customHeight="1">
      <c r="A20" s="607">
        <f t="shared" si="1"/>
        <v>18</v>
      </c>
      <c r="B20" s="607"/>
      <c r="C20" s="607"/>
      <c r="D20" s="607"/>
      <c r="E20" s="607"/>
      <c r="F20" s="607"/>
      <c r="G20" s="622"/>
      <c r="H20" s="622"/>
      <c r="I20" s="622"/>
      <c r="J20" s="622"/>
      <c r="K20" s="644"/>
      <c r="L20" s="644"/>
      <c r="M20" s="644"/>
      <c r="N20" s="630"/>
      <c r="O20" s="630"/>
      <c r="P20" s="688"/>
      <c r="Q20" s="687">
        <f>P20*J20</f>
        <v>0</v>
      </c>
      <c r="R20" s="687"/>
      <c r="S20" s="672"/>
      <c r="T20" s="620"/>
      <c r="U20" s="581" t="s">
        <v>1068</v>
      </c>
      <c r="V20" s="687"/>
      <c r="W20" s="688">
        <f>V20*J20</f>
        <v>0</v>
      </c>
      <c r="X20" s="657"/>
      <c r="Y20" s="657">
        <f>X20*J20</f>
        <v>0</v>
      </c>
      <c r="Z20" s="679"/>
      <c r="AA20" s="623"/>
      <c r="AB20" s="672"/>
      <c r="AC20" s="679"/>
      <c r="AD20" s="672"/>
      <c r="AE20" s="672"/>
      <c r="AF20" s="621"/>
      <c r="AG20" s="625"/>
      <c r="AH20" s="645"/>
      <c r="AI20" s="626"/>
      <c r="AJ20" s="617"/>
    </row>
    <row r="21" spans="1:36" s="524" customFormat="1" ht="43.5" customHeight="1">
      <c r="A21" s="607">
        <f t="shared" si="1"/>
        <v>19</v>
      </c>
      <c r="B21" s="607"/>
      <c r="C21" s="607"/>
      <c r="D21" s="607"/>
      <c r="E21" s="607"/>
      <c r="F21" s="607"/>
      <c r="G21" s="607"/>
      <c r="H21" s="607"/>
      <c r="I21" s="607"/>
      <c r="J21" s="607"/>
      <c r="K21" s="617"/>
      <c r="L21" s="617"/>
      <c r="M21" s="617"/>
      <c r="N21" s="630"/>
      <c r="O21" s="630"/>
      <c r="P21" s="687"/>
      <c r="Q21" s="687">
        <f>P21*J21</f>
        <v>0</v>
      </c>
      <c r="R21" s="687"/>
      <c r="S21" s="673"/>
      <c r="T21" s="620"/>
      <c r="U21" s="581" t="s">
        <v>1068</v>
      </c>
      <c r="V21" s="687"/>
      <c r="W21" s="688">
        <f>V21*J21</f>
        <v>0</v>
      </c>
      <c r="X21" s="657"/>
      <c r="Y21" s="657">
        <f>X21*J21</f>
        <v>0</v>
      </c>
      <c r="Z21" s="679"/>
      <c r="AA21" s="623"/>
      <c r="AB21" s="673"/>
      <c r="AC21" s="679"/>
      <c r="AD21" s="673"/>
      <c r="AE21" s="673"/>
      <c r="AF21" s="621"/>
      <c r="AG21" s="625"/>
      <c r="AH21" s="645"/>
      <c r="AI21" s="626"/>
      <c r="AJ21" s="617"/>
    </row>
    <row r="22" spans="1:36" s="524" customFormat="1" ht="43.5" customHeight="1">
      <c r="A22" s="607">
        <f t="shared" si="1"/>
        <v>20</v>
      </c>
      <c r="B22" s="607"/>
      <c r="C22" s="607"/>
      <c r="D22" s="607"/>
      <c r="E22" s="607"/>
      <c r="F22" s="607"/>
      <c r="G22" s="622"/>
      <c r="H22" s="607"/>
      <c r="I22" s="607"/>
      <c r="J22" s="607"/>
      <c r="K22" s="617"/>
      <c r="L22" s="644"/>
      <c r="M22" s="644"/>
      <c r="N22" s="630"/>
      <c r="O22" s="630"/>
      <c r="P22" s="688"/>
      <c r="Q22" s="687">
        <f>P22*J22</f>
        <v>0</v>
      </c>
      <c r="R22" s="687"/>
      <c r="S22" s="673"/>
      <c r="T22" s="620"/>
      <c r="U22" s="581" t="s">
        <v>1068</v>
      </c>
      <c r="V22" s="688"/>
      <c r="W22" s="688">
        <f>V22*J22</f>
        <v>0</v>
      </c>
      <c r="X22" s="657"/>
      <c r="Y22" s="657">
        <f>X22*J22</f>
        <v>0</v>
      </c>
      <c r="Z22" s="680"/>
      <c r="AA22" s="623"/>
      <c r="AB22" s="673"/>
      <c r="AC22" s="680"/>
      <c r="AD22" s="673"/>
      <c r="AE22" s="673"/>
      <c r="AF22" s="621"/>
      <c r="AG22" s="625"/>
      <c r="AH22" s="626"/>
      <c r="AI22" s="626"/>
      <c r="AJ22" s="617"/>
    </row>
    <row r="23" spans="1:36" s="524" customFormat="1" ht="43.5" customHeight="1">
      <c r="A23" s="607">
        <f t="shared" si="1"/>
        <v>21</v>
      </c>
      <c r="B23" s="607"/>
      <c r="C23" s="607"/>
      <c r="D23" s="607"/>
      <c r="E23" s="607"/>
      <c r="F23" s="607"/>
      <c r="G23" s="622"/>
      <c r="H23" s="622"/>
      <c r="I23" s="622"/>
      <c r="J23" s="622"/>
      <c r="K23" s="644"/>
      <c r="L23" s="644"/>
      <c r="M23" s="644"/>
      <c r="N23" s="630"/>
      <c r="O23" s="630"/>
      <c r="P23" s="688"/>
      <c r="Q23" s="687">
        <f>P23*J23</f>
        <v>0</v>
      </c>
      <c r="R23" s="687"/>
      <c r="S23" s="672"/>
      <c r="T23" s="620"/>
      <c r="U23" s="581" t="s">
        <v>1068</v>
      </c>
      <c r="V23" s="688"/>
      <c r="W23" s="688">
        <f>V23*J23</f>
        <v>0</v>
      </c>
      <c r="X23" s="657"/>
      <c r="Y23" s="657">
        <f>X23*J23</f>
        <v>0</v>
      </c>
      <c r="Z23" s="680"/>
      <c r="AA23" s="623"/>
      <c r="AB23" s="672"/>
      <c r="AC23" s="680"/>
      <c r="AD23" s="672"/>
      <c r="AE23" s="672"/>
      <c r="AF23" s="621"/>
      <c r="AG23" s="625"/>
      <c r="AH23" s="626"/>
      <c r="AI23" s="626"/>
      <c r="AJ23" s="617"/>
    </row>
    <row r="24" spans="1:36" s="524" customFormat="1" ht="43.5" customHeight="1">
      <c r="A24" s="607">
        <f t="shared" si="1"/>
        <v>22</v>
      </c>
      <c r="B24" s="607"/>
      <c r="C24" s="607"/>
      <c r="D24" s="607"/>
      <c r="E24" s="607"/>
      <c r="F24" s="607"/>
      <c r="G24" s="622"/>
      <c r="H24" s="607"/>
      <c r="I24" s="607"/>
      <c r="J24" s="607"/>
      <c r="K24" s="617"/>
      <c r="L24" s="644"/>
      <c r="M24" s="644"/>
      <c r="N24" s="630"/>
      <c r="O24" s="630"/>
      <c r="P24" s="688"/>
      <c r="Q24" s="687">
        <f>P24*J24</f>
        <v>0</v>
      </c>
      <c r="R24" s="687"/>
      <c r="S24" s="670"/>
      <c r="T24" s="620"/>
      <c r="U24" s="581" t="s">
        <v>1068</v>
      </c>
      <c r="V24" s="688"/>
      <c r="W24" s="688">
        <f>V24*J24</f>
        <v>0</v>
      </c>
      <c r="X24" s="657"/>
      <c r="Y24" s="657">
        <f>X24*J24</f>
        <v>0</v>
      </c>
      <c r="Z24" s="680"/>
      <c r="AA24" s="623"/>
      <c r="AB24" s="670"/>
      <c r="AC24" s="680"/>
      <c r="AD24" s="670"/>
      <c r="AE24" s="670"/>
      <c r="AF24" s="621"/>
      <c r="AG24" s="625"/>
      <c r="AH24" s="626"/>
      <c r="AI24" s="626"/>
      <c r="AJ24" s="617"/>
    </row>
    <row r="25" spans="1:36" s="524" customFormat="1" ht="43.5" customHeight="1">
      <c r="A25" s="607">
        <f t="shared" si="1"/>
        <v>23</v>
      </c>
      <c r="B25" s="607"/>
      <c r="C25" s="607"/>
      <c r="D25" s="607"/>
      <c r="E25" s="607"/>
      <c r="F25" s="607"/>
      <c r="G25" s="607"/>
      <c r="H25" s="607"/>
      <c r="I25" s="607"/>
      <c r="J25" s="607"/>
      <c r="K25" s="617"/>
      <c r="L25" s="644"/>
      <c r="M25" s="644"/>
      <c r="N25" s="630"/>
      <c r="O25" s="630"/>
      <c r="P25" s="688"/>
      <c r="Q25" s="687">
        <f>P25*J25</f>
        <v>0</v>
      </c>
      <c r="R25" s="687"/>
      <c r="S25" s="670"/>
      <c r="T25" s="620"/>
      <c r="U25" s="581" t="s">
        <v>1068</v>
      </c>
      <c r="V25" s="688"/>
      <c r="W25" s="688">
        <f>V25*J25</f>
        <v>0</v>
      </c>
      <c r="X25" s="657"/>
      <c r="Y25" s="657">
        <f>X25*J25</f>
        <v>0</v>
      </c>
      <c r="Z25" s="680"/>
      <c r="AA25" s="623"/>
      <c r="AB25" s="670"/>
      <c r="AC25" s="680"/>
      <c r="AD25" s="670"/>
      <c r="AE25" s="670"/>
      <c r="AF25" s="621"/>
      <c r="AG25" s="625"/>
      <c r="AH25" s="626"/>
      <c r="AI25" s="626"/>
      <c r="AJ25" s="617"/>
    </row>
    <row r="26" spans="1:36" s="524" customFormat="1" ht="43.5" customHeight="1">
      <c r="A26" s="607">
        <f t="shared" si="1"/>
        <v>24</v>
      </c>
      <c r="B26" s="607"/>
      <c r="C26" s="607"/>
      <c r="D26" s="607"/>
      <c r="E26" s="607"/>
      <c r="F26" s="607"/>
      <c r="G26" s="607"/>
      <c r="H26" s="607"/>
      <c r="I26" s="607"/>
      <c r="J26" s="607"/>
      <c r="K26" s="617"/>
      <c r="L26" s="644"/>
      <c r="M26" s="644"/>
      <c r="N26" s="630"/>
      <c r="O26" s="630"/>
      <c r="P26" s="688"/>
      <c r="Q26" s="687">
        <f>P26*J26</f>
        <v>0</v>
      </c>
      <c r="R26" s="687"/>
      <c r="S26" s="670"/>
      <c r="T26" s="620"/>
      <c r="U26" s="581" t="s">
        <v>1068</v>
      </c>
      <c r="V26" s="688"/>
      <c r="W26" s="688">
        <f>V26*J26</f>
        <v>0</v>
      </c>
      <c r="X26" s="657"/>
      <c r="Y26" s="657">
        <f>X26*J26</f>
        <v>0</v>
      </c>
      <c r="Z26" s="680"/>
      <c r="AA26" s="623"/>
      <c r="AB26" s="670"/>
      <c r="AC26" s="680"/>
      <c r="AD26" s="670"/>
      <c r="AE26" s="670"/>
      <c r="AF26" s="621"/>
      <c r="AG26" s="625"/>
      <c r="AH26" s="645"/>
      <c r="AI26" s="626"/>
      <c r="AJ26" s="617"/>
    </row>
    <row r="27" spans="1:36" s="524" customFormat="1" ht="43.5" customHeight="1">
      <c r="A27" s="607">
        <f t="shared" si="1"/>
        <v>25</v>
      </c>
      <c r="B27" s="607"/>
      <c r="C27" s="607"/>
      <c r="D27" s="607"/>
      <c r="E27" s="607"/>
      <c r="F27" s="607"/>
      <c r="G27" s="622"/>
      <c r="H27" s="607"/>
      <c r="I27" s="607"/>
      <c r="J27" s="607"/>
      <c r="K27" s="617"/>
      <c r="L27" s="644"/>
      <c r="M27" s="644"/>
      <c r="N27" s="630"/>
      <c r="O27" s="630"/>
      <c r="P27" s="688"/>
      <c r="Q27" s="687">
        <f>P27*J27</f>
        <v>0</v>
      </c>
      <c r="R27" s="687"/>
      <c r="S27" s="670"/>
      <c r="T27" s="620"/>
      <c r="U27" s="581" t="s">
        <v>1068</v>
      </c>
      <c r="V27" s="688"/>
      <c r="W27" s="688">
        <f>V27*J27</f>
        <v>0</v>
      </c>
      <c r="X27" s="657"/>
      <c r="Y27" s="657">
        <f>X27*J27</f>
        <v>0</v>
      </c>
      <c r="Z27" s="680"/>
      <c r="AA27" s="623"/>
      <c r="AB27" s="670"/>
      <c r="AC27" s="680"/>
      <c r="AD27" s="670"/>
      <c r="AE27" s="670"/>
      <c r="AF27" s="621"/>
      <c r="AG27" s="625"/>
      <c r="AH27" s="626"/>
      <c r="AI27" s="626"/>
      <c r="AJ27" s="617"/>
    </row>
    <row r="28" spans="1:36" s="524" customFormat="1" ht="43.5" customHeight="1">
      <c r="A28" s="607">
        <f t="shared" si="1"/>
        <v>26</v>
      </c>
      <c r="B28" s="607"/>
      <c r="C28" s="607"/>
      <c r="D28" s="607"/>
      <c r="E28" s="607"/>
      <c r="F28" s="607"/>
      <c r="G28" s="607"/>
      <c r="H28" s="607"/>
      <c r="I28" s="607"/>
      <c r="J28" s="607"/>
      <c r="K28" s="617"/>
      <c r="L28" s="644"/>
      <c r="M28" s="644"/>
      <c r="N28" s="630"/>
      <c r="O28" s="630"/>
      <c r="P28" s="688"/>
      <c r="Q28" s="687">
        <f>P28*J28</f>
        <v>0</v>
      </c>
      <c r="R28" s="687"/>
      <c r="S28" s="670"/>
      <c r="T28" s="620"/>
      <c r="U28" s="581" t="s">
        <v>1068</v>
      </c>
      <c r="V28" s="687"/>
      <c r="W28" s="688">
        <f>V28*J28</f>
        <v>0</v>
      </c>
      <c r="X28" s="657"/>
      <c r="Y28" s="657">
        <f>X28*J28</f>
        <v>0</v>
      </c>
      <c r="Z28" s="679"/>
      <c r="AA28" s="623"/>
      <c r="AB28" s="670"/>
      <c r="AC28" s="679"/>
      <c r="AD28" s="670"/>
      <c r="AE28" s="670"/>
      <c r="AF28" s="621"/>
      <c r="AG28" s="625"/>
      <c r="AH28" s="645"/>
      <c r="AI28" s="626"/>
      <c r="AJ28" s="617"/>
    </row>
    <row r="29" spans="1:36" s="524" customFormat="1" ht="43.5" customHeight="1">
      <c r="A29" s="607">
        <f t="shared" si="1"/>
        <v>27</v>
      </c>
      <c r="B29" s="607"/>
      <c r="C29" s="607"/>
      <c r="D29" s="607"/>
      <c r="E29" s="607"/>
      <c r="F29" s="607"/>
      <c r="G29" s="622"/>
      <c r="H29" s="607"/>
      <c r="I29" s="607"/>
      <c r="J29" s="607"/>
      <c r="K29" s="617"/>
      <c r="L29" s="644"/>
      <c r="M29" s="644"/>
      <c r="N29" s="630"/>
      <c r="O29" s="630"/>
      <c r="P29" s="688"/>
      <c r="Q29" s="687">
        <f>P29*J29</f>
        <v>0</v>
      </c>
      <c r="R29" s="687"/>
      <c r="S29" s="670"/>
      <c r="T29" s="619"/>
      <c r="U29" s="581" t="s">
        <v>1068</v>
      </c>
      <c r="V29" s="687"/>
      <c r="W29" s="688">
        <f>V29*J29</f>
        <v>0</v>
      </c>
      <c r="X29" s="657"/>
      <c r="Y29" s="657">
        <f>X29*J29</f>
        <v>0</v>
      </c>
      <c r="Z29" s="679"/>
      <c r="AA29" s="623"/>
      <c r="AB29" s="670"/>
      <c r="AC29" s="679"/>
      <c r="AD29" s="670"/>
      <c r="AE29" s="670"/>
      <c r="AF29" s="621"/>
      <c r="AG29" s="625"/>
      <c r="AH29" s="645"/>
      <c r="AI29" s="626"/>
      <c r="AJ29" s="617"/>
    </row>
    <row r="30" spans="1:36" s="643" customFormat="1" ht="43.5" customHeight="1" thickBot="1">
      <c r="A30" s="607">
        <f t="shared" si="1"/>
        <v>28</v>
      </c>
      <c r="B30" s="607"/>
      <c r="C30" s="607"/>
      <c r="D30" s="607"/>
      <c r="E30" s="607"/>
      <c r="F30" s="607"/>
      <c r="G30" s="607"/>
      <c r="H30" s="607"/>
      <c r="I30" s="607"/>
      <c r="J30" s="607"/>
      <c r="K30" s="617"/>
      <c r="L30" s="644"/>
      <c r="M30" s="644"/>
      <c r="N30" s="630"/>
      <c r="O30" s="630"/>
      <c r="P30" s="688"/>
      <c r="Q30" s="687">
        <f>P30*J30</f>
        <v>0</v>
      </c>
      <c r="R30" s="687"/>
      <c r="S30" s="670"/>
      <c r="T30" s="620"/>
      <c r="U30" s="581" t="s">
        <v>1068</v>
      </c>
      <c r="V30" s="687"/>
      <c r="W30" s="688">
        <f>V30*J30</f>
        <v>0</v>
      </c>
      <c r="X30" s="657"/>
      <c r="Y30" s="657">
        <f>X30*J30</f>
        <v>0</v>
      </c>
      <c r="Z30" s="679"/>
      <c r="AA30" s="623"/>
      <c r="AB30" s="670"/>
      <c r="AC30" s="679"/>
      <c r="AD30" s="670"/>
      <c r="AE30" s="670"/>
      <c r="AF30" s="621"/>
      <c r="AG30" s="625"/>
      <c r="AH30" s="645"/>
      <c r="AI30" s="626"/>
      <c r="AJ30" s="617"/>
    </row>
    <row r="31" spans="1:36" s="524" customFormat="1" ht="43.5" customHeight="1">
      <c r="A31" s="607">
        <f t="shared" si="1"/>
        <v>29</v>
      </c>
      <c r="B31" s="607"/>
      <c r="C31" s="607"/>
      <c r="D31" s="607"/>
      <c r="E31" s="607"/>
      <c r="F31" s="607"/>
      <c r="G31" s="607"/>
      <c r="H31" s="607"/>
      <c r="I31" s="607"/>
      <c r="J31" s="607"/>
      <c r="K31" s="617"/>
      <c r="L31" s="617"/>
      <c r="M31" s="617"/>
      <c r="N31" s="629"/>
      <c r="O31" s="629"/>
      <c r="P31" s="687"/>
      <c r="Q31" s="687">
        <f>P31*J31</f>
        <v>0</v>
      </c>
      <c r="R31" s="687"/>
      <c r="S31" s="670"/>
      <c r="T31" s="620"/>
      <c r="U31" s="647" t="s">
        <v>1068</v>
      </c>
      <c r="V31" s="687"/>
      <c r="W31" s="688">
        <f>V31*J31</f>
        <v>0</v>
      </c>
      <c r="X31" s="657"/>
      <c r="Y31" s="657">
        <f>X31*J31</f>
        <v>0</v>
      </c>
      <c r="Z31" s="679"/>
      <c r="AA31" s="623"/>
      <c r="AB31" s="670"/>
      <c r="AC31" s="679"/>
      <c r="AD31" s="670"/>
      <c r="AE31" s="670"/>
      <c r="AF31" s="621"/>
      <c r="AG31" s="625"/>
      <c r="AH31" s="626"/>
      <c r="AI31" s="626"/>
      <c r="AJ31" s="617"/>
    </row>
    <row r="32" spans="1:36" s="524" customFormat="1" ht="43.5" customHeight="1">
      <c r="A32" s="607">
        <f t="shared" si="1"/>
        <v>30</v>
      </c>
      <c r="B32" s="607"/>
      <c r="C32" s="607"/>
      <c r="D32" s="607"/>
      <c r="E32" s="607"/>
      <c r="F32" s="607"/>
      <c r="G32" s="607"/>
      <c r="H32" s="607"/>
      <c r="I32" s="607"/>
      <c r="J32" s="607"/>
      <c r="K32" s="617"/>
      <c r="L32" s="617"/>
      <c r="M32" s="617"/>
      <c r="N32" s="629"/>
      <c r="O32" s="629"/>
      <c r="P32" s="687"/>
      <c r="Q32" s="687">
        <f>P32*J32</f>
        <v>0</v>
      </c>
      <c r="R32" s="687"/>
      <c r="S32" s="670"/>
      <c r="T32" s="620"/>
      <c r="U32" s="581" t="s">
        <v>1068</v>
      </c>
      <c r="V32" s="687"/>
      <c r="W32" s="686">
        <f>V32*J32</f>
        <v>0</v>
      </c>
      <c r="X32" s="657"/>
      <c r="Y32" s="657">
        <f>X32*J32</f>
        <v>0</v>
      </c>
      <c r="Z32" s="679"/>
      <c r="AA32" s="623"/>
      <c r="AB32" s="670"/>
      <c r="AC32" s="679"/>
      <c r="AD32" s="670"/>
      <c r="AE32" s="670"/>
      <c r="AF32" s="621"/>
      <c r="AG32" s="625"/>
      <c r="AH32" s="626"/>
      <c r="AI32" s="626"/>
      <c r="AJ32" s="617"/>
    </row>
    <row r="33" spans="1:36" s="524" customFormat="1" ht="43.5" customHeight="1">
      <c r="A33" s="607">
        <f t="shared" si="1"/>
        <v>31</v>
      </c>
      <c r="B33" s="607"/>
      <c r="C33" s="607"/>
      <c r="D33" s="607"/>
      <c r="E33" s="607"/>
      <c r="F33" s="607"/>
      <c r="G33" s="607"/>
      <c r="H33" s="607"/>
      <c r="I33" s="607"/>
      <c r="J33" s="607"/>
      <c r="K33" s="617"/>
      <c r="L33" s="617"/>
      <c r="M33" s="617"/>
      <c r="N33" s="629"/>
      <c r="O33" s="629"/>
      <c r="P33" s="687"/>
      <c r="Q33" s="687">
        <f>P33*J33</f>
        <v>0</v>
      </c>
      <c r="R33" s="687"/>
      <c r="S33" s="670"/>
      <c r="T33" s="620"/>
      <c r="U33" s="581" t="s">
        <v>1068</v>
      </c>
      <c r="V33" s="687"/>
      <c r="W33" s="686">
        <f>V33*J33</f>
        <v>0</v>
      </c>
      <c r="X33" s="657"/>
      <c r="Y33" s="657">
        <f>X33*J33</f>
        <v>0</v>
      </c>
      <c r="Z33" s="679"/>
      <c r="AA33" s="623"/>
      <c r="AB33" s="670"/>
      <c r="AC33" s="679"/>
      <c r="AD33" s="670"/>
      <c r="AE33" s="670"/>
      <c r="AF33" s="621"/>
      <c r="AG33" s="625"/>
      <c r="AH33" s="626"/>
      <c r="AI33" s="626"/>
      <c r="AJ33" s="617"/>
    </row>
    <row r="34" spans="1:36" s="524" customFormat="1" ht="43.5" customHeight="1">
      <c r="A34" s="607">
        <f t="shared" si="1"/>
        <v>32</v>
      </c>
      <c r="B34" s="607"/>
      <c r="C34" s="607"/>
      <c r="D34" s="607"/>
      <c r="E34" s="607"/>
      <c r="F34" s="607"/>
      <c r="G34" s="607"/>
      <c r="H34" s="607"/>
      <c r="I34" s="607"/>
      <c r="J34" s="607"/>
      <c r="K34" s="617"/>
      <c r="L34" s="617"/>
      <c r="M34" s="617"/>
      <c r="N34" s="629"/>
      <c r="O34" s="629"/>
      <c r="P34" s="687"/>
      <c r="Q34" s="687">
        <f>P34*J34</f>
        <v>0</v>
      </c>
      <c r="R34" s="687"/>
      <c r="S34" s="670"/>
      <c r="T34" s="620"/>
      <c r="U34" s="581" t="s">
        <v>1068</v>
      </c>
      <c r="V34" s="687"/>
      <c r="W34" s="686">
        <f>V34*J34</f>
        <v>0</v>
      </c>
      <c r="X34" s="657"/>
      <c r="Y34" s="657">
        <f>X34*J34</f>
        <v>0</v>
      </c>
      <c r="Z34" s="679"/>
      <c r="AA34" s="623"/>
      <c r="AB34" s="670"/>
      <c r="AC34" s="679"/>
      <c r="AD34" s="670"/>
      <c r="AE34" s="670"/>
      <c r="AF34" s="621"/>
      <c r="AG34" s="625"/>
      <c r="AH34" s="626"/>
      <c r="AI34" s="626"/>
      <c r="AJ34" s="617"/>
    </row>
    <row r="35" spans="1:36" s="524" customFormat="1" ht="43.5" customHeight="1">
      <c r="A35" s="607">
        <f t="shared" si="1"/>
        <v>33</v>
      </c>
      <c r="B35" s="607"/>
      <c r="C35" s="607"/>
      <c r="D35" s="607"/>
      <c r="E35" s="607"/>
      <c r="F35" s="607"/>
      <c r="G35" s="607"/>
      <c r="H35" s="607"/>
      <c r="I35" s="607"/>
      <c r="J35" s="607"/>
      <c r="K35" s="617"/>
      <c r="L35" s="617"/>
      <c r="M35" s="617"/>
      <c r="N35" s="629"/>
      <c r="O35" s="629"/>
      <c r="P35" s="687"/>
      <c r="Q35" s="687">
        <f>P35*J35</f>
        <v>0</v>
      </c>
      <c r="R35" s="687"/>
      <c r="S35" s="670"/>
      <c r="T35" s="620"/>
      <c r="U35" s="581" t="s">
        <v>1068</v>
      </c>
      <c r="V35" s="687"/>
      <c r="W35" s="686">
        <f>V35*J35</f>
        <v>0</v>
      </c>
      <c r="X35" s="657"/>
      <c r="Y35" s="657">
        <f>X35*J35</f>
        <v>0</v>
      </c>
      <c r="Z35" s="679"/>
      <c r="AA35" s="623"/>
      <c r="AB35" s="670"/>
      <c r="AC35" s="679"/>
      <c r="AD35" s="670"/>
      <c r="AE35" s="670"/>
      <c r="AF35" s="621"/>
      <c r="AG35" s="625"/>
      <c r="AH35" s="626"/>
      <c r="AI35" s="626"/>
      <c r="AJ35" s="617"/>
    </row>
    <row r="36" spans="1:36" s="524" customFormat="1" ht="43.5" customHeight="1">
      <c r="A36" s="607">
        <f t="shared" si="1"/>
        <v>34</v>
      </c>
      <c r="B36" s="607"/>
      <c r="C36" s="607"/>
      <c r="D36" s="607"/>
      <c r="E36" s="607"/>
      <c r="F36" s="607"/>
      <c r="G36" s="607"/>
      <c r="H36" s="607"/>
      <c r="I36" s="607"/>
      <c r="J36" s="607"/>
      <c r="K36" s="617"/>
      <c r="L36" s="617"/>
      <c r="M36" s="617"/>
      <c r="N36" s="629"/>
      <c r="O36" s="629"/>
      <c r="P36" s="687"/>
      <c r="Q36" s="687">
        <f>P36*J36</f>
        <v>0</v>
      </c>
      <c r="R36" s="687"/>
      <c r="S36" s="670"/>
      <c r="T36" s="620"/>
      <c r="U36" s="581" t="s">
        <v>1068</v>
      </c>
      <c r="V36" s="687"/>
      <c r="W36" s="686">
        <f>V36*J36</f>
        <v>0</v>
      </c>
      <c r="X36" s="657"/>
      <c r="Y36" s="657">
        <f>X36*J36</f>
        <v>0</v>
      </c>
      <c r="Z36" s="679"/>
      <c r="AA36" s="623"/>
      <c r="AB36" s="670"/>
      <c r="AC36" s="679"/>
      <c r="AD36" s="670"/>
      <c r="AE36" s="670"/>
      <c r="AF36" s="621"/>
      <c r="AG36" s="625"/>
      <c r="AH36" s="626"/>
      <c r="AI36" s="626"/>
      <c r="AJ36" s="617"/>
    </row>
    <row r="37" spans="1:36" s="524" customFormat="1" ht="43.5" customHeight="1">
      <c r="A37" s="607">
        <f t="shared" si="1"/>
        <v>35</v>
      </c>
      <c r="B37" s="607"/>
      <c r="C37" s="607"/>
      <c r="D37" s="607"/>
      <c r="E37" s="607"/>
      <c r="F37" s="607"/>
      <c r="G37" s="607"/>
      <c r="H37" s="607"/>
      <c r="I37" s="607"/>
      <c r="J37" s="607"/>
      <c r="K37" s="617"/>
      <c r="L37" s="617"/>
      <c r="M37" s="617"/>
      <c r="N37" s="629"/>
      <c r="O37" s="629"/>
      <c r="P37" s="687"/>
      <c r="Q37" s="687">
        <f>P37*J37</f>
        <v>0</v>
      </c>
      <c r="R37" s="687"/>
      <c r="S37" s="670"/>
      <c r="T37" s="620"/>
      <c r="U37" s="581" t="s">
        <v>1068</v>
      </c>
      <c r="V37" s="687"/>
      <c r="W37" s="686">
        <f>V37*J37</f>
        <v>0</v>
      </c>
      <c r="X37" s="657"/>
      <c r="Y37" s="657">
        <f>X37*J37</f>
        <v>0</v>
      </c>
      <c r="Z37" s="679"/>
      <c r="AA37" s="623"/>
      <c r="AB37" s="670"/>
      <c r="AC37" s="679"/>
      <c r="AD37" s="670"/>
      <c r="AE37" s="670"/>
      <c r="AF37" s="621"/>
      <c r="AG37" s="625"/>
      <c r="AH37" s="626"/>
      <c r="AI37" s="626"/>
      <c r="AJ37" s="617"/>
    </row>
    <row r="38" spans="1:36" s="524" customFormat="1" ht="43.5" customHeight="1">
      <c r="A38" s="607">
        <f t="shared" si="1"/>
        <v>36</v>
      </c>
      <c r="B38" s="525"/>
      <c r="C38" s="525"/>
      <c r="D38" s="607"/>
      <c r="E38" s="525"/>
      <c r="F38" s="525"/>
      <c r="G38" s="525"/>
      <c r="H38" s="525"/>
      <c r="I38" s="525"/>
      <c r="J38" s="525"/>
      <c r="K38" s="527"/>
      <c r="L38" s="527"/>
      <c r="M38" s="617"/>
      <c r="N38" s="536"/>
      <c r="O38" s="629"/>
      <c r="P38" s="685"/>
      <c r="Q38" s="687">
        <f>P38*J38</f>
        <v>0</v>
      </c>
      <c r="R38" s="687"/>
      <c r="S38" s="669"/>
      <c r="T38" s="542"/>
      <c r="U38" s="581" t="s">
        <v>1068</v>
      </c>
      <c r="V38" s="685"/>
      <c r="W38" s="686">
        <f>V38*J38</f>
        <v>0</v>
      </c>
      <c r="X38" s="657"/>
      <c r="Y38" s="657">
        <f>X38*J38</f>
        <v>0</v>
      </c>
      <c r="Z38" s="678"/>
      <c r="AA38" s="530"/>
      <c r="AB38" s="669"/>
      <c r="AC38" s="678"/>
      <c r="AD38" s="669"/>
      <c r="AE38" s="670"/>
      <c r="AF38" s="529"/>
      <c r="AG38" s="532"/>
      <c r="AH38" s="544"/>
      <c r="AI38" s="544"/>
      <c r="AJ38" s="527"/>
    </row>
    <row r="39" spans="1:36" s="524" customFormat="1" ht="43.5" customHeight="1">
      <c r="A39" s="607">
        <f t="shared" si="1"/>
        <v>37</v>
      </c>
      <c r="B39" s="525"/>
      <c r="C39" s="525"/>
      <c r="D39" s="607"/>
      <c r="E39" s="525"/>
      <c r="F39" s="525"/>
      <c r="G39" s="525"/>
      <c r="H39" s="525"/>
      <c r="I39" s="525"/>
      <c r="J39" s="525"/>
      <c r="K39" s="527"/>
      <c r="L39" s="527"/>
      <c r="M39" s="617"/>
      <c r="N39" s="536"/>
      <c r="O39" s="629"/>
      <c r="P39" s="685"/>
      <c r="Q39" s="687">
        <f>P39*J39</f>
        <v>0</v>
      </c>
      <c r="R39" s="687"/>
      <c r="S39" s="669"/>
      <c r="T39" s="542"/>
      <c r="U39" s="581" t="s">
        <v>1068</v>
      </c>
      <c r="V39" s="685"/>
      <c r="W39" s="686">
        <f>V39*J39</f>
        <v>0</v>
      </c>
      <c r="X39" s="657"/>
      <c r="Y39" s="657">
        <f>X39*J39</f>
        <v>0</v>
      </c>
      <c r="Z39" s="678"/>
      <c r="AA39" s="530"/>
      <c r="AB39" s="669"/>
      <c r="AC39" s="678"/>
      <c r="AD39" s="669"/>
      <c r="AE39" s="670"/>
      <c r="AF39" s="529"/>
      <c r="AG39" s="532"/>
      <c r="AH39" s="544"/>
      <c r="AI39" s="544"/>
      <c r="AJ39" s="527"/>
    </row>
    <row r="40" spans="1:36" s="548" customFormat="1" ht="43.5" customHeight="1">
      <c r="A40" s="607">
        <f t="shared" si="1"/>
        <v>38</v>
      </c>
      <c r="B40" s="525"/>
      <c r="C40" s="525"/>
      <c r="D40" s="607"/>
      <c r="E40" s="525"/>
      <c r="F40" s="525"/>
      <c r="G40" s="525"/>
      <c r="H40" s="525"/>
      <c r="I40" s="525"/>
      <c r="J40" s="525"/>
      <c r="K40" s="525"/>
      <c r="L40" s="525"/>
      <c r="M40" s="607"/>
      <c r="N40" s="536"/>
      <c r="O40" s="629"/>
      <c r="P40" s="689"/>
      <c r="Q40" s="687">
        <f>P40*J40</f>
        <v>0</v>
      </c>
      <c r="R40" s="687"/>
      <c r="S40" s="674"/>
      <c r="T40" s="530"/>
      <c r="U40" s="581" t="s">
        <v>1068</v>
      </c>
      <c r="V40" s="689"/>
      <c r="W40" s="686">
        <f>V40*J40</f>
        <v>0</v>
      </c>
      <c r="X40" s="657"/>
      <c r="Y40" s="657">
        <f>X40*J40</f>
        <v>0</v>
      </c>
      <c r="Z40" s="681"/>
      <c r="AA40" s="530"/>
      <c r="AB40" s="674"/>
      <c r="AC40" s="681"/>
      <c r="AD40" s="674"/>
      <c r="AE40" s="673"/>
      <c r="AF40" s="534"/>
      <c r="AG40" s="547"/>
      <c r="AH40" s="537"/>
      <c r="AI40" s="537"/>
      <c r="AJ40" s="555"/>
    </row>
    <row r="41" spans="1:36" s="524" customFormat="1" ht="43.5" customHeight="1">
      <c r="A41" s="607">
        <f t="shared" si="1"/>
        <v>39</v>
      </c>
      <c r="B41" s="525"/>
      <c r="C41" s="525"/>
      <c r="D41" s="607"/>
      <c r="E41" s="525"/>
      <c r="F41" s="525"/>
      <c r="G41" s="525"/>
      <c r="H41" s="525"/>
      <c r="I41" s="525"/>
      <c r="J41" s="525"/>
      <c r="K41" s="527"/>
      <c r="L41" s="527"/>
      <c r="M41" s="617"/>
      <c r="N41" s="536"/>
      <c r="O41" s="629"/>
      <c r="P41" s="685"/>
      <c r="Q41" s="687">
        <f>P41*J41</f>
        <v>0</v>
      </c>
      <c r="R41" s="687"/>
      <c r="S41" s="669"/>
      <c r="T41" s="542"/>
      <c r="U41" s="581" t="s">
        <v>1068</v>
      </c>
      <c r="V41" s="685"/>
      <c r="W41" s="686">
        <f>V41*J41</f>
        <v>0</v>
      </c>
      <c r="X41" s="657"/>
      <c r="Y41" s="657">
        <f>X41*J41</f>
        <v>0</v>
      </c>
      <c r="Z41" s="678"/>
      <c r="AA41" s="530"/>
      <c r="AB41" s="669"/>
      <c r="AC41" s="678"/>
      <c r="AD41" s="669"/>
      <c r="AE41" s="670"/>
      <c r="AF41" s="529"/>
      <c r="AG41" s="532"/>
      <c r="AH41" s="544"/>
      <c r="AI41" s="544"/>
      <c r="AJ41" s="527"/>
    </row>
  </sheetData>
  <autoFilter ref="A2:AJ41" xr:uid="{920C335E-2017-47EF-9178-555958457894}"/>
  <phoneticPr fontId="3" type="noConversion"/>
  <conditionalFormatting sqref="A1:A5 A7:A1048576">
    <cfRule type="duplicateValues" dxfId="85" priority="25"/>
  </conditionalFormatting>
  <conditionalFormatting sqref="A6">
    <cfRule type="duplicateValues" dxfId="84" priority="6"/>
  </conditionalFormatting>
  <conditionalFormatting sqref="H2">
    <cfRule type="duplicateValues" dxfId="83" priority="2730"/>
  </conditionalFormatting>
  <conditionalFormatting sqref="H6:H9">
    <cfRule type="duplicateValues" dxfId="82" priority="7"/>
  </conditionalFormatting>
  <conditionalFormatting sqref="S18:S23 H3:H5 H10:H41">
    <cfRule type="duplicateValues" dxfId="81" priority="2723"/>
  </conditionalFormatting>
  <conditionalFormatting sqref="AB18:AB23">
    <cfRule type="duplicateValues" dxfId="80" priority="1"/>
  </conditionalFormatting>
  <conditionalFormatting sqref="AD18:AE23">
    <cfRule type="duplicateValues" dxfId="79" priority="4"/>
  </conditionalFormatting>
  <pageMargins left="0.7" right="0.7" top="0.75" bottom="0.75" header="0.3" footer="0.3"/>
  <pageSetup paperSize="1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9886E-16E1-4B57-82BD-4582640C8F00}">
  <sheetPr>
    <tabColor theme="9" tint="0.59999389629810485"/>
    <pageSetUpPr fitToPage="1"/>
  </sheetPr>
  <dimension ref="A1:AK49"/>
  <sheetViews>
    <sheetView showGridLines="0" zoomScale="70" zoomScaleNormal="70" workbookViewId="0">
      <pane ySplit="2" topLeftCell="A3" activePane="bottomLeft" state="frozen"/>
      <selection activeCell="E1" sqref="E1"/>
      <selection pane="bottomLeft" activeCell="R3" sqref="A3:R3"/>
    </sheetView>
  </sheetViews>
  <sheetFormatPr defaultColWidth="8.85546875" defaultRowHeight="17.25"/>
  <cols>
    <col min="1" max="1" width="9.140625" style="549" bestFit="1" customWidth="1"/>
    <col min="2" max="2" width="15.85546875" style="549" bestFit="1" customWidth="1"/>
    <col min="3" max="3" width="23.42578125" style="549" customWidth="1"/>
    <col min="4" max="4" width="12.85546875" style="549" bestFit="1" customWidth="1"/>
    <col min="5" max="5" width="10.85546875" style="549" customWidth="1"/>
    <col min="6" max="6" width="12.42578125" style="549" customWidth="1"/>
    <col min="7" max="7" width="15.28515625" style="549" bestFit="1" customWidth="1"/>
    <col min="8" max="8" width="35.140625" style="549" customWidth="1"/>
    <col min="9" max="9" width="35.140625" style="550" customWidth="1"/>
    <col min="10" max="10" width="35.140625" style="549" customWidth="1"/>
    <col min="11" max="11" width="14.140625" style="549" customWidth="1"/>
    <col min="12" max="12" width="12.42578125" style="549" customWidth="1"/>
    <col min="13" max="13" width="10" style="551" customWidth="1"/>
    <col min="14" max="15" width="12.42578125" style="549" customWidth="1"/>
    <col min="16" max="16" width="13.42578125" style="558" customWidth="1"/>
    <col min="17" max="17" width="19.42578125" style="549" customWidth="1"/>
    <col min="18" max="18" width="19.85546875" style="549" customWidth="1"/>
    <col min="19" max="19" width="13.42578125" style="541" customWidth="1"/>
    <col min="20" max="20" width="36" style="580" bestFit="1" customWidth="1"/>
    <col min="21" max="21" width="17" style="550" customWidth="1"/>
    <col min="22" max="22" width="19.42578125" style="554" bestFit="1" customWidth="1"/>
    <col min="23" max="23" width="19.42578125" style="658" customWidth="1"/>
    <col min="24" max="24" width="19.42578125" style="554" customWidth="1"/>
    <col min="25" max="25" width="18.42578125" style="552" customWidth="1"/>
    <col min="26" max="26" width="14.42578125" style="549" customWidth="1"/>
    <col min="27" max="27" width="13.42578125" style="549" bestFit="1" customWidth="1"/>
    <col min="28" max="28" width="18.42578125" style="550" customWidth="1"/>
    <col min="29" max="29" width="29.42578125" style="541" customWidth="1"/>
    <col min="30" max="30" width="16.42578125" style="541" customWidth="1"/>
    <col min="31" max="31" width="32.42578125" style="549" customWidth="1"/>
    <col min="32" max="32" width="25.42578125" style="549" bestFit="1" customWidth="1"/>
    <col min="33" max="33" width="20.42578125" style="549" customWidth="1"/>
    <col min="34" max="34" width="11.42578125" style="549" bestFit="1" customWidth="1"/>
    <col min="35" max="35" width="24.7109375" style="553" bestFit="1" customWidth="1"/>
    <col min="36" max="36" width="16.140625" style="553" customWidth="1"/>
    <col min="37" max="37" width="25" style="541" customWidth="1"/>
    <col min="38" max="16384" width="8.85546875" style="545"/>
  </cols>
  <sheetData>
    <row r="1" spans="1:37">
      <c r="R1" s="651">
        <f>SUBTOTAL(9, R3:R38)</f>
        <v>33000</v>
      </c>
      <c r="V1" s="650">
        <f>SUBTOTAL(9, V3:V38)</f>
        <v>0</v>
      </c>
      <c r="X1" s="650">
        <f>SUBTOTAL(9, X3:X38)</f>
        <v>0</v>
      </c>
    </row>
    <row r="2" spans="1:37" s="556" customFormat="1" ht="43.5" customHeight="1">
      <c r="A2" s="539" t="s">
        <v>0</v>
      </c>
      <c r="B2" s="539" t="s">
        <v>1139</v>
      </c>
      <c r="C2" s="540" t="s">
        <v>1055</v>
      </c>
      <c r="D2" s="540" t="s">
        <v>70</v>
      </c>
      <c r="E2" s="539" t="s">
        <v>67</v>
      </c>
      <c r="F2" s="539" t="s">
        <v>9</v>
      </c>
      <c r="G2" s="539" t="s">
        <v>1140</v>
      </c>
      <c r="H2" s="539" t="s">
        <v>8</v>
      </c>
      <c r="I2" s="539" t="s">
        <v>2</v>
      </c>
      <c r="J2" s="539" t="s">
        <v>3</v>
      </c>
      <c r="K2" s="539" t="s">
        <v>250</v>
      </c>
      <c r="L2" s="539" t="s">
        <v>10</v>
      </c>
      <c r="M2" s="540" t="s">
        <v>1059</v>
      </c>
      <c r="N2" s="539" t="s">
        <v>841</v>
      </c>
      <c r="O2" s="616" t="s">
        <v>1089</v>
      </c>
      <c r="P2" s="608" t="s">
        <v>1060</v>
      </c>
      <c r="Q2" s="539" t="s">
        <v>1084</v>
      </c>
      <c r="R2" s="539" t="s">
        <v>1085</v>
      </c>
      <c r="S2" s="609" t="s">
        <v>1061</v>
      </c>
      <c r="T2" s="610" t="s">
        <v>23</v>
      </c>
      <c r="U2" s="540" t="s">
        <v>1086</v>
      </c>
      <c r="V2" s="540" t="s">
        <v>1087</v>
      </c>
      <c r="W2" s="659" t="s">
        <v>1145</v>
      </c>
      <c r="X2" s="540" t="s">
        <v>1146</v>
      </c>
      <c r="Y2" s="612" t="s">
        <v>1062</v>
      </c>
      <c r="Z2" s="610" t="s">
        <v>1053</v>
      </c>
      <c r="AA2" s="610" t="s">
        <v>36</v>
      </c>
      <c r="AB2" s="610" t="s">
        <v>1058</v>
      </c>
      <c r="AC2" s="610" t="s">
        <v>1032</v>
      </c>
      <c r="AD2" s="615" t="s">
        <v>32</v>
      </c>
      <c r="AE2" s="611" t="s">
        <v>1056</v>
      </c>
      <c r="AF2" s="611" t="s">
        <v>1054</v>
      </c>
      <c r="AG2" s="611" t="s">
        <v>1057</v>
      </c>
      <c r="AH2" s="613" t="s">
        <v>24</v>
      </c>
      <c r="AI2" s="614" t="s">
        <v>1088</v>
      </c>
      <c r="AJ2" s="614" t="s">
        <v>667</v>
      </c>
      <c r="AK2" s="615" t="s">
        <v>1033</v>
      </c>
    </row>
    <row r="3" spans="1:37" s="524" customFormat="1" ht="43.5" customHeight="1">
      <c r="A3" s="607">
        <v>1</v>
      </c>
      <c r="B3" s="607">
        <v>4</v>
      </c>
      <c r="C3" s="607" t="s">
        <v>1156</v>
      </c>
      <c r="D3" s="607">
        <v>1</v>
      </c>
      <c r="E3" s="607" t="s">
        <v>1148</v>
      </c>
      <c r="G3" s="607" t="s">
        <v>82</v>
      </c>
      <c r="H3" s="607" t="s">
        <v>1150</v>
      </c>
      <c r="I3" s="607" t="s">
        <v>1154</v>
      </c>
      <c r="J3" s="607" t="s">
        <v>198</v>
      </c>
      <c r="K3" s="607">
        <v>1</v>
      </c>
      <c r="L3" s="617" t="s">
        <v>125</v>
      </c>
      <c r="M3" s="617"/>
      <c r="N3" s="617"/>
      <c r="O3" s="617" t="s">
        <v>1155</v>
      </c>
      <c r="P3" s="629"/>
      <c r="Q3" s="619">
        <v>33000</v>
      </c>
      <c r="R3" s="619">
        <f t="shared" ref="R3:R38" si="0">Q3*K3</f>
        <v>33000</v>
      </c>
      <c r="S3" s="646"/>
      <c r="T3" s="660" t="s">
        <v>1157</v>
      </c>
      <c r="U3" s="628">
        <v>0</v>
      </c>
      <c r="V3" s="626">
        <f t="shared" ref="V3:V38" si="1">U3*K3</f>
        <v>0</v>
      </c>
      <c r="W3" s="657"/>
      <c r="X3" s="657">
        <f t="shared" ref="X3:X38" si="2">W3*K3</f>
        <v>0</v>
      </c>
      <c r="Y3" s="620"/>
      <c r="Z3" s="617"/>
      <c r="AA3" s="622"/>
      <c r="AB3" s="607"/>
      <c r="AC3" s="617"/>
      <c r="AD3" s="623"/>
      <c r="AE3" s="607"/>
      <c r="AF3" s="617"/>
      <c r="AG3" s="624"/>
      <c r="AH3" s="625"/>
      <c r="AI3" s="626"/>
      <c r="AJ3" s="626"/>
      <c r="AK3" s="617"/>
    </row>
    <row r="4" spans="1:37" s="524" customFormat="1" ht="43.5" customHeight="1">
      <c r="A4" s="607">
        <f t="shared" ref="A4:A38" si="3">A3+1</f>
        <v>2</v>
      </c>
      <c r="B4" s="607"/>
      <c r="C4" s="607"/>
      <c r="D4" s="607"/>
      <c r="E4" s="607"/>
      <c r="F4" s="607"/>
      <c r="G4" s="607"/>
      <c r="H4" s="607"/>
      <c r="I4" s="607"/>
      <c r="J4" s="607"/>
      <c r="K4" s="607"/>
      <c r="L4" s="617"/>
      <c r="M4" s="617"/>
      <c r="N4" s="617"/>
      <c r="O4" s="617"/>
      <c r="P4" s="629"/>
      <c r="Q4" s="619"/>
      <c r="R4" s="619">
        <f t="shared" si="0"/>
        <v>0</v>
      </c>
      <c r="S4" s="646"/>
      <c r="T4" s="581" t="s">
        <v>1068</v>
      </c>
      <c r="U4" s="628"/>
      <c r="V4" s="626">
        <f t="shared" si="1"/>
        <v>0</v>
      </c>
      <c r="W4" s="657"/>
      <c r="X4" s="657">
        <f t="shared" si="2"/>
        <v>0</v>
      </c>
      <c r="Y4" s="620"/>
      <c r="Z4" s="617"/>
      <c r="AA4" s="622"/>
      <c r="AB4" s="607"/>
      <c r="AC4" s="607"/>
      <c r="AD4" s="623"/>
      <c r="AE4" s="607"/>
      <c r="AF4" s="617"/>
      <c r="AG4" s="624"/>
      <c r="AH4" s="625"/>
      <c r="AI4" s="626"/>
      <c r="AJ4" s="626"/>
      <c r="AK4" s="617"/>
    </row>
    <row r="5" spans="1:37" s="524" customFormat="1" ht="43.5" customHeight="1">
      <c r="A5" s="607">
        <f t="shared" si="3"/>
        <v>3</v>
      </c>
      <c r="B5" s="607"/>
      <c r="C5" s="607"/>
      <c r="D5" s="607"/>
      <c r="E5" s="607"/>
      <c r="F5" s="607"/>
      <c r="G5" s="607"/>
      <c r="H5" s="607"/>
      <c r="I5" s="607"/>
      <c r="J5" s="607"/>
      <c r="K5" s="607"/>
      <c r="L5" s="617"/>
      <c r="M5" s="617"/>
      <c r="N5" s="617"/>
      <c r="O5" s="617"/>
      <c r="P5" s="629"/>
      <c r="Q5" s="619"/>
      <c r="R5" s="619">
        <f t="shared" si="0"/>
        <v>0</v>
      </c>
      <c r="S5" s="646"/>
      <c r="T5" s="581" t="s">
        <v>1068</v>
      </c>
      <c r="U5" s="628"/>
      <c r="V5" s="626">
        <f t="shared" si="1"/>
        <v>0</v>
      </c>
      <c r="W5" s="657"/>
      <c r="X5" s="657">
        <f t="shared" si="2"/>
        <v>0</v>
      </c>
      <c r="Y5" s="620"/>
      <c r="Z5" s="617"/>
      <c r="AA5" s="622"/>
      <c r="AB5" s="607"/>
      <c r="AC5" s="617"/>
      <c r="AD5" s="623"/>
      <c r="AE5" s="607"/>
      <c r="AF5" s="617"/>
      <c r="AG5" s="624"/>
      <c r="AH5" s="625"/>
      <c r="AI5" s="626"/>
      <c r="AJ5" s="626"/>
      <c r="AK5" s="617"/>
    </row>
    <row r="6" spans="1:37" s="524" customFormat="1" ht="43.5" customHeight="1">
      <c r="A6" s="607">
        <f t="shared" si="3"/>
        <v>4</v>
      </c>
      <c r="B6" s="607"/>
      <c r="C6" s="607"/>
      <c r="D6" s="607"/>
      <c r="E6" s="607"/>
      <c r="F6" s="607"/>
      <c r="G6" s="607"/>
      <c r="H6" s="607"/>
      <c r="I6" s="607"/>
      <c r="J6" s="607"/>
      <c r="K6" s="607"/>
      <c r="L6" s="617"/>
      <c r="M6" s="617"/>
      <c r="N6" s="617"/>
      <c r="O6" s="617"/>
      <c r="P6" s="629"/>
      <c r="Q6" s="619"/>
      <c r="R6" s="619">
        <f t="shared" si="0"/>
        <v>0</v>
      </c>
      <c r="S6" s="620"/>
      <c r="T6" s="581" t="s">
        <v>1068</v>
      </c>
      <c r="U6" s="628"/>
      <c r="V6" s="626">
        <f t="shared" si="1"/>
        <v>0</v>
      </c>
      <c r="W6" s="657"/>
      <c r="X6" s="657">
        <f t="shared" si="2"/>
        <v>0</v>
      </c>
      <c r="Y6" s="621"/>
      <c r="Z6" s="617"/>
      <c r="AA6" s="622"/>
      <c r="AB6" s="607"/>
      <c r="AC6" s="617"/>
      <c r="AD6" s="623"/>
      <c r="AE6" s="607"/>
      <c r="AF6" s="617"/>
      <c r="AG6" s="624"/>
      <c r="AH6" s="625"/>
      <c r="AI6" s="626"/>
      <c r="AJ6" s="626"/>
      <c r="AK6" s="617"/>
    </row>
    <row r="7" spans="1:37" s="524" customFormat="1" ht="43.5" customHeight="1">
      <c r="A7" s="607">
        <f t="shared" si="3"/>
        <v>5</v>
      </c>
      <c r="B7" s="607"/>
      <c r="C7" s="607"/>
      <c r="D7" s="607"/>
      <c r="E7" s="607"/>
      <c r="F7" s="607"/>
      <c r="G7" s="607"/>
      <c r="H7" s="622"/>
      <c r="I7" s="607"/>
      <c r="J7" s="607"/>
      <c r="K7" s="607"/>
      <c r="L7" s="617"/>
      <c r="M7" s="617"/>
      <c r="N7" s="617"/>
      <c r="O7" s="644"/>
      <c r="P7" s="630"/>
      <c r="Q7" s="642"/>
      <c r="R7" s="619">
        <f t="shared" si="0"/>
        <v>0</v>
      </c>
      <c r="S7" s="620"/>
      <c r="T7" s="581" t="s">
        <v>1068</v>
      </c>
      <c r="U7" s="628"/>
      <c r="V7" s="626">
        <f t="shared" si="1"/>
        <v>0</v>
      </c>
      <c r="W7" s="657"/>
      <c r="X7" s="657">
        <f t="shared" si="2"/>
        <v>0</v>
      </c>
      <c r="Y7" s="621"/>
      <c r="Z7" s="617"/>
      <c r="AA7" s="622"/>
      <c r="AB7" s="607"/>
      <c r="AC7" s="607"/>
      <c r="AD7" s="623"/>
      <c r="AE7" s="607"/>
      <c r="AF7" s="617"/>
      <c r="AG7" s="624"/>
      <c r="AH7" s="625"/>
      <c r="AI7" s="626"/>
      <c r="AJ7" s="626"/>
      <c r="AK7" s="617"/>
    </row>
    <row r="8" spans="1:37" s="524" customFormat="1" ht="43.5" customHeight="1">
      <c r="A8" s="607">
        <f t="shared" si="3"/>
        <v>6</v>
      </c>
      <c r="B8" s="607"/>
      <c r="C8" s="607"/>
      <c r="D8" s="607"/>
      <c r="E8" s="607"/>
      <c r="F8" s="607"/>
      <c r="G8" s="607"/>
      <c r="H8" s="607"/>
      <c r="I8" s="607"/>
      <c r="J8" s="607"/>
      <c r="K8" s="607"/>
      <c r="L8" s="617"/>
      <c r="M8" s="617"/>
      <c r="N8" s="617"/>
      <c r="O8" s="617"/>
      <c r="P8" s="629"/>
      <c r="Q8" s="619"/>
      <c r="R8" s="619">
        <f t="shared" si="0"/>
        <v>0</v>
      </c>
      <c r="S8" s="620"/>
      <c r="T8" s="581" t="s">
        <v>1068</v>
      </c>
      <c r="U8" s="628"/>
      <c r="V8" s="626">
        <f t="shared" si="1"/>
        <v>0</v>
      </c>
      <c r="W8" s="657"/>
      <c r="X8" s="657">
        <f t="shared" si="2"/>
        <v>0</v>
      </c>
      <c r="Y8" s="621"/>
      <c r="Z8" s="617"/>
      <c r="AA8" s="622"/>
      <c r="AB8" s="607"/>
      <c r="AC8" s="629"/>
      <c r="AD8" s="623"/>
      <c r="AE8" s="607"/>
      <c r="AF8" s="617"/>
      <c r="AG8" s="624"/>
      <c r="AH8" s="625"/>
      <c r="AI8" s="626"/>
      <c r="AJ8" s="626"/>
      <c r="AK8" s="617"/>
    </row>
    <row r="9" spans="1:37" s="524" customFormat="1" ht="43.5" customHeight="1">
      <c r="A9" s="607">
        <f t="shared" si="3"/>
        <v>7</v>
      </c>
      <c r="B9" s="607"/>
      <c r="C9" s="607"/>
      <c r="D9" s="607"/>
      <c r="E9" s="607"/>
      <c r="F9" s="607"/>
      <c r="G9" s="607"/>
      <c r="H9" s="607"/>
      <c r="I9" s="607"/>
      <c r="J9" s="607"/>
      <c r="K9" s="607"/>
      <c r="L9" s="617"/>
      <c r="M9" s="617"/>
      <c r="N9" s="617"/>
      <c r="O9" s="617"/>
      <c r="P9" s="629"/>
      <c r="Q9" s="619"/>
      <c r="R9" s="619">
        <f t="shared" si="0"/>
        <v>0</v>
      </c>
      <c r="S9" s="620"/>
      <c r="T9" s="581" t="s">
        <v>1068</v>
      </c>
      <c r="U9" s="628"/>
      <c r="V9" s="626">
        <f t="shared" si="1"/>
        <v>0</v>
      </c>
      <c r="W9" s="657"/>
      <c r="X9" s="657">
        <f t="shared" si="2"/>
        <v>0</v>
      </c>
      <c r="Y9" s="621"/>
      <c r="Z9" s="617"/>
      <c r="AA9" s="622"/>
      <c r="AB9" s="607"/>
      <c r="AC9" s="629"/>
      <c r="AD9" s="623"/>
      <c r="AE9" s="607"/>
      <c r="AF9" s="617"/>
      <c r="AG9" s="624"/>
      <c r="AH9" s="625"/>
      <c r="AI9" s="645"/>
      <c r="AJ9" s="626"/>
      <c r="AK9" s="617"/>
    </row>
    <row r="10" spans="1:37" s="524" customFormat="1" ht="43.5" customHeight="1">
      <c r="A10" s="607">
        <f t="shared" si="3"/>
        <v>8</v>
      </c>
      <c r="B10" s="607"/>
      <c r="C10" s="607"/>
      <c r="D10" s="607"/>
      <c r="E10" s="607"/>
      <c r="F10" s="607"/>
      <c r="G10" s="607"/>
      <c r="H10" s="622"/>
      <c r="I10" s="622"/>
      <c r="J10" s="622"/>
      <c r="K10" s="622"/>
      <c r="L10" s="644"/>
      <c r="M10" s="644"/>
      <c r="N10" s="644"/>
      <c r="O10" s="644"/>
      <c r="P10" s="630"/>
      <c r="Q10" s="649"/>
      <c r="R10" s="619">
        <f t="shared" si="0"/>
        <v>0</v>
      </c>
      <c r="S10" s="620"/>
      <c r="T10" s="581" t="s">
        <v>1068</v>
      </c>
      <c r="U10" s="628"/>
      <c r="V10" s="626">
        <f t="shared" si="1"/>
        <v>0</v>
      </c>
      <c r="W10" s="657"/>
      <c r="X10" s="657">
        <f t="shared" si="2"/>
        <v>0</v>
      </c>
      <c r="Y10" s="621"/>
      <c r="Z10" s="617"/>
      <c r="AA10" s="622"/>
      <c r="AB10" s="607"/>
      <c r="AC10" s="607"/>
      <c r="AD10" s="623"/>
      <c r="AE10" s="607"/>
      <c r="AF10" s="617"/>
      <c r="AG10" s="624"/>
      <c r="AH10" s="625"/>
      <c r="AI10" s="626"/>
      <c r="AJ10" s="626"/>
      <c r="AK10" s="617"/>
    </row>
    <row r="11" spans="1:37" s="524" customFormat="1" ht="43.5" customHeight="1">
      <c r="A11" s="607">
        <f t="shared" si="3"/>
        <v>9</v>
      </c>
      <c r="B11" s="607"/>
      <c r="C11" s="607"/>
      <c r="D11" s="629"/>
      <c r="E11" s="607"/>
      <c r="F11" s="607"/>
      <c r="G11" s="607"/>
      <c r="H11" s="622"/>
      <c r="I11" s="622"/>
      <c r="J11" s="622"/>
      <c r="K11" s="622"/>
      <c r="L11" s="644"/>
      <c r="M11" s="644"/>
      <c r="N11" s="644"/>
      <c r="O11" s="644"/>
      <c r="P11" s="630"/>
      <c r="Q11" s="642"/>
      <c r="R11" s="619">
        <f t="shared" si="0"/>
        <v>0</v>
      </c>
      <c r="S11" s="620"/>
      <c r="T11" s="581" t="s">
        <v>1068</v>
      </c>
      <c r="U11" s="628"/>
      <c r="V11" s="626">
        <f t="shared" si="1"/>
        <v>0</v>
      </c>
      <c r="W11" s="657"/>
      <c r="X11" s="657">
        <f t="shared" si="2"/>
        <v>0</v>
      </c>
      <c r="Y11" s="621"/>
      <c r="Z11" s="617"/>
      <c r="AA11" s="622"/>
      <c r="AB11" s="607"/>
      <c r="AC11" s="629"/>
      <c r="AD11" s="623"/>
      <c r="AE11" s="607"/>
      <c r="AF11" s="617"/>
      <c r="AG11" s="624"/>
      <c r="AH11" s="625"/>
      <c r="AI11" s="626"/>
      <c r="AJ11" s="626"/>
      <c r="AK11" s="617"/>
    </row>
    <row r="12" spans="1:37" s="524" customFormat="1" ht="43.5" customHeight="1">
      <c r="A12" s="607">
        <f t="shared" si="3"/>
        <v>10</v>
      </c>
      <c r="B12" s="607"/>
      <c r="C12" s="607"/>
      <c r="D12" s="607"/>
      <c r="E12" s="607"/>
      <c r="F12" s="607"/>
      <c r="G12" s="607"/>
      <c r="H12" s="622"/>
      <c r="I12" s="622"/>
      <c r="J12" s="622"/>
      <c r="K12" s="622"/>
      <c r="L12" s="644"/>
      <c r="M12" s="644"/>
      <c r="N12" s="644"/>
      <c r="O12" s="644"/>
      <c r="P12" s="630"/>
      <c r="Q12" s="642"/>
      <c r="R12" s="619">
        <f t="shared" si="0"/>
        <v>0</v>
      </c>
      <c r="S12" s="620"/>
      <c r="T12" s="581" t="s">
        <v>1068</v>
      </c>
      <c r="U12" s="628"/>
      <c r="V12" s="626">
        <f t="shared" si="1"/>
        <v>0</v>
      </c>
      <c r="W12" s="657"/>
      <c r="X12" s="657">
        <f t="shared" si="2"/>
        <v>0</v>
      </c>
      <c r="Y12" s="621"/>
      <c r="Z12" s="617"/>
      <c r="AA12" s="622"/>
      <c r="AB12" s="607"/>
      <c r="AC12" s="629"/>
      <c r="AD12" s="623"/>
      <c r="AE12" s="607"/>
      <c r="AF12" s="617"/>
      <c r="AG12" s="624"/>
      <c r="AH12" s="625"/>
      <c r="AI12" s="626"/>
      <c r="AJ12" s="626"/>
      <c r="AK12" s="617"/>
    </row>
    <row r="13" spans="1:37" s="524" customFormat="1" ht="43.5" customHeight="1">
      <c r="A13" s="607">
        <f t="shared" si="3"/>
        <v>11</v>
      </c>
      <c r="B13" s="607"/>
      <c r="C13" s="607"/>
      <c r="D13" s="607"/>
      <c r="E13" s="607"/>
      <c r="F13" s="607"/>
      <c r="G13" s="607"/>
      <c r="H13" s="622"/>
      <c r="I13" s="622"/>
      <c r="J13" s="622"/>
      <c r="K13" s="622"/>
      <c r="L13" s="644"/>
      <c r="M13" s="644"/>
      <c r="N13" s="644"/>
      <c r="O13" s="644"/>
      <c r="P13" s="630"/>
      <c r="Q13" s="642"/>
      <c r="R13" s="619">
        <f t="shared" si="0"/>
        <v>0</v>
      </c>
      <c r="S13" s="620"/>
      <c r="T13" s="581" t="s">
        <v>1068</v>
      </c>
      <c r="U13" s="628"/>
      <c r="V13" s="626">
        <f t="shared" si="1"/>
        <v>0</v>
      </c>
      <c r="W13" s="657"/>
      <c r="X13" s="657">
        <f t="shared" si="2"/>
        <v>0</v>
      </c>
      <c r="Y13" s="621"/>
      <c r="Z13" s="617"/>
      <c r="AA13" s="622"/>
      <c r="AB13" s="607"/>
      <c r="AC13" s="617"/>
      <c r="AD13" s="623"/>
      <c r="AE13" s="607"/>
      <c r="AF13" s="617"/>
      <c r="AG13" s="624"/>
      <c r="AH13" s="625"/>
      <c r="AI13" s="626"/>
      <c r="AJ13" s="626"/>
      <c r="AK13" s="617"/>
    </row>
    <row r="14" spans="1:37" s="524" customFormat="1" ht="43.5" customHeight="1">
      <c r="A14" s="607">
        <f t="shared" si="3"/>
        <v>12</v>
      </c>
      <c r="B14" s="607"/>
      <c r="C14" s="607"/>
      <c r="D14" s="607"/>
      <c r="E14" s="607"/>
      <c r="F14" s="607"/>
      <c r="G14" s="607"/>
      <c r="H14" s="622"/>
      <c r="I14" s="622"/>
      <c r="J14" s="622"/>
      <c r="K14" s="622"/>
      <c r="L14" s="644"/>
      <c r="M14" s="644"/>
      <c r="N14" s="644"/>
      <c r="O14" s="622"/>
      <c r="P14" s="630"/>
      <c r="Q14" s="642"/>
      <c r="R14" s="619">
        <f t="shared" si="0"/>
        <v>0</v>
      </c>
      <c r="S14" s="620"/>
      <c r="T14" s="581" t="s">
        <v>1068</v>
      </c>
      <c r="U14" s="628"/>
      <c r="V14" s="626">
        <f t="shared" si="1"/>
        <v>0</v>
      </c>
      <c r="W14" s="657"/>
      <c r="X14" s="657">
        <f t="shared" si="2"/>
        <v>0</v>
      </c>
      <c r="Y14" s="621"/>
      <c r="Z14" s="617"/>
      <c r="AA14" s="622"/>
      <c r="AB14" s="607"/>
      <c r="AC14" s="630"/>
      <c r="AD14" s="623"/>
      <c r="AE14" s="607"/>
      <c r="AF14" s="617"/>
      <c r="AG14" s="624"/>
      <c r="AH14" s="625"/>
      <c r="AI14" s="626"/>
      <c r="AJ14" s="626"/>
      <c r="AK14" s="617"/>
    </row>
    <row r="15" spans="1:37" s="524" customFormat="1" ht="43.5" customHeight="1">
      <c r="A15" s="607">
        <f t="shared" si="3"/>
        <v>13</v>
      </c>
      <c r="B15" s="607"/>
      <c r="C15" s="607"/>
      <c r="D15" s="607"/>
      <c r="E15" s="607"/>
      <c r="F15" s="607"/>
      <c r="G15" s="607"/>
      <c r="H15" s="622"/>
      <c r="I15" s="622"/>
      <c r="J15" s="622"/>
      <c r="K15" s="622"/>
      <c r="L15" s="644"/>
      <c r="M15" s="622"/>
      <c r="N15" s="644"/>
      <c r="O15" s="644"/>
      <c r="P15" s="630"/>
      <c r="Q15" s="642"/>
      <c r="R15" s="619">
        <f t="shared" si="0"/>
        <v>0</v>
      </c>
      <c r="S15" s="620"/>
      <c r="T15" s="581" t="s">
        <v>1068</v>
      </c>
      <c r="U15" s="628"/>
      <c r="V15" s="626">
        <f t="shared" si="1"/>
        <v>0</v>
      </c>
      <c r="W15" s="657"/>
      <c r="X15" s="657">
        <f t="shared" si="2"/>
        <v>0</v>
      </c>
      <c r="Y15" s="621"/>
      <c r="Z15" s="617"/>
      <c r="AA15" s="622"/>
      <c r="AB15" s="607"/>
      <c r="AC15" s="629"/>
      <c r="AD15" s="623"/>
      <c r="AE15" s="607"/>
      <c r="AF15" s="617"/>
      <c r="AG15" s="624"/>
      <c r="AH15" s="625"/>
      <c r="AI15" s="645"/>
      <c r="AJ15" s="626"/>
      <c r="AK15" s="617"/>
    </row>
    <row r="16" spans="1:37" s="524" customFormat="1" ht="43.5" customHeight="1">
      <c r="A16" s="607">
        <f t="shared" si="3"/>
        <v>14</v>
      </c>
      <c r="B16" s="607"/>
      <c r="C16" s="607"/>
      <c r="D16" s="607"/>
      <c r="E16" s="607"/>
      <c r="F16" s="607"/>
      <c r="G16" s="607"/>
      <c r="H16" s="622"/>
      <c r="I16" s="622"/>
      <c r="J16" s="622"/>
      <c r="K16" s="622"/>
      <c r="L16" s="644"/>
      <c r="M16" s="622"/>
      <c r="N16" s="644"/>
      <c r="O16" s="644"/>
      <c r="P16" s="630"/>
      <c r="Q16" s="642"/>
      <c r="R16" s="619">
        <f t="shared" si="0"/>
        <v>0</v>
      </c>
      <c r="S16" s="620"/>
      <c r="T16" s="581" t="s">
        <v>1068</v>
      </c>
      <c r="U16" s="628"/>
      <c r="V16" s="626">
        <f t="shared" si="1"/>
        <v>0</v>
      </c>
      <c r="W16" s="657"/>
      <c r="X16" s="657">
        <f t="shared" si="2"/>
        <v>0</v>
      </c>
      <c r="Y16" s="621"/>
      <c r="Z16" s="617"/>
      <c r="AA16" s="622"/>
      <c r="AB16" s="607"/>
      <c r="AC16" s="629"/>
      <c r="AD16" s="623"/>
      <c r="AE16" s="607"/>
      <c r="AF16" s="617"/>
      <c r="AG16" s="624"/>
      <c r="AH16" s="625"/>
      <c r="AI16" s="645"/>
      <c r="AJ16" s="626"/>
      <c r="AK16" s="617"/>
    </row>
    <row r="17" spans="1:37" s="524" customFormat="1" ht="43.5" customHeight="1">
      <c r="A17" s="607">
        <f t="shared" si="3"/>
        <v>15</v>
      </c>
      <c r="B17" s="607"/>
      <c r="C17" s="607"/>
      <c r="D17" s="607"/>
      <c r="E17" s="607"/>
      <c r="F17" s="607"/>
      <c r="G17" s="607"/>
      <c r="H17" s="622"/>
      <c r="I17" s="622"/>
      <c r="J17" s="622"/>
      <c r="K17" s="622"/>
      <c r="L17" s="644"/>
      <c r="M17" s="622"/>
      <c r="N17" s="644"/>
      <c r="O17" s="644"/>
      <c r="P17" s="630"/>
      <c r="Q17" s="642"/>
      <c r="R17" s="619">
        <f t="shared" si="0"/>
        <v>0</v>
      </c>
      <c r="S17" s="620"/>
      <c r="T17" s="581" t="s">
        <v>1068</v>
      </c>
      <c r="U17" s="628"/>
      <c r="V17" s="626">
        <f t="shared" si="1"/>
        <v>0</v>
      </c>
      <c r="W17" s="657"/>
      <c r="X17" s="657">
        <f t="shared" si="2"/>
        <v>0</v>
      </c>
      <c r="Y17" s="621"/>
      <c r="Z17" s="617"/>
      <c r="AA17" s="622"/>
      <c r="AB17" s="607"/>
      <c r="AC17" s="630"/>
      <c r="AD17" s="623"/>
      <c r="AE17" s="607"/>
      <c r="AF17" s="617"/>
      <c r="AG17" s="624"/>
      <c r="AH17" s="625"/>
      <c r="AI17" s="645"/>
      <c r="AJ17" s="626"/>
      <c r="AK17" s="617"/>
    </row>
    <row r="18" spans="1:37" s="524" customFormat="1" ht="43.5" customHeight="1">
      <c r="A18" s="607">
        <f t="shared" si="3"/>
        <v>16</v>
      </c>
      <c r="B18" s="607"/>
      <c r="C18" s="607"/>
      <c r="D18" s="607"/>
      <c r="E18" s="607"/>
      <c r="F18" s="607"/>
      <c r="G18" s="607"/>
      <c r="H18" s="607"/>
      <c r="I18" s="607"/>
      <c r="J18" s="607"/>
      <c r="K18" s="607"/>
      <c r="L18" s="617"/>
      <c r="M18" s="607"/>
      <c r="N18" s="617"/>
      <c r="O18" s="617"/>
      <c r="P18" s="630"/>
      <c r="Q18" s="619"/>
      <c r="R18" s="619">
        <f t="shared" si="0"/>
        <v>0</v>
      </c>
      <c r="S18" s="620"/>
      <c r="T18" s="581" t="s">
        <v>1068</v>
      </c>
      <c r="U18" s="628"/>
      <c r="V18" s="626">
        <f t="shared" si="1"/>
        <v>0</v>
      </c>
      <c r="W18" s="657"/>
      <c r="X18" s="657">
        <f t="shared" si="2"/>
        <v>0</v>
      </c>
      <c r="Y18" s="621"/>
      <c r="Z18" s="617"/>
      <c r="AA18" s="622"/>
      <c r="AB18" s="607"/>
      <c r="AC18" s="630"/>
      <c r="AD18" s="623"/>
      <c r="AE18" s="607"/>
      <c r="AF18" s="617"/>
      <c r="AG18" s="624"/>
      <c r="AH18" s="625"/>
      <c r="AI18" s="645"/>
      <c r="AJ18" s="626"/>
      <c r="AK18" s="617"/>
    </row>
    <row r="19" spans="1:37" s="524" customFormat="1" ht="43.5" customHeight="1">
      <c r="A19" s="607">
        <f t="shared" si="3"/>
        <v>17</v>
      </c>
      <c r="B19" s="607"/>
      <c r="C19" s="607"/>
      <c r="D19" s="607"/>
      <c r="E19" s="607"/>
      <c r="F19" s="607"/>
      <c r="G19" s="607"/>
      <c r="H19" s="622"/>
      <c r="I19" s="607"/>
      <c r="J19" s="607"/>
      <c r="K19" s="607"/>
      <c r="L19" s="617"/>
      <c r="M19" s="607"/>
      <c r="N19" s="644"/>
      <c r="O19" s="644"/>
      <c r="P19" s="630"/>
      <c r="Q19" s="642"/>
      <c r="R19" s="619">
        <f t="shared" si="0"/>
        <v>0</v>
      </c>
      <c r="S19" s="620"/>
      <c r="T19" s="581" t="s">
        <v>1068</v>
      </c>
      <c r="U19" s="648"/>
      <c r="V19" s="626">
        <f t="shared" si="1"/>
        <v>0</v>
      </c>
      <c r="W19" s="657"/>
      <c r="X19" s="657">
        <f t="shared" si="2"/>
        <v>0</v>
      </c>
      <c r="Y19" s="621"/>
      <c r="Z19" s="617"/>
      <c r="AA19" s="622"/>
      <c r="AB19" s="607"/>
      <c r="AC19" s="617"/>
      <c r="AD19" s="623"/>
      <c r="AE19" s="607"/>
      <c r="AF19" s="617"/>
      <c r="AG19" s="624"/>
      <c r="AH19" s="625"/>
      <c r="AI19" s="626"/>
      <c r="AJ19" s="626"/>
      <c r="AK19" s="617"/>
    </row>
    <row r="20" spans="1:37" s="524" customFormat="1" ht="43.5" customHeight="1">
      <c r="A20" s="607">
        <f t="shared" si="3"/>
        <v>18</v>
      </c>
      <c r="B20" s="607"/>
      <c r="C20" s="607"/>
      <c r="D20" s="607"/>
      <c r="E20" s="607"/>
      <c r="F20" s="607"/>
      <c r="G20" s="607"/>
      <c r="H20" s="622"/>
      <c r="I20" s="622"/>
      <c r="J20" s="622"/>
      <c r="K20" s="622"/>
      <c r="L20" s="644"/>
      <c r="M20" s="622"/>
      <c r="N20" s="644"/>
      <c r="O20" s="644"/>
      <c r="P20" s="630"/>
      <c r="Q20" s="642"/>
      <c r="R20" s="619">
        <f t="shared" si="0"/>
        <v>0</v>
      </c>
      <c r="S20" s="620"/>
      <c r="T20" s="581" t="s">
        <v>1068</v>
      </c>
      <c r="U20" s="648"/>
      <c r="V20" s="626">
        <f t="shared" si="1"/>
        <v>0</v>
      </c>
      <c r="W20" s="657"/>
      <c r="X20" s="657">
        <f t="shared" si="2"/>
        <v>0</v>
      </c>
      <c r="Y20" s="621"/>
      <c r="Z20" s="617"/>
      <c r="AA20" s="622"/>
      <c r="AB20" s="607"/>
      <c r="AC20" s="617"/>
      <c r="AD20" s="623"/>
      <c r="AE20" s="607"/>
      <c r="AF20" s="617"/>
      <c r="AG20" s="624"/>
      <c r="AH20" s="625"/>
      <c r="AI20" s="626"/>
      <c r="AJ20" s="626"/>
      <c r="AK20" s="617"/>
    </row>
    <row r="21" spans="1:37" s="524" customFormat="1" ht="43.5" customHeight="1">
      <c r="A21" s="607">
        <f t="shared" si="3"/>
        <v>19</v>
      </c>
      <c r="B21" s="607"/>
      <c r="C21" s="607"/>
      <c r="D21" s="607"/>
      <c r="E21" s="607"/>
      <c r="F21" s="607"/>
      <c r="G21" s="607"/>
      <c r="H21" s="622"/>
      <c r="I21" s="607"/>
      <c r="J21" s="607"/>
      <c r="K21" s="607"/>
      <c r="L21" s="617"/>
      <c r="M21" s="617"/>
      <c r="N21" s="644"/>
      <c r="O21" s="644"/>
      <c r="P21" s="630"/>
      <c r="Q21" s="642"/>
      <c r="R21" s="619">
        <f t="shared" si="0"/>
        <v>0</v>
      </c>
      <c r="S21" s="620"/>
      <c r="T21" s="581" t="s">
        <v>1068</v>
      </c>
      <c r="U21" s="648"/>
      <c r="V21" s="626">
        <f t="shared" si="1"/>
        <v>0</v>
      </c>
      <c r="W21" s="657"/>
      <c r="X21" s="657">
        <f t="shared" si="2"/>
        <v>0</v>
      </c>
      <c r="Y21" s="621"/>
      <c r="Z21" s="617"/>
      <c r="AA21" s="622"/>
      <c r="AB21" s="607"/>
      <c r="AC21" s="617"/>
      <c r="AD21" s="623"/>
      <c r="AE21" s="607"/>
      <c r="AF21" s="617"/>
      <c r="AG21" s="624"/>
      <c r="AH21" s="625"/>
      <c r="AI21" s="626"/>
      <c r="AJ21" s="626"/>
      <c r="AK21" s="617"/>
    </row>
    <row r="22" spans="1:37" s="524" customFormat="1" ht="43.5" customHeight="1">
      <c r="A22" s="607">
        <f t="shared" si="3"/>
        <v>20</v>
      </c>
      <c r="B22" s="607"/>
      <c r="C22" s="607"/>
      <c r="D22" s="607"/>
      <c r="E22" s="607"/>
      <c r="F22" s="607"/>
      <c r="G22" s="607"/>
      <c r="H22" s="607"/>
      <c r="I22" s="607"/>
      <c r="J22" s="607"/>
      <c r="K22" s="607"/>
      <c r="L22" s="617"/>
      <c r="M22" s="617"/>
      <c r="N22" s="644"/>
      <c r="O22" s="644"/>
      <c r="P22" s="630"/>
      <c r="Q22" s="642"/>
      <c r="R22" s="619">
        <f t="shared" si="0"/>
        <v>0</v>
      </c>
      <c r="S22" s="620"/>
      <c r="T22" s="581" t="s">
        <v>1068</v>
      </c>
      <c r="U22" s="648"/>
      <c r="V22" s="626">
        <f t="shared" si="1"/>
        <v>0</v>
      </c>
      <c r="W22" s="657"/>
      <c r="X22" s="657">
        <f t="shared" si="2"/>
        <v>0</v>
      </c>
      <c r="Y22" s="621"/>
      <c r="Z22" s="617"/>
      <c r="AA22" s="622"/>
      <c r="AB22" s="607"/>
      <c r="AC22" s="630"/>
      <c r="AD22" s="623"/>
      <c r="AE22" s="607"/>
      <c r="AF22" s="617"/>
      <c r="AG22" s="624"/>
      <c r="AH22" s="625"/>
      <c r="AI22" s="626"/>
      <c r="AJ22" s="626"/>
      <c r="AK22" s="617"/>
    </row>
    <row r="23" spans="1:37" s="524" customFormat="1" ht="43.5" customHeight="1">
      <c r="A23" s="607">
        <f t="shared" si="3"/>
        <v>21</v>
      </c>
      <c r="B23" s="607"/>
      <c r="C23" s="607"/>
      <c r="D23" s="607"/>
      <c r="E23" s="607"/>
      <c r="F23" s="607"/>
      <c r="G23" s="607"/>
      <c r="H23" s="607"/>
      <c r="I23" s="607"/>
      <c r="J23" s="607"/>
      <c r="K23" s="607"/>
      <c r="L23" s="617"/>
      <c r="M23" s="617"/>
      <c r="N23" s="644"/>
      <c r="O23" s="644"/>
      <c r="P23" s="630"/>
      <c r="Q23" s="642"/>
      <c r="R23" s="619">
        <f t="shared" si="0"/>
        <v>0</v>
      </c>
      <c r="S23" s="620"/>
      <c r="T23" s="581" t="s">
        <v>1068</v>
      </c>
      <c r="U23" s="648"/>
      <c r="V23" s="626">
        <f t="shared" si="1"/>
        <v>0</v>
      </c>
      <c r="W23" s="657"/>
      <c r="X23" s="657">
        <f t="shared" si="2"/>
        <v>0</v>
      </c>
      <c r="Y23" s="621"/>
      <c r="Z23" s="617"/>
      <c r="AA23" s="622"/>
      <c r="AB23" s="607"/>
      <c r="AC23" s="629"/>
      <c r="AD23" s="623"/>
      <c r="AE23" s="607"/>
      <c r="AF23" s="617"/>
      <c r="AG23" s="624"/>
      <c r="AH23" s="625"/>
      <c r="AI23" s="645"/>
      <c r="AJ23" s="626"/>
      <c r="AK23" s="617"/>
    </row>
    <row r="24" spans="1:37" s="524" customFormat="1" ht="43.5" customHeight="1">
      <c r="A24" s="607">
        <f t="shared" si="3"/>
        <v>22</v>
      </c>
      <c r="B24" s="607"/>
      <c r="C24" s="607"/>
      <c r="D24" s="607"/>
      <c r="E24" s="607"/>
      <c r="F24" s="607"/>
      <c r="G24" s="607"/>
      <c r="H24" s="622"/>
      <c r="I24" s="607"/>
      <c r="J24" s="607"/>
      <c r="K24" s="607"/>
      <c r="L24" s="617"/>
      <c r="M24" s="617"/>
      <c r="N24" s="644"/>
      <c r="O24" s="644"/>
      <c r="P24" s="630"/>
      <c r="Q24" s="642"/>
      <c r="R24" s="619">
        <f t="shared" si="0"/>
        <v>0</v>
      </c>
      <c r="S24" s="620"/>
      <c r="T24" s="581" t="s">
        <v>1068</v>
      </c>
      <c r="U24" s="648"/>
      <c r="V24" s="626">
        <f t="shared" si="1"/>
        <v>0</v>
      </c>
      <c r="W24" s="657"/>
      <c r="X24" s="657">
        <f t="shared" si="2"/>
        <v>0</v>
      </c>
      <c r="Y24" s="621"/>
      <c r="Z24" s="617"/>
      <c r="AA24" s="622"/>
      <c r="AB24" s="607"/>
      <c r="AC24" s="617"/>
      <c r="AD24" s="623"/>
      <c r="AE24" s="607"/>
      <c r="AF24" s="617"/>
      <c r="AG24" s="624"/>
      <c r="AH24" s="625"/>
      <c r="AI24" s="626"/>
      <c r="AJ24" s="626"/>
      <c r="AK24" s="617"/>
    </row>
    <row r="25" spans="1:37" s="524" customFormat="1" ht="43.5" customHeight="1">
      <c r="A25" s="607">
        <f t="shared" si="3"/>
        <v>23</v>
      </c>
      <c r="B25" s="607"/>
      <c r="C25" s="607"/>
      <c r="D25" s="607"/>
      <c r="E25" s="607"/>
      <c r="F25" s="607"/>
      <c r="G25" s="607"/>
      <c r="H25" s="607"/>
      <c r="I25" s="607"/>
      <c r="J25" s="607"/>
      <c r="K25" s="607"/>
      <c r="L25" s="617"/>
      <c r="M25" s="617"/>
      <c r="N25" s="644"/>
      <c r="O25" s="644"/>
      <c r="P25" s="630"/>
      <c r="Q25" s="642"/>
      <c r="R25" s="619">
        <f t="shared" si="0"/>
        <v>0</v>
      </c>
      <c r="S25" s="620"/>
      <c r="T25" s="581" t="s">
        <v>1068</v>
      </c>
      <c r="U25" s="628"/>
      <c r="V25" s="626">
        <f t="shared" si="1"/>
        <v>0</v>
      </c>
      <c r="W25" s="657"/>
      <c r="X25" s="657">
        <f t="shared" si="2"/>
        <v>0</v>
      </c>
      <c r="Y25" s="621"/>
      <c r="Z25" s="617"/>
      <c r="AA25" s="622"/>
      <c r="AB25" s="607"/>
      <c r="AC25" s="629"/>
      <c r="AD25" s="623"/>
      <c r="AE25" s="607"/>
      <c r="AF25" s="617"/>
      <c r="AG25" s="624"/>
      <c r="AH25" s="625"/>
      <c r="AI25" s="645"/>
      <c r="AJ25" s="626"/>
      <c r="AK25" s="617"/>
    </row>
    <row r="26" spans="1:37" s="524" customFormat="1" ht="43.5" customHeight="1">
      <c r="A26" s="607">
        <f t="shared" si="3"/>
        <v>24</v>
      </c>
      <c r="B26" s="607"/>
      <c r="C26" s="607"/>
      <c r="D26" s="607"/>
      <c r="E26" s="607"/>
      <c r="F26" s="607"/>
      <c r="G26" s="607"/>
      <c r="H26" s="622"/>
      <c r="I26" s="607"/>
      <c r="J26" s="607"/>
      <c r="K26" s="607"/>
      <c r="L26" s="617"/>
      <c r="M26" s="617"/>
      <c r="N26" s="644"/>
      <c r="O26" s="644"/>
      <c r="P26" s="630"/>
      <c r="Q26" s="642"/>
      <c r="R26" s="619">
        <f t="shared" si="0"/>
        <v>0</v>
      </c>
      <c r="S26" s="619"/>
      <c r="T26" s="581" t="s">
        <v>1068</v>
      </c>
      <c r="U26" s="628"/>
      <c r="V26" s="626">
        <f t="shared" si="1"/>
        <v>0</v>
      </c>
      <c r="W26" s="657"/>
      <c r="X26" s="657">
        <f t="shared" si="2"/>
        <v>0</v>
      </c>
      <c r="Y26" s="621"/>
      <c r="Z26" s="617"/>
      <c r="AA26" s="622"/>
      <c r="AB26" s="607"/>
      <c r="AC26" s="630"/>
      <c r="AD26" s="623"/>
      <c r="AE26" s="607"/>
      <c r="AF26" s="617"/>
      <c r="AG26" s="624"/>
      <c r="AH26" s="625"/>
      <c r="AI26" s="645"/>
      <c r="AJ26" s="626"/>
      <c r="AK26" s="617"/>
    </row>
    <row r="27" spans="1:37" s="643" customFormat="1" ht="43.5" customHeight="1" thickBot="1">
      <c r="A27" s="607">
        <f>A26+1</f>
        <v>25</v>
      </c>
      <c r="B27" s="607"/>
      <c r="C27" s="607"/>
      <c r="D27" s="607"/>
      <c r="E27" s="607"/>
      <c r="F27" s="607"/>
      <c r="G27" s="607"/>
      <c r="H27" s="607"/>
      <c r="I27" s="607"/>
      <c r="J27" s="607"/>
      <c r="K27" s="607"/>
      <c r="L27" s="617"/>
      <c r="M27" s="617"/>
      <c r="N27" s="644"/>
      <c r="O27" s="644"/>
      <c r="P27" s="630"/>
      <c r="Q27" s="642"/>
      <c r="R27" s="619">
        <f t="shared" si="0"/>
        <v>0</v>
      </c>
      <c r="S27" s="620"/>
      <c r="T27" s="581" t="s">
        <v>1068</v>
      </c>
      <c r="U27" s="628"/>
      <c r="V27" s="626">
        <f t="shared" si="1"/>
        <v>0</v>
      </c>
      <c r="W27" s="657"/>
      <c r="X27" s="657">
        <f t="shared" si="2"/>
        <v>0</v>
      </c>
      <c r="Y27" s="621"/>
      <c r="Z27" s="617"/>
      <c r="AA27" s="622"/>
      <c r="AB27" s="607"/>
      <c r="AC27" s="617"/>
      <c r="AD27" s="623"/>
      <c r="AE27" s="607"/>
      <c r="AF27" s="617"/>
      <c r="AG27" s="624"/>
      <c r="AH27" s="625"/>
      <c r="AI27" s="645"/>
      <c r="AJ27" s="626"/>
      <c r="AK27" s="617"/>
    </row>
    <row r="28" spans="1:37" s="524" customFormat="1" ht="43.5" customHeight="1">
      <c r="A28" s="607">
        <f t="shared" si="3"/>
        <v>26</v>
      </c>
      <c r="B28" s="607"/>
      <c r="C28" s="607"/>
      <c r="D28" s="607"/>
      <c r="E28" s="607"/>
      <c r="F28" s="607"/>
      <c r="G28" s="607"/>
      <c r="H28" s="607"/>
      <c r="I28" s="607"/>
      <c r="J28" s="607"/>
      <c r="K28" s="607"/>
      <c r="L28" s="617"/>
      <c r="M28" s="617"/>
      <c r="N28" s="617"/>
      <c r="O28" s="617"/>
      <c r="P28" s="629"/>
      <c r="Q28" s="619"/>
      <c r="R28" s="619">
        <f t="shared" si="0"/>
        <v>0</v>
      </c>
      <c r="S28" s="620"/>
      <c r="T28" s="647" t="s">
        <v>1068</v>
      </c>
      <c r="U28" s="628"/>
      <c r="V28" s="626">
        <f t="shared" si="1"/>
        <v>0</v>
      </c>
      <c r="W28" s="657"/>
      <c r="X28" s="657">
        <f t="shared" si="2"/>
        <v>0</v>
      </c>
      <c r="Y28" s="621"/>
      <c r="Z28" s="617"/>
      <c r="AA28" s="622"/>
      <c r="AB28" s="607"/>
      <c r="AC28" s="617"/>
      <c r="AD28" s="623"/>
      <c r="AE28" s="607"/>
      <c r="AF28" s="617"/>
      <c r="AG28" s="624"/>
      <c r="AH28" s="625"/>
      <c r="AI28" s="626"/>
      <c r="AJ28" s="626"/>
      <c r="AK28" s="617"/>
    </row>
    <row r="29" spans="1:37" s="524" customFormat="1" ht="43.5" customHeight="1">
      <c r="A29" s="525">
        <f t="shared" si="3"/>
        <v>27</v>
      </c>
      <c r="B29" s="607"/>
      <c r="C29" s="607"/>
      <c r="D29" s="607"/>
      <c r="E29" s="607"/>
      <c r="F29" s="607"/>
      <c r="G29" s="607"/>
      <c r="H29" s="607"/>
      <c r="I29" s="607"/>
      <c r="J29" s="607"/>
      <c r="K29" s="607"/>
      <c r="L29" s="617"/>
      <c r="M29" s="617"/>
      <c r="N29" s="617"/>
      <c r="O29" s="617"/>
      <c r="P29" s="629"/>
      <c r="Q29" s="619"/>
      <c r="R29" s="619">
        <f t="shared" si="0"/>
        <v>0</v>
      </c>
      <c r="S29" s="620"/>
      <c r="T29" s="581" t="s">
        <v>1068</v>
      </c>
      <c r="U29" s="628"/>
      <c r="V29" s="544">
        <f t="shared" si="1"/>
        <v>0</v>
      </c>
      <c r="W29" s="657"/>
      <c r="X29" s="657">
        <f t="shared" si="2"/>
        <v>0</v>
      </c>
      <c r="Y29" s="621"/>
      <c r="Z29" s="617"/>
      <c r="AA29" s="622"/>
      <c r="AB29" s="607"/>
      <c r="AC29" s="617"/>
      <c r="AD29" s="623"/>
      <c r="AE29" s="607"/>
      <c r="AF29" s="617"/>
      <c r="AG29" s="624"/>
      <c r="AH29" s="625"/>
      <c r="AI29" s="626"/>
      <c r="AJ29" s="626"/>
      <c r="AK29" s="617"/>
    </row>
    <row r="30" spans="1:37" s="524" customFormat="1" ht="43.5" customHeight="1">
      <c r="A30" s="525">
        <f t="shared" si="3"/>
        <v>28</v>
      </c>
      <c r="B30" s="607"/>
      <c r="C30" s="607"/>
      <c r="D30" s="607"/>
      <c r="E30" s="607"/>
      <c r="F30" s="607"/>
      <c r="G30" s="607"/>
      <c r="H30" s="607"/>
      <c r="I30" s="607"/>
      <c r="J30" s="607"/>
      <c r="K30" s="607"/>
      <c r="L30" s="617"/>
      <c r="M30" s="617"/>
      <c r="N30" s="617"/>
      <c r="O30" s="617"/>
      <c r="P30" s="629"/>
      <c r="Q30" s="619"/>
      <c r="R30" s="619">
        <f t="shared" si="0"/>
        <v>0</v>
      </c>
      <c r="S30" s="620"/>
      <c r="T30" s="581" t="s">
        <v>1068</v>
      </c>
      <c r="U30" s="628"/>
      <c r="V30" s="544">
        <f t="shared" si="1"/>
        <v>0</v>
      </c>
      <c r="W30" s="657"/>
      <c r="X30" s="657">
        <f t="shared" si="2"/>
        <v>0</v>
      </c>
      <c r="Y30" s="621"/>
      <c r="Z30" s="617"/>
      <c r="AA30" s="622"/>
      <c r="AB30" s="607"/>
      <c r="AC30" s="617"/>
      <c r="AD30" s="623"/>
      <c r="AE30" s="607"/>
      <c r="AF30" s="617"/>
      <c r="AG30" s="624"/>
      <c r="AH30" s="625"/>
      <c r="AI30" s="626"/>
      <c r="AJ30" s="626"/>
      <c r="AK30" s="617"/>
    </row>
    <row r="31" spans="1:37" s="524" customFormat="1" ht="43.5" customHeight="1">
      <c r="A31" s="525">
        <f t="shared" si="3"/>
        <v>29</v>
      </c>
      <c r="B31" s="607"/>
      <c r="C31" s="607"/>
      <c r="D31" s="607"/>
      <c r="E31" s="607"/>
      <c r="F31" s="607"/>
      <c r="G31" s="607"/>
      <c r="H31" s="607"/>
      <c r="I31" s="607"/>
      <c r="J31" s="607"/>
      <c r="K31" s="607"/>
      <c r="L31" s="617"/>
      <c r="M31" s="617"/>
      <c r="N31" s="617"/>
      <c r="O31" s="617"/>
      <c r="P31" s="629"/>
      <c r="Q31" s="619"/>
      <c r="R31" s="619">
        <f t="shared" si="0"/>
        <v>0</v>
      </c>
      <c r="S31" s="620"/>
      <c r="T31" s="581" t="s">
        <v>1068</v>
      </c>
      <c r="U31" s="628"/>
      <c r="V31" s="544">
        <f t="shared" si="1"/>
        <v>0</v>
      </c>
      <c r="W31" s="657"/>
      <c r="X31" s="657">
        <f t="shared" si="2"/>
        <v>0</v>
      </c>
      <c r="Y31" s="621"/>
      <c r="Z31" s="617"/>
      <c r="AA31" s="622"/>
      <c r="AB31" s="607"/>
      <c r="AC31" s="617"/>
      <c r="AD31" s="623"/>
      <c r="AE31" s="607"/>
      <c r="AF31" s="617"/>
      <c r="AG31" s="624"/>
      <c r="AH31" s="625"/>
      <c r="AI31" s="626"/>
      <c r="AJ31" s="626"/>
      <c r="AK31" s="617"/>
    </row>
    <row r="32" spans="1:37" s="524" customFormat="1" ht="43.5" customHeight="1">
      <c r="A32" s="525">
        <f t="shared" si="3"/>
        <v>30</v>
      </c>
      <c r="B32" s="607"/>
      <c r="C32" s="607"/>
      <c r="D32" s="607"/>
      <c r="E32" s="607"/>
      <c r="F32" s="607"/>
      <c r="G32" s="607"/>
      <c r="H32" s="607"/>
      <c r="I32" s="607"/>
      <c r="J32" s="607"/>
      <c r="K32" s="607"/>
      <c r="L32" s="617"/>
      <c r="M32" s="617"/>
      <c r="N32" s="617"/>
      <c r="O32" s="617"/>
      <c r="P32" s="629"/>
      <c r="Q32" s="619"/>
      <c r="R32" s="619">
        <f t="shared" si="0"/>
        <v>0</v>
      </c>
      <c r="S32" s="620"/>
      <c r="T32" s="581" t="s">
        <v>1068</v>
      </c>
      <c r="U32" s="628"/>
      <c r="V32" s="544">
        <f t="shared" si="1"/>
        <v>0</v>
      </c>
      <c r="W32" s="657"/>
      <c r="X32" s="657">
        <f t="shared" si="2"/>
        <v>0</v>
      </c>
      <c r="Y32" s="621"/>
      <c r="Z32" s="617"/>
      <c r="AA32" s="622"/>
      <c r="AB32" s="607"/>
      <c r="AC32" s="617"/>
      <c r="AD32" s="623"/>
      <c r="AE32" s="607"/>
      <c r="AF32" s="617"/>
      <c r="AG32" s="624"/>
      <c r="AH32" s="625"/>
      <c r="AI32" s="626"/>
      <c r="AJ32" s="626"/>
      <c r="AK32" s="617"/>
    </row>
    <row r="33" spans="1:37" s="524" customFormat="1" ht="43.5" customHeight="1">
      <c r="A33" s="525">
        <f t="shared" si="3"/>
        <v>31</v>
      </c>
      <c r="B33" s="607"/>
      <c r="C33" s="607"/>
      <c r="D33" s="607"/>
      <c r="E33" s="607"/>
      <c r="F33" s="607"/>
      <c r="G33" s="607"/>
      <c r="H33" s="607"/>
      <c r="I33" s="607"/>
      <c r="J33" s="607"/>
      <c r="K33" s="607"/>
      <c r="L33" s="617"/>
      <c r="M33" s="617"/>
      <c r="N33" s="617"/>
      <c r="O33" s="617"/>
      <c r="P33" s="629"/>
      <c r="Q33" s="619"/>
      <c r="R33" s="619">
        <f t="shared" si="0"/>
        <v>0</v>
      </c>
      <c r="S33" s="620"/>
      <c r="T33" s="581" t="s">
        <v>1068</v>
      </c>
      <c r="U33" s="628"/>
      <c r="V33" s="544">
        <f t="shared" si="1"/>
        <v>0</v>
      </c>
      <c r="W33" s="657"/>
      <c r="X33" s="657">
        <f t="shared" si="2"/>
        <v>0</v>
      </c>
      <c r="Y33" s="621"/>
      <c r="Z33" s="617"/>
      <c r="AA33" s="622"/>
      <c r="AB33" s="607"/>
      <c r="AC33" s="617"/>
      <c r="AD33" s="623"/>
      <c r="AE33" s="607"/>
      <c r="AF33" s="617"/>
      <c r="AG33" s="624"/>
      <c r="AH33" s="625"/>
      <c r="AI33" s="626"/>
      <c r="AJ33" s="626"/>
      <c r="AK33" s="617"/>
    </row>
    <row r="34" spans="1:37" s="524" customFormat="1" ht="43.5" customHeight="1">
      <c r="A34" s="525">
        <f t="shared" si="3"/>
        <v>32</v>
      </c>
      <c r="B34" s="607"/>
      <c r="C34" s="607"/>
      <c r="D34" s="607"/>
      <c r="E34" s="607"/>
      <c r="F34" s="607"/>
      <c r="G34" s="607"/>
      <c r="H34" s="607"/>
      <c r="I34" s="607"/>
      <c r="J34" s="607"/>
      <c r="K34" s="607"/>
      <c r="L34" s="617"/>
      <c r="M34" s="617"/>
      <c r="N34" s="617"/>
      <c r="O34" s="617"/>
      <c r="P34" s="629"/>
      <c r="Q34" s="619"/>
      <c r="R34" s="619">
        <f t="shared" si="0"/>
        <v>0</v>
      </c>
      <c r="S34" s="620"/>
      <c r="T34" s="581" t="s">
        <v>1068</v>
      </c>
      <c r="U34" s="628"/>
      <c r="V34" s="544">
        <f t="shared" si="1"/>
        <v>0</v>
      </c>
      <c r="W34" s="657"/>
      <c r="X34" s="657">
        <f t="shared" si="2"/>
        <v>0</v>
      </c>
      <c r="Y34" s="621"/>
      <c r="Z34" s="617"/>
      <c r="AA34" s="622"/>
      <c r="AB34" s="607"/>
      <c r="AC34" s="617"/>
      <c r="AD34" s="623"/>
      <c r="AE34" s="607"/>
      <c r="AF34" s="617"/>
      <c r="AG34" s="624"/>
      <c r="AH34" s="625"/>
      <c r="AI34" s="626"/>
      <c r="AJ34" s="626"/>
      <c r="AK34" s="617"/>
    </row>
    <row r="35" spans="1:37" s="524" customFormat="1" ht="43.5" customHeight="1">
      <c r="A35" s="525">
        <f t="shared" si="3"/>
        <v>33</v>
      </c>
      <c r="B35" s="525"/>
      <c r="C35" s="525"/>
      <c r="D35" s="525"/>
      <c r="E35" s="525"/>
      <c r="F35" s="525"/>
      <c r="G35" s="525"/>
      <c r="H35" s="525"/>
      <c r="I35" s="525"/>
      <c r="J35" s="525"/>
      <c r="K35" s="525"/>
      <c r="L35" s="527"/>
      <c r="M35" s="527"/>
      <c r="N35" s="527"/>
      <c r="O35" s="617"/>
      <c r="P35" s="536"/>
      <c r="Q35" s="528"/>
      <c r="R35" s="619">
        <f t="shared" si="0"/>
        <v>0</v>
      </c>
      <c r="S35" s="542"/>
      <c r="T35" s="581" t="s">
        <v>1068</v>
      </c>
      <c r="U35" s="535"/>
      <c r="V35" s="544">
        <f t="shared" si="1"/>
        <v>0</v>
      </c>
      <c r="W35" s="657"/>
      <c r="X35" s="657">
        <f t="shared" si="2"/>
        <v>0</v>
      </c>
      <c r="Y35" s="529"/>
      <c r="Z35" s="527"/>
      <c r="AA35" s="526"/>
      <c r="AB35" s="525"/>
      <c r="AC35" s="527"/>
      <c r="AD35" s="530"/>
      <c r="AE35" s="525"/>
      <c r="AF35" s="527"/>
      <c r="AG35" s="531"/>
      <c r="AH35" s="532"/>
      <c r="AI35" s="544"/>
      <c r="AJ35" s="544"/>
      <c r="AK35" s="527"/>
    </row>
    <row r="36" spans="1:37" s="524" customFormat="1" ht="43.5" customHeight="1">
      <c r="A36" s="525">
        <f t="shared" si="3"/>
        <v>34</v>
      </c>
      <c r="B36" s="525"/>
      <c r="C36" s="525"/>
      <c r="D36" s="525"/>
      <c r="E36" s="525"/>
      <c r="F36" s="525"/>
      <c r="G36" s="525"/>
      <c r="H36" s="525"/>
      <c r="I36" s="525"/>
      <c r="J36" s="525"/>
      <c r="K36" s="525"/>
      <c r="L36" s="527"/>
      <c r="M36" s="527"/>
      <c r="N36" s="527"/>
      <c r="O36" s="617"/>
      <c r="P36" s="536"/>
      <c r="Q36" s="528"/>
      <c r="R36" s="619">
        <f t="shared" si="0"/>
        <v>0</v>
      </c>
      <c r="S36" s="542"/>
      <c r="T36" s="581" t="s">
        <v>1068</v>
      </c>
      <c r="U36" s="535"/>
      <c r="V36" s="544">
        <f t="shared" si="1"/>
        <v>0</v>
      </c>
      <c r="W36" s="657"/>
      <c r="X36" s="657">
        <f t="shared" si="2"/>
        <v>0</v>
      </c>
      <c r="Y36" s="529"/>
      <c r="Z36" s="527"/>
      <c r="AA36" s="526"/>
      <c r="AB36" s="525"/>
      <c r="AC36" s="527"/>
      <c r="AD36" s="530"/>
      <c r="AE36" s="525"/>
      <c r="AF36" s="526"/>
      <c r="AG36" s="531"/>
      <c r="AH36" s="532"/>
      <c r="AI36" s="544"/>
      <c r="AJ36" s="544"/>
      <c r="AK36" s="527"/>
    </row>
    <row r="37" spans="1:37" s="548" customFormat="1" ht="43.5" customHeight="1">
      <c r="A37" s="525">
        <f t="shared" si="3"/>
        <v>35</v>
      </c>
      <c r="B37" s="525"/>
      <c r="C37" s="525"/>
      <c r="D37" s="525"/>
      <c r="E37" s="525"/>
      <c r="F37" s="525"/>
      <c r="G37" s="525"/>
      <c r="H37" s="525"/>
      <c r="I37" s="525"/>
      <c r="J37" s="525"/>
      <c r="K37" s="525"/>
      <c r="L37" s="525"/>
      <c r="M37" s="525"/>
      <c r="N37" s="525"/>
      <c r="O37" s="607"/>
      <c r="P37" s="536"/>
      <c r="Q37" s="533"/>
      <c r="R37" s="619">
        <f t="shared" si="0"/>
        <v>0</v>
      </c>
      <c r="S37" s="530"/>
      <c r="T37" s="581" t="s">
        <v>1068</v>
      </c>
      <c r="U37" s="538"/>
      <c r="V37" s="544">
        <f t="shared" si="1"/>
        <v>0</v>
      </c>
      <c r="W37" s="657"/>
      <c r="X37" s="657">
        <f t="shared" si="2"/>
        <v>0</v>
      </c>
      <c r="Y37" s="534"/>
      <c r="Z37" s="525"/>
      <c r="AA37" s="526"/>
      <c r="AB37" s="525"/>
      <c r="AC37" s="555"/>
      <c r="AD37" s="530"/>
      <c r="AE37" s="525"/>
      <c r="AF37" s="525"/>
      <c r="AG37" s="546"/>
      <c r="AH37" s="547"/>
      <c r="AI37" s="537"/>
      <c r="AJ37" s="537"/>
      <c r="AK37" s="555"/>
    </row>
    <row r="38" spans="1:37" s="524" customFormat="1" ht="43.5" customHeight="1">
      <c r="A38" s="525">
        <f t="shared" si="3"/>
        <v>36</v>
      </c>
      <c r="B38" s="525"/>
      <c r="C38" s="525"/>
      <c r="D38" s="525"/>
      <c r="E38" s="525"/>
      <c r="F38" s="525"/>
      <c r="G38" s="525"/>
      <c r="H38" s="525"/>
      <c r="I38" s="525"/>
      <c r="J38" s="525"/>
      <c r="K38" s="525"/>
      <c r="L38" s="527"/>
      <c r="M38" s="527"/>
      <c r="N38" s="527"/>
      <c r="O38" s="617"/>
      <c r="P38" s="536"/>
      <c r="Q38" s="528"/>
      <c r="R38" s="619">
        <f t="shared" si="0"/>
        <v>0</v>
      </c>
      <c r="S38" s="542"/>
      <c r="T38" s="581" t="s">
        <v>1068</v>
      </c>
      <c r="U38" s="535"/>
      <c r="V38" s="544">
        <f t="shared" si="1"/>
        <v>0</v>
      </c>
      <c r="W38" s="657"/>
      <c r="X38" s="657">
        <f t="shared" si="2"/>
        <v>0</v>
      </c>
      <c r="Y38" s="529"/>
      <c r="Z38" s="527"/>
      <c r="AA38" s="526"/>
      <c r="AB38" s="527"/>
      <c r="AC38" s="527"/>
      <c r="AD38" s="530"/>
      <c r="AE38" s="525"/>
      <c r="AF38" s="527"/>
      <c r="AG38" s="531"/>
      <c r="AH38" s="532"/>
      <c r="AI38" s="544"/>
      <c r="AJ38" s="544"/>
      <c r="AK38" s="527"/>
    </row>
    <row r="49" spans="1:36" s="541" customFormat="1" ht="16.5">
      <c r="A49" s="549"/>
      <c r="B49" s="549"/>
      <c r="C49" s="549"/>
      <c r="D49" s="549"/>
      <c r="E49" s="549"/>
      <c r="F49" s="549"/>
      <c r="G49" s="549"/>
      <c r="H49" s="549"/>
      <c r="I49" s="550"/>
      <c r="J49" s="549"/>
      <c r="K49" s="549"/>
      <c r="L49" s="549"/>
      <c r="M49" s="551"/>
      <c r="N49" s="549"/>
      <c r="O49" s="549"/>
      <c r="P49" s="558"/>
      <c r="Q49" s="549"/>
      <c r="R49" s="618"/>
      <c r="T49" s="580"/>
      <c r="U49" s="550"/>
      <c r="V49" s="554"/>
      <c r="W49" s="658"/>
      <c r="X49" s="554"/>
      <c r="Y49" s="552"/>
      <c r="Z49" s="549"/>
      <c r="AA49" s="549"/>
      <c r="AB49" s="550"/>
      <c r="AE49" s="549"/>
      <c r="AF49" s="549"/>
      <c r="AG49" s="549"/>
      <c r="AH49" s="549"/>
      <c r="AI49" s="553"/>
      <c r="AJ49" s="553"/>
    </row>
  </sheetData>
  <autoFilter ref="A2:AK38" xr:uid="{920C335E-2017-47EF-9178-555958457894}"/>
  <conditionalFormatting sqref="A1:A1048576">
    <cfRule type="duplicateValues" dxfId="78" priority="2"/>
  </conditionalFormatting>
  <conditionalFormatting sqref="B1:B1048576">
    <cfRule type="duplicateValues" dxfId="77" priority="1"/>
  </conditionalFormatting>
  <conditionalFormatting sqref="I2">
    <cfRule type="duplicateValues" dxfId="76" priority="4"/>
  </conditionalFormatting>
  <conditionalFormatting sqref="M15:M20 I3:I38">
    <cfRule type="duplicateValues" dxfId="75" priority="3"/>
  </conditionalFormatting>
  <pageMargins left="0.7" right="0.7" top="0.75" bottom="0.75" header="0.3" footer="0.3"/>
  <pageSetup paperSize="1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762E7-9235-484D-A15A-576C1383398B}">
  <sheetPr codeName="Sheet2"/>
  <dimension ref="B1:T43"/>
  <sheetViews>
    <sheetView zoomScale="130" zoomScaleNormal="130" workbookViewId="0">
      <selection activeCell="B1" sqref="B1:J1"/>
    </sheetView>
  </sheetViews>
  <sheetFormatPr defaultColWidth="8.85546875" defaultRowHeight="15"/>
  <cols>
    <col min="10" max="10" width="12.42578125" customWidth="1"/>
  </cols>
  <sheetData>
    <row r="1" spans="2:10">
      <c r="B1" s="712" t="s">
        <v>57</v>
      </c>
      <c r="C1" s="712"/>
      <c r="D1" s="712"/>
      <c r="E1" s="712"/>
      <c r="F1" s="712"/>
      <c r="G1" s="712"/>
      <c r="H1" s="712"/>
      <c r="I1" s="712"/>
      <c r="J1" s="712"/>
    </row>
    <row r="2" spans="2:10">
      <c r="B2" s="718" t="s">
        <v>43</v>
      </c>
      <c r="C2" s="719"/>
      <c r="D2" s="719"/>
      <c r="E2" s="719"/>
      <c r="F2" s="719"/>
      <c r="G2" s="719"/>
      <c r="H2" s="719"/>
      <c r="I2" s="719"/>
      <c r="J2" s="720"/>
    </row>
    <row r="3" spans="2:10">
      <c r="B3" s="715" t="s">
        <v>44</v>
      </c>
      <c r="C3" s="717"/>
      <c r="D3" s="717"/>
      <c r="E3" s="716"/>
      <c r="F3" s="715" t="s">
        <v>45</v>
      </c>
      <c r="G3" s="717"/>
      <c r="H3" s="717"/>
      <c r="I3" s="717"/>
      <c r="J3" s="716"/>
    </row>
    <row r="4" spans="2:10">
      <c r="B4" s="715" t="s">
        <v>46</v>
      </c>
      <c r="C4" s="717"/>
      <c r="D4" s="717"/>
      <c r="E4" s="716"/>
      <c r="F4" s="715" t="s">
        <v>47</v>
      </c>
      <c r="G4" s="717"/>
      <c r="H4" s="717"/>
      <c r="I4" s="717"/>
      <c r="J4" s="716"/>
    </row>
    <row r="5" spans="2:10">
      <c r="B5" s="2" t="s">
        <v>48</v>
      </c>
      <c r="C5" s="715" t="s">
        <v>49</v>
      </c>
      <c r="D5" s="716"/>
      <c r="E5" s="2" t="s">
        <v>50</v>
      </c>
      <c r="F5" s="2" t="s">
        <v>49</v>
      </c>
      <c r="G5" s="2" t="s">
        <v>51</v>
      </c>
      <c r="H5" s="3">
        <v>0</v>
      </c>
      <c r="I5" s="2" t="s">
        <v>52</v>
      </c>
      <c r="J5" s="2" t="s">
        <v>53</v>
      </c>
    </row>
    <row r="6" spans="2:10">
      <c r="B6" s="715" t="s">
        <v>54</v>
      </c>
      <c r="C6" s="716"/>
      <c r="D6" s="715" t="s">
        <v>55</v>
      </c>
      <c r="E6" s="717"/>
      <c r="F6" s="717"/>
      <c r="G6" s="717"/>
      <c r="H6" s="717"/>
      <c r="I6" s="717"/>
      <c r="J6" s="716"/>
    </row>
    <row r="7" spans="2:10">
      <c r="B7" s="703" t="s">
        <v>481</v>
      </c>
      <c r="C7" s="704"/>
      <c r="D7" s="704"/>
      <c r="E7" s="704"/>
      <c r="F7" s="704"/>
      <c r="G7" s="704"/>
      <c r="H7" s="704"/>
      <c r="I7" s="704"/>
      <c r="J7" s="705"/>
    </row>
    <row r="8" spans="2:10">
      <c r="B8" s="703" t="s">
        <v>482</v>
      </c>
      <c r="C8" s="704"/>
      <c r="D8" s="704"/>
      <c r="E8" s="704"/>
      <c r="F8" s="704"/>
      <c r="G8" s="704"/>
      <c r="H8" s="704"/>
      <c r="I8" s="704"/>
      <c r="J8" s="705"/>
    </row>
    <row r="9" spans="2:10">
      <c r="B9" s="706" t="s">
        <v>56</v>
      </c>
      <c r="C9" s="707"/>
      <c r="D9" s="707"/>
      <c r="E9" s="707"/>
      <c r="F9" s="707"/>
      <c r="G9" s="707"/>
      <c r="H9" s="707"/>
      <c r="I9" s="707"/>
      <c r="J9" s="708"/>
    </row>
    <row r="10" spans="2:10">
      <c r="B10" s="43"/>
      <c r="C10" s="43"/>
      <c r="D10" s="43"/>
      <c r="E10" s="43"/>
      <c r="F10" s="43"/>
      <c r="G10" s="43"/>
      <c r="H10" s="43"/>
      <c r="I10" s="43"/>
      <c r="J10" s="43"/>
    </row>
    <row r="12" spans="2:10">
      <c r="B12" s="709" t="s">
        <v>480</v>
      </c>
      <c r="C12" s="710"/>
      <c r="D12" s="710"/>
      <c r="E12" s="710"/>
      <c r="F12" s="710"/>
      <c r="G12" s="710"/>
      <c r="H12" s="710"/>
      <c r="I12" s="710"/>
      <c r="J12" s="711"/>
    </row>
    <row r="13" spans="2:10">
      <c r="B13" s="713" t="s">
        <v>483</v>
      </c>
      <c r="C13" s="713"/>
      <c r="D13" s="713"/>
      <c r="E13" s="713"/>
      <c r="F13" s="713"/>
      <c r="G13" s="713"/>
      <c r="H13" s="713"/>
      <c r="I13" s="713"/>
      <c r="J13" s="713"/>
    </row>
    <row r="14" spans="2:10" ht="30" customHeight="1">
      <c r="B14" s="714" t="s">
        <v>484</v>
      </c>
      <c r="C14" s="714"/>
      <c r="D14" s="714"/>
      <c r="E14" s="714"/>
      <c r="F14" s="714"/>
      <c r="G14" s="714"/>
      <c r="H14" s="714"/>
      <c r="I14" s="714"/>
      <c r="J14" s="714"/>
    </row>
    <row r="15" spans="2:10">
      <c r="B15" s="713" t="s">
        <v>485</v>
      </c>
      <c r="C15" s="713"/>
      <c r="D15" s="713"/>
      <c r="E15" s="713"/>
      <c r="F15" s="713"/>
      <c r="G15" s="713"/>
      <c r="H15" s="713"/>
      <c r="I15" s="713"/>
      <c r="J15" s="713"/>
    </row>
    <row r="16" spans="2:10">
      <c r="B16" s="713" t="s">
        <v>489</v>
      </c>
      <c r="C16" s="713"/>
      <c r="D16" s="713"/>
      <c r="E16" s="713"/>
      <c r="F16" s="713"/>
      <c r="G16" s="713"/>
      <c r="H16" s="713"/>
      <c r="I16" s="713"/>
      <c r="J16" s="713"/>
    </row>
    <row r="17" spans="2:20">
      <c r="B17" s="713" t="s">
        <v>486</v>
      </c>
      <c r="C17" s="713"/>
      <c r="D17" s="713"/>
      <c r="E17" s="713"/>
      <c r="F17" s="713"/>
      <c r="G17" s="713"/>
      <c r="H17" s="713"/>
      <c r="I17" s="713"/>
      <c r="J17" s="713"/>
    </row>
    <row r="18" spans="2:20">
      <c r="B18" s="713" t="s">
        <v>487</v>
      </c>
      <c r="C18" s="713"/>
      <c r="D18" s="713"/>
      <c r="E18" s="713"/>
      <c r="F18" s="713"/>
      <c r="G18" s="713"/>
      <c r="H18" s="713"/>
      <c r="I18" s="713"/>
      <c r="J18" s="713"/>
    </row>
    <row r="19" spans="2:20">
      <c r="B19" s="713" t="s">
        <v>488</v>
      </c>
      <c r="C19" s="713"/>
      <c r="D19" s="713"/>
      <c r="E19" s="713"/>
      <c r="F19" s="713"/>
      <c r="G19" s="713"/>
      <c r="H19" s="713"/>
      <c r="I19" s="713"/>
      <c r="J19" s="713"/>
    </row>
    <row r="20" spans="2:20">
      <c r="B20" s="44"/>
      <c r="C20" s="44"/>
      <c r="D20" s="44"/>
      <c r="E20" s="44"/>
      <c r="F20" s="44"/>
      <c r="G20" s="44"/>
      <c r="H20" s="44"/>
      <c r="I20" s="44"/>
      <c r="J20" s="44"/>
    </row>
    <row r="22" spans="2:20">
      <c r="B22" s="712" t="s">
        <v>477</v>
      </c>
      <c r="C22" s="712"/>
      <c r="D22" s="712"/>
      <c r="E22" s="712"/>
      <c r="F22" s="712"/>
      <c r="G22" s="712"/>
      <c r="H22" s="712"/>
      <c r="I22" s="712"/>
      <c r="J22" s="712"/>
      <c r="L22" s="712" t="s">
        <v>494</v>
      </c>
      <c r="M22" s="712"/>
      <c r="N22" s="712"/>
      <c r="O22" s="712"/>
      <c r="P22" s="712"/>
      <c r="Q22" s="712"/>
      <c r="R22" s="712"/>
      <c r="S22" s="712"/>
      <c r="T22" s="712"/>
    </row>
    <row r="23" spans="2:20">
      <c r="B23" s="699" t="s">
        <v>58</v>
      </c>
      <c r="C23" s="700"/>
      <c r="D23" s="700"/>
      <c r="E23" s="700"/>
      <c r="F23" s="700"/>
      <c r="G23" s="700"/>
      <c r="H23" s="700"/>
      <c r="I23" s="700"/>
      <c r="J23" s="701"/>
      <c r="L23" s="699" t="s">
        <v>58</v>
      </c>
      <c r="M23" s="700"/>
      <c r="N23" s="700"/>
      <c r="O23" s="700"/>
      <c r="P23" s="700"/>
      <c r="Q23" s="700"/>
      <c r="R23" s="700"/>
      <c r="S23" s="700"/>
      <c r="T23" s="701"/>
    </row>
    <row r="24" spans="2:20">
      <c r="B24" s="702" t="s">
        <v>59</v>
      </c>
      <c r="C24" s="702"/>
      <c r="D24" s="702"/>
      <c r="E24" s="702"/>
      <c r="F24" s="702"/>
      <c r="G24" s="702"/>
      <c r="H24" s="702"/>
      <c r="I24" s="702"/>
      <c r="J24" s="702"/>
      <c r="L24" s="702" t="s">
        <v>59</v>
      </c>
      <c r="M24" s="702"/>
      <c r="N24" s="702"/>
      <c r="O24" s="702"/>
      <c r="P24" s="702"/>
      <c r="Q24" s="702"/>
      <c r="R24" s="702"/>
      <c r="S24" s="702"/>
      <c r="T24" s="702"/>
    </row>
    <row r="25" spans="2:20">
      <c r="B25" s="702" t="s">
        <v>73</v>
      </c>
      <c r="C25" s="702"/>
      <c r="D25" s="702"/>
      <c r="E25" s="702"/>
      <c r="F25" s="702"/>
      <c r="G25" s="702"/>
      <c r="H25" s="702"/>
      <c r="I25" s="702"/>
      <c r="J25" s="702"/>
      <c r="L25" s="702" t="s">
        <v>73</v>
      </c>
      <c r="M25" s="702"/>
      <c r="N25" s="702"/>
      <c r="O25" s="702"/>
      <c r="P25" s="702"/>
      <c r="Q25" s="702"/>
      <c r="R25" s="702"/>
      <c r="S25" s="702"/>
      <c r="T25" s="702"/>
    </row>
    <row r="26" spans="2:20" ht="28.5" customHeight="1">
      <c r="B26" s="702" t="s">
        <v>60</v>
      </c>
      <c r="C26" s="702"/>
      <c r="D26" s="702"/>
      <c r="E26" s="702"/>
      <c r="F26" s="702"/>
      <c r="G26" s="702"/>
      <c r="H26" s="702"/>
      <c r="I26" s="702"/>
      <c r="J26" s="702"/>
      <c r="L26" s="702" t="s">
        <v>60</v>
      </c>
      <c r="M26" s="702"/>
      <c r="N26" s="702"/>
      <c r="O26" s="702"/>
      <c r="P26" s="702"/>
      <c r="Q26" s="702"/>
      <c r="R26" s="702"/>
      <c r="S26" s="702"/>
      <c r="T26" s="702"/>
    </row>
    <row r="27" spans="2:20" ht="28.5" customHeight="1">
      <c r="B27" s="702" t="s">
        <v>61</v>
      </c>
      <c r="C27" s="702"/>
      <c r="D27" s="702"/>
      <c r="E27" s="702"/>
      <c r="F27" s="702"/>
      <c r="G27" s="702"/>
      <c r="H27" s="702"/>
      <c r="I27" s="702"/>
      <c r="J27" s="702"/>
      <c r="L27" s="702" t="s">
        <v>61</v>
      </c>
      <c r="M27" s="702"/>
      <c r="N27" s="702"/>
      <c r="O27" s="702"/>
      <c r="P27" s="702"/>
      <c r="Q27" s="702"/>
      <c r="R27" s="702"/>
      <c r="S27" s="702"/>
      <c r="T27" s="702"/>
    </row>
    <row r="28" spans="2:20">
      <c r="B28" s="45"/>
      <c r="C28" s="45"/>
      <c r="D28" s="45"/>
      <c r="E28" s="45"/>
      <c r="F28" s="45"/>
      <c r="G28" s="45"/>
      <c r="H28" s="45"/>
      <c r="I28" s="45"/>
      <c r="J28" s="45"/>
    </row>
    <row r="30" spans="2:20">
      <c r="B30" s="712" t="s">
        <v>473</v>
      </c>
      <c r="C30" s="712"/>
      <c r="D30" s="712"/>
      <c r="E30" s="712"/>
      <c r="F30" s="712"/>
      <c r="G30" s="712"/>
      <c r="H30" s="712"/>
      <c r="I30" s="712"/>
      <c r="J30" s="712"/>
    </row>
    <row r="31" spans="2:20">
      <c r="B31" s="699" t="s">
        <v>58</v>
      </c>
      <c r="C31" s="700"/>
      <c r="D31" s="700"/>
      <c r="E31" s="700"/>
      <c r="F31" s="700"/>
      <c r="G31" s="700"/>
      <c r="H31" s="700"/>
      <c r="I31" s="700"/>
      <c r="J31" s="701"/>
    </row>
    <row r="32" spans="2:20">
      <c r="B32" s="702" t="s">
        <v>474</v>
      </c>
      <c r="C32" s="702"/>
      <c r="D32" s="702"/>
      <c r="E32" s="702"/>
      <c r="F32" s="702"/>
      <c r="G32" s="702"/>
      <c r="H32" s="702"/>
      <c r="I32" s="702"/>
      <c r="J32" s="702"/>
    </row>
    <row r="33" spans="2:10" ht="30" customHeight="1">
      <c r="B33" s="702" t="s">
        <v>475</v>
      </c>
      <c r="C33" s="702"/>
      <c r="D33" s="702"/>
      <c r="E33" s="702"/>
      <c r="F33" s="702"/>
      <c r="G33" s="702"/>
      <c r="H33" s="702"/>
      <c r="I33" s="702"/>
      <c r="J33" s="702"/>
    </row>
    <row r="34" spans="2:10" ht="30" customHeight="1">
      <c r="B34" s="702" t="s">
        <v>479</v>
      </c>
      <c r="C34" s="702"/>
      <c r="D34" s="702"/>
      <c r="E34" s="702"/>
      <c r="F34" s="702"/>
      <c r="G34" s="702"/>
      <c r="H34" s="702"/>
      <c r="I34" s="702"/>
      <c r="J34" s="702"/>
    </row>
    <row r="35" spans="2:10">
      <c r="B35" s="721" t="s">
        <v>476</v>
      </c>
      <c r="C35" s="722"/>
      <c r="D35" s="722"/>
      <c r="E35" s="722"/>
      <c r="F35" s="722"/>
      <c r="G35" s="722"/>
      <c r="H35" s="722"/>
      <c r="I35" s="722"/>
      <c r="J35" s="722"/>
    </row>
    <row r="36" spans="2:10">
      <c r="B36" s="46"/>
      <c r="C36" s="47"/>
      <c r="D36" s="47"/>
      <c r="E36" s="47"/>
      <c r="F36" s="47"/>
      <c r="G36" s="47"/>
      <c r="H36" s="47"/>
      <c r="I36" s="47"/>
      <c r="J36" s="47"/>
    </row>
    <row r="38" spans="2:10">
      <c r="B38" s="723" t="s">
        <v>478</v>
      </c>
      <c r="C38" s="723"/>
      <c r="D38" s="723"/>
      <c r="E38" s="723"/>
      <c r="F38" s="723"/>
      <c r="G38" s="723"/>
      <c r="H38" s="723"/>
      <c r="I38" s="723"/>
      <c r="J38" s="723"/>
    </row>
    <row r="39" spans="2:10">
      <c r="B39" s="699" t="s">
        <v>58</v>
      </c>
      <c r="C39" s="700"/>
      <c r="D39" s="700"/>
      <c r="E39" s="700"/>
      <c r="F39" s="700"/>
      <c r="G39" s="700"/>
      <c r="H39" s="700"/>
      <c r="I39" s="700"/>
      <c r="J39" s="701"/>
    </row>
    <row r="40" spans="2:10">
      <c r="B40" s="702"/>
      <c r="C40" s="702"/>
      <c r="D40" s="702"/>
      <c r="E40" s="702"/>
      <c r="F40" s="702"/>
      <c r="G40" s="702"/>
      <c r="H40" s="702"/>
      <c r="I40" s="702"/>
      <c r="J40" s="702"/>
    </row>
    <row r="41" spans="2:10">
      <c r="B41" s="702"/>
      <c r="C41" s="702"/>
      <c r="D41" s="702"/>
      <c r="E41" s="702"/>
      <c r="F41" s="702"/>
      <c r="G41" s="702"/>
      <c r="H41" s="702"/>
      <c r="I41" s="702"/>
      <c r="J41" s="702"/>
    </row>
    <row r="42" spans="2:10">
      <c r="B42" s="702"/>
      <c r="C42" s="702"/>
      <c r="D42" s="702"/>
      <c r="E42" s="702"/>
      <c r="F42" s="702"/>
      <c r="G42" s="702"/>
      <c r="H42" s="702"/>
      <c r="I42" s="702"/>
      <c r="J42" s="702"/>
    </row>
    <row r="43" spans="2:10">
      <c r="B43" s="702"/>
      <c r="C43" s="702"/>
      <c r="D43" s="702"/>
      <c r="E43" s="702"/>
      <c r="F43" s="702"/>
      <c r="G43" s="702"/>
      <c r="H43" s="702"/>
      <c r="I43" s="702"/>
      <c r="J43" s="702"/>
    </row>
  </sheetData>
  <mergeCells count="44">
    <mergeCell ref="L27:T27"/>
    <mergeCell ref="L22:T22"/>
    <mergeCell ref="L23:T23"/>
    <mergeCell ref="L24:T24"/>
    <mergeCell ref="L25:T25"/>
    <mergeCell ref="L26:T26"/>
    <mergeCell ref="B41:J41"/>
    <mergeCell ref="B42:J42"/>
    <mergeCell ref="B43:J43"/>
    <mergeCell ref="B34:J34"/>
    <mergeCell ref="B35:J35"/>
    <mergeCell ref="B39:J39"/>
    <mergeCell ref="B40:J40"/>
    <mergeCell ref="B38:J38"/>
    <mergeCell ref="B1:J1"/>
    <mergeCell ref="B31:J31"/>
    <mergeCell ref="B32:J32"/>
    <mergeCell ref="B33:J33"/>
    <mergeCell ref="B24:J24"/>
    <mergeCell ref="B25:J25"/>
    <mergeCell ref="B30:J30"/>
    <mergeCell ref="C5:D5"/>
    <mergeCell ref="B6:C6"/>
    <mergeCell ref="D6:J6"/>
    <mergeCell ref="B2:J2"/>
    <mergeCell ref="B3:E3"/>
    <mergeCell ref="F3:J3"/>
    <mergeCell ref="B4:E4"/>
    <mergeCell ref="F4:J4"/>
    <mergeCell ref="B7:J7"/>
    <mergeCell ref="B23:J23"/>
    <mergeCell ref="B26:J26"/>
    <mergeCell ref="B27:J27"/>
    <mergeCell ref="B8:J8"/>
    <mergeCell ref="B9:J9"/>
    <mergeCell ref="B12:J12"/>
    <mergeCell ref="B22:J22"/>
    <mergeCell ref="B13:J13"/>
    <mergeCell ref="B14:J14"/>
    <mergeCell ref="B15:J15"/>
    <mergeCell ref="B16:J16"/>
    <mergeCell ref="B17:J17"/>
    <mergeCell ref="B18:J18"/>
    <mergeCell ref="B19:J19"/>
  </mergeCells>
  <hyperlinks>
    <hyperlink ref="B35" r:id="rId1" xr:uid="{FFC91303-DAD2-4F32-9747-7CFB2E3E55B8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B289D-4C80-4F53-B4B0-792606A1EE93}">
  <sheetPr codeName="Sheet6"/>
  <dimension ref="A1:E33"/>
  <sheetViews>
    <sheetView topLeftCell="A16" zoomScale="145" zoomScaleNormal="145" workbookViewId="0">
      <selection activeCell="E31" sqref="E31"/>
    </sheetView>
  </sheetViews>
  <sheetFormatPr defaultColWidth="8.85546875" defaultRowHeight="16.5"/>
  <cols>
    <col min="2" max="2" width="43.85546875" bestFit="1" customWidth="1"/>
    <col min="3" max="3" width="30.42578125" style="579" hidden="1" customWidth="1"/>
    <col min="5" max="5" width="39.5703125" style="597" bestFit="1" customWidth="1"/>
  </cols>
  <sheetData>
    <row r="1" spans="1:5" ht="18.75" customHeight="1">
      <c r="A1" s="69"/>
      <c r="B1" s="1" t="s">
        <v>11</v>
      </c>
      <c r="C1" s="561" t="s">
        <v>11</v>
      </c>
      <c r="E1" s="581" t="s">
        <v>1068</v>
      </c>
    </row>
    <row r="2" spans="1:5" ht="18.75" customHeight="1">
      <c r="A2" s="70"/>
      <c r="B2" s="1" t="s">
        <v>12</v>
      </c>
      <c r="C2" s="517" t="s">
        <v>12</v>
      </c>
      <c r="E2" s="582" t="s">
        <v>1083</v>
      </c>
    </row>
    <row r="3" spans="1:5" ht="18.75" customHeight="1">
      <c r="A3" s="71"/>
      <c r="B3" s="1" t="s">
        <v>27</v>
      </c>
      <c r="C3" s="562" t="s">
        <v>27</v>
      </c>
      <c r="E3" s="583" t="s">
        <v>1118</v>
      </c>
    </row>
    <row r="4" spans="1:5" ht="18.75" customHeight="1">
      <c r="A4" s="72"/>
      <c r="B4" s="1" t="s">
        <v>25</v>
      </c>
      <c r="C4" s="512" t="s">
        <v>25</v>
      </c>
      <c r="E4" s="584" t="s">
        <v>1090</v>
      </c>
    </row>
    <row r="5" spans="1:5" ht="18.75" customHeight="1">
      <c r="A5" s="73"/>
      <c r="B5" s="1" t="s">
        <v>13</v>
      </c>
      <c r="C5" s="563" t="s">
        <v>13</v>
      </c>
      <c r="E5" s="602" t="s">
        <v>1076</v>
      </c>
    </row>
    <row r="6" spans="1:5" ht="18.75" customHeight="1">
      <c r="A6" s="74"/>
      <c r="B6" s="1" t="s">
        <v>29</v>
      </c>
      <c r="C6" s="514" t="s">
        <v>35</v>
      </c>
      <c r="E6" s="585" t="s">
        <v>1119</v>
      </c>
    </row>
    <row r="7" spans="1:5" ht="18.75" customHeight="1">
      <c r="A7" s="75"/>
      <c r="B7" s="1" t="s">
        <v>21</v>
      </c>
      <c r="C7" s="564" t="s">
        <v>21</v>
      </c>
      <c r="E7" s="586" t="s">
        <v>1121</v>
      </c>
    </row>
    <row r="8" spans="1:5" ht="18.75" customHeight="1">
      <c r="A8" s="76"/>
      <c r="B8" s="1" t="s">
        <v>22</v>
      </c>
      <c r="C8" s="516" t="s">
        <v>22</v>
      </c>
      <c r="E8" s="603" t="s">
        <v>1075</v>
      </c>
    </row>
    <row r="9" spans="1:5" ht="18.75" customHeight="1">
      <c r="A9" s="77"/>
      <c r="B9" s="1" t="s">
        <v>14</v>
      </c>
      <c r="C9" s="565" t="s">
        <v>1067</v>
      </c>
      <c r="E9" s="588" t="s">
        <v>1082</v>
      </c>
    </row>
    <row r="10" spans="1:5" ht="18.75" customHeight="1">
      <c r="A10" s="78"/>
      <c r="B10" s="1" t="s">
        <v>15</v>
      </c>
      <c r="C10" s="560" t="s">
        <v>1063</v>
      </c>
      <c r="E10" s="589" t="s">
        <v>1078</v>
      </c>
    </row>
    <row r="11" spans="1:5" ht="18.75" customHeight="1">
      <c r="A11" s="79"/>
      <c r="B11" s="1" t="s">
        <v>37</v>
      </c>
      <c r="C11" s="566" t="s">
        <v>523</v>
      </c>
      <c r="E11" s="598" t="s">
        <v>1070</v>
      </c>
    </row>
    <row r="12" spans="1:5" ht="18.75" customHeight="1">
      <c r="A12" s="72"/>
      <c r="B12" s="1"/>
      <c r="C12" s="567" t="s">
        <v>521</v>
      </c>
      <c r="E12" s="600" t="s">
        <v>1072</v>
      </c>
    </row>
    <row r="13" spans="1:5" ht="18.75" customHeight="1">
      <c r="A13" s="80"/>
      <c r="B13" s="1" t="s">
        <v>16</v>
      </c>
      <c r="C13" s="513" t="s">
        <v>16</v>
      </c>
      <c r="E13" s="599" t="s">
        <v>1071</v>
      </c>
    </row>
    <row r="14" spans="1:5" ht="18.75" customHeight="1">
      <c r="A14" s="81"/>
      <c r="B14" s="1" t="s">
        <v>17</v>
      </c>
      <c r="C14" s="568" t="s">
        <v>17</v>
      </c>
      <c r="E14" s="590" t="s">
        <v>1080</v>
      </c>
    </row>
    <row r="15" spans="1:5" ht="18.75" customHeight="1">
      <c r="A15" s="82"/>
      <c r="B15" s="1" t="s">
        <v>18</v>
      </c>
      <c r="C15" s="569" t="s">
        <v>39</v>
      </c>
      <c r="E15" s="591" t="s">
        <v>1069</v>
      </c>
    </row>
    <row r="16" spans="1:5" ht="18.75" customHeight="1">
      <c r="A16" s="83"/>
      <c r="B16" s="1" t="s">
        <v>19</v>
      </c>
      <c r="C16" s="570" t="s">
        <v>19</v>
      </c>
      <c r="E16" s="592" t="s">
        <v>1120</v>
      </c>
    </row>
    <row r="17" spans="1:5" ht="18.75" customHeight="1">
      <c r="A17" s="84"/>
      <c r="B17" s="1" t="s">
        <v>26</v>
      </c>
      <c r="C17" s="571" t="s">
        <v>26</v>
      </c>
      <c r="E17" s="576" t="s">
        <v>1122</v>
      </c>
    </row>
    <row r="18" spans="1:5" ht="18.75" customHeight="1">
      <c r="A18" s="85"/>
      <c r="B18" s="1" t="s">
        <v>30</v>
      </c>
      <c r="C18" s="572" t="s">
        <v>30</v>
      </c>
      <c r="E18" s="593" t="s">
        <v>1123</v>
      </c>
    </row>
    <row r="19" spans="1:5" ht="18.75" customHeight="1">
      <c r="A19" s="86"/>
      <c r="B19" s="1" t="s">
        <v>20</v>
      </c>
      <c r="C19" s="557" t="s">
        <v>1065</v>
      </c>
      <c r="E19" s="601" t="s">
        <v>1073</v>
      </c>
    </row>
    <row r="20" spans="1:5" ht="18.75" customHeight="1">
      <c r="A20" s="86"/>
      <c r="B20" s="1" t="s">
        <v>20</v>
      </c>
      <c r="C20" s="557" t="s">
        <v>1064</v>
      </c>
      <c r="E20" s="601" t="s">
        <v>1074</v>
      </c>
    </row>
    <row r="21" spans="1:5" ht="18.75" customHeight="1">
      <c r="C21" s="573" t="s">
        <v>28</v>
      </c>
      <c r="E21" s="573" t="s">
        <v>28</v>
      </c>
    </row>
    <row r="22" spans="1:5" ht="18.75" customHeight="1">
      <c r="A22" s="87"/>
      <c r="B22" s="1" t="s">
        <v>31</v>
      </c>
      <c r="C22" s="574" t="s">
        <v>31</v>
      </c>
      <c r="E22" s="594" t="s">
        <v>1124</v>
      </c>
    </row>
    <row r="23" spans="1:5" ht="18.75" customHeight="1">
      <c r="A23" s="88"/>
      <c r="B23" s="1" t="s">
        <v>34</v>
      </c>
      <c r="C23" s="515" t="s">
        <v>34</v>
      </c>
      <c r="E23" s="604" t="s">
        <v>1077</v>
      </c>
    </row>
    <row r="24" spans="1:5" ht="18.75" customHeight="1">
      <c r="A24" s="89"/>
      <c r="B24" s="1" t="s">
        <v>41</v>
      </c>
      <c r="C24" s="575" t="s">
        <v>62</v>
      </c>
      <c r="E24" s="606" t="s">
        <v>1079</v>
      </c>
    </row>
    <row r="25" spans="1:5" ht="18.75" customHeight="1">
      <c r="A25" s="90"/>
      <c r="B25" s="1" t="s">
        <v>40</v>
      </c>
      <c r="C25" s="516" t="s">
        <v>62</v>
      </c>
      <c r="E25" s="587" t="s">
        <v>1079</v>
      </c>
    </row>
    <row r="26" spans="1:5" ht="18.75" customHeight="1">
      <c r="A26" s="90"/>
      <c r="B26" s="1"/>
      <c r="C26" s="576" t="s">
        <v>1066</v>
      </c>
      <c r="E26" s="576" t="s">
        <v>1066</v>
      </c>
    </row>
    <row r="27" spans="1:5" ht="18.75" customHeight="1">
      <c r="A27" s="91"/>
      <c r="C27" s="576" t="s">
        <v>42</v>
      </c>
      <c r="E27" s="576" t="s">
        <v>42</v>
      </c>
    </row>
    <row r="28" spans="1:5" ht="18.75" customHeight="1">
      <c r="A28" s="92"/>
      <c r="C28" s="577" t="s">
        <v>468</v>
      </c>
      <c r="E28" s="595" t="s">
        <v>1125</v>
      </c>
    </row>
    <row r="29" spans="1:5" ht="18.75" customHeight="1">
      <c r="A29" s="93"/>
      <c r="C29" s="578" t="s">
        <v>522</v>
      </c>
      <c r="E29" s="211" t="s">
        <v>1126</v>
      </c>
    </row>
    <row r="30" spans="1:5">
      <c r="A30" s="410"/>
      <c r="C30" s="410" t="s">
        <v>560</v>
      </c>
      <c r="E30" s="596" t="s">
        <v>1127</v>
      </c>
    </row>
    <row r="31" spans="1:5">
      <c r="E31" s="605" t="s">
        <v>1081</v>
      </c>
    </row>
    <row r="32" spans="1:5">
      <c r="C32" s="559" t="s">
        <v>913</v>
      </c>
      <c r="E32" s="652" t="s">
        <v>1091</v>
      </c>
    </row>
    <row r="33" spans="5:5">
      <c r="E33" s="583" t="s">
        <v>1128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709F3-4E52-4875-8FD2-86A5852B0BD1}">
  <sheetPr>
    <tabColor theme="5" tint="0.79998168889431442"/>
  </sheetPr>
  <dimension ref="C1:O23"/>
  <sheetViews>
    <sheetView zoomScale="130" zoomScaleNormal="130" workbookViewId="0">
      <selection activeCell="C6" sqref="C6:H6"/>
    </sheetView>
  </sheetViews>
  <sheetFormatPr defaultColWidth="8.85546875" defaultRowHeight="15"/>
  <cols>
    <col min="3" max="3" width="31.7109375" bestFit="1" customWidth="1"/>
    <col min="4" max="4" width="8.85546875" style="633"/>
    <col min="5" max="5" width="12.42578125" style="633" customWidth="1"/>
    <col min="6" max="6" width="8.85546875" style="633"/>
    <col min="7" max="7" width="25.140625" style="633" customWidth="1"/>
    <col min="8" max="8" width="8.85546875" style="633"/>
    <col min="10" max="10" width="37.42578125" customWidth="1"/>
  </cols>
  <sheetData>
    <row r="1" spans="3:15" ht="15.75">
      <c r="C1" s="631"/>
      <c r="D1" s="632"/>
      <c r="E1" s="632"/>
      <c r="F1" s="632"/>
      <c r="G1" s="632"/>
    </row>
    <row r="2" spans="3:15" ht="15.75">
      <c r="C2" s="631"/>
      <c r="D2" s="632"/>
      <c r="E2" s="632"/>
      <c r="F2" s="632"/>
      <c r="G2" s="632"/>
      <c r="J2" t="str">
        <f>"$"&amp;E3&amp;"-APN"&amp;K8&amp;"-"&amp;L8&amp;"-"&amp;D11</f>
        <v>$36580.28-APN468-M48-Magnetic MRO AS</v>
      </c>
      <c r="K2" s="634" t="s">
        <v>1117</v>
      </c>
    </row>
    <row r="3" spans="3:15" ht="15.75">
      <c r="C3" s="631" t="s">
        <v>1093</v>
      </c>
      <c r="D3" s="632" t="s">
        <v>1094</v>
      </c>
      <c r="E3" s="635">
        <v>36580.28</v>
      </c>
      <c r="F3" s="632"/>
      <c r="G3" s="632"/>
    </row>
    <row r="4" spans="3:15" ht="15.75">
      <c r="C4" s="631" t="s">
        <v>1095</v>
      </c>
      <c r="D4" s="637" t="s">
        <v>1097</v>
      </c>
      <c r="E4" s="637"/>
      <c r="F4" s="637"/>
      <c r="G4" s="637"/>
      <c r="J4" s="636" t="s">
        <v>1096</v>
      </c>
      <c r="K4" s="636"/>
      <c r="L4" s="636"/>
      <c r="M4" s="636"/>
    </row>
    <row r="5" spans="3:15" ht="15.75">
      <c r="C5" s="631"/>
      <c r="D5" s="632"/>
      <c r="E5" s="632"/>
      <c r="F5" s="632"/>
      <c r="G5" s="632"/>
      <c r="J5" s="637" t="s">
        <v>1097</v>
      </c>
      <c r="K5" s="638"/>
      <c r="L5" s="638"/>
      <c r="M5" s="638"/>
      <c r="N5" s="638"/>
      <c r="O5" s="638"/>
    </row>
    <row r="6" spans="3:15" ht="15.75" customHeight="1">
      <c r="C6" s="727" t="s">
        <v>1109</v>
      </c>
      <c r="D6" s="727"/>
      <c r="E6" s="727"/>
      <c r="F6" s="727"/>
      <c r="G6" s="727"/>
      <c r="H6" s="727"/>
      <c r="J6" s="639" t="s">
        <v>1098</v>
      </c>
      <c r="K6" s="639"/>
      <c r="L6" s="639"/>
      <c r="M6" s="639"/>
    </row>
    <row r="7" spans="3:15" ht="15.75" customHeight="1">
      <c r="K7" s="627" t="s">
        <v>1099</v>
      </c>
      <c r="L7" s="627" t="s">
        <v>9</v>
      </c>
    </row>
    <row r="8" spans="3:15" ht="18.75">
      <c r="C8" s="728" t="s">
        <v>1100</v>
      </c>
      <c r="D8" s="728"/>
      <c r="E8" s="728"/>
      <c r="F8" s="728"/>
      <c r="G8" s="728"/>
      <c r="K8" s="627">
        <v>468</v>
      </c>
      <c r="L8" s="627" t="s">
        <v>1092</v>
      </c>
    </row>
    <row r="9" spans="3:15" ht="18.75">
      <c r="C9" s="640"/>
      <c r="D9" s="641"/>
      <c r="E9" s="641"/>
      <c r="F9" s="641"/>
      <c r="G9" s="641"/>
      <c r="J9" s="724" t="s">
        <v>1114</v>
      </c>
      <c r="K9" s="724"/>
      <c r="L9" s="724"/>
      <c r="M9" s="724"/>
      <c r="N9" s="724"/>
      <c r="O9" s="724"/>
    </row>
    <row r="10" spans="3:15" ht="15.75">
      <c r="C10" s="631"/>
      <c r="D10" s="632"/>
      <c r="E10" s="632"/>
      <c r="F10" s="632"/>
      <c r="G10" s="632"/>
    </row>
    <row r="11" spans="3:15" ht="15.75">
      <c r="C11" s="631" t="s">
        <v>1101</v>
      </c>
      <c r="D11" s="725" t="s">
        <v>1111</v>
      </c>
      <c r="E11" s="726"/>
      <c r="F11" s="726"/>
      <c r="G11" s="726"/>
    </row>
    <row r="12" spans="3:15" ht="30" customHeight="1">
      <c r="C12" s="631" t="s">
        <v>1102</v>
      </c>
      <c r="D12" s="729" t="s">
        <v>1115</v>
      </c>
      <c r="E12" s="729"/>
      <c r="F12" s="729"/>
      <c r="G12" s="729"/>
      <c r="J12" t="s">
        <v>1108</v>
      </c>
    </row>
    <row r="13" spans="3:15" ht="15.75">
      <c r="C13" s="631" t="s">
        <v>1103</v>
      </c>
      <c r="D13" s="725" t="s">
        <v>1112</v>
      </c>
      <c r="E13" s="726"/>
      <c r="F13" s="726"/>
      <c r="G13" s="726"/>
    </row>
    <row r="14" spans="3:15" ht="15.75">
      <c r="C14" s="631" t="s">
        <v>1104</v>
      </c>
      <c r="D14" s="725" t="s">
        <v>1110</v>
      </c>
      <c r="E14" s="726"/>
      <c r="F14" s="726"/>
      <c r="G14" s="726"/>
    </row>
    <row r="15" spans="3:15" ht="48" customHeight="1">
      <c r="C15" s="631"/>
      <c r="D15" s="726"/>
      <c r="E15" s="726"/>
      <c r="F15" s="726"/>
      <c r="G15" s="726"/>
    </row>
    <row r="16" spans="3:15" ht="15.75">
      <c r="C16" s="631"/>
      <c r="D16" s="632"/>
      <c r="E16" s="632"/>
      <c r="F16" s="632"/>
      <c r="G16" s="632"/>
    </row>
    <row r="17" spans="3:7" ht="18.75">
      <c r="C17" s="728" t="s">
        <v>1105</v>
      </c>
      <c r="D17" s="728"/>
      <c r="E17" s="728"/>
      <c r="F17" s="728"/>
      <c r="G17" s="728"/>
    </row>
    <row r="18" spans="3:7" ht="15.75">
      <c r="C18" s="631"/>
      <c r="D18" s="632"/>
      <c r="E18" s="632"/>
      <c r="F18" s="632"/>
      <c r="G18" s="632"/>
    </row>
    <row r="19" spans="3:7" ht="15.75">
      <c r="C19" s="631"/>
      <c r="D19" s="632"/>
      <c r="E19" s="632"/>
      <c r="F19" s="632"/>
      <c r="G19" s="632"/>
    </row>
    <row r="20" spans="3:7" ht="15.75">
      <c r="C20" s="631" t="s">
        <v>1106</v>
      </c>
      <c r="D20" s="726" t="s">
        <v>1113</v>
      </c>
      <c r="E20" s="726"/>
      <c r="F20" s="726"/>
      <c r="G20" s="726"/>
    </row>
    <row r="21" spans="3:7" ht="15.75">
      <c r="C21" s="631" t="s">
        <v>1107</v>
      </c>
      <c r="D21" s="725" t="s">
        <v>1116</v>
      </c>
      <c r="E21" s="726"/>
      <c r="F21" s="726"/>
      <c r="G21" s="726"/>
    </row>
    <row r="22" spans="3:7" ht="39" customHeight="1">
      <c r="C22" s="631"/>
      <c r="D22" s="726"/>
      <c r="E22" s="726"/>
      <c r="F22" s="726"/>
      <c r="G22" s="726"/>
    </row>
    <row r="23" spans="3:7" ht="15.75">
      <c r="C23" s="631"/>
      <c r="D23" s="632"/>
      <c r="E23" s="632"/>
      <c r="F23" s="632"/>
      <c r="G23" s="632"/>
    </row>
  </sheetData>
  <mergeCells count="10">
    <mergeCell ref="J9:O9"/>
    <mergeCell ref="D14:G15"/>
    <mergeCell ref="D20:G20"/>
    <mergeCell ref="D21:G22"/>
    <mergeCell ref="C6:H6"/>
    <mergeCell ref="C8:G8"/>
    <mergeCell ref="D11:G11"/>
    <mergeCell ref="D12:G12"/>
    <mergeCell ref="D13:G13"/>
    <mergeCell ref="C17:G17"/>
  </mergeCells>
  <printOptions horizontalCentered="1"/>
  <pageMargins left="0.7" right="0.7" top="0.75" bottom="0.75" header="0.3" footer="0.3"/>
  <pageSetup scale="9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C4EC-10CE-40E4-B17E-C98F005B7AAD}">
  <dimension ref="C1:O25"/>
  <sheetViews>
    <sheetView zoomScaleNormal="100" workbookViewId="0">
      <selection activeCell="J17" sqref="J17"/>
    </sheetView>
  </sheetViews>
  <sheetFormatPr defaultColWidth="8.85546875" defaultRowHeight="15"/>
  <cols>
    <col min="3" max="3" width="30.7109375" bestFit="1" customWidth="1"/>
    <col min="5" max="5" width="11.28515625" bestFit="1" customWidth="1"/>
    <col min="13" max="13" width="11" bestFit="1" customWidth="1"/>
  </cols>
  <sheetData>
    <row r="1" spans="3:15" ht="15.75">
      <c r="C1" s="631"/>
      <c r="D1" s="631"/>
      <c r="E1" s="631"/>
      <c r="F1" s="631"/>
      <c r="G1" s="631"/>
      <c r="H1" s="631"/>
    </row>
    <row r="2" spans="3:15" ht="15.75">
      <c r="C2" s="631"/>
      <c r="D2" s="631"/>
      <c r="E2" s="631"/>
      <c r="F2" s="631"/>
      <c r="G2" s="631"/>
      <c r="H2" s="631"/>
    </row>
    <row r="3" spans="3:15" ht="15.75">
      <c r="C3" s="631" t="s">
        <v>1093</v>
      </c>
      <c r="D3" s="631" t="s">
        <v>1094</v>
      </c>
      <c r="E3" s="653" t="str">
        <f>J3</f>
        <v>$2,440.00</v>
      </c>
      <c r="F3" s="631"/>
      <c r="G3" s="631"/>
      <c r="H3" s="631"/>
      <c r="J3" t="s">
        <v>1129</v>
      </c>
    </row>
    <row r="4" spans="3:15" ht="15.75" customHeight="1">
      <c r="C4" s="631" t="s">
        <v>1095</v>
      </c>
      <c r="D4" s="731" t="s">
        <v>1097</v>
      </c>
      <c r="E4" s="731"/>
      <c r="F4" s="731"/>
      <c r="G4" s="731"/>
      <c r="H4" s="731"/>
      <c r="L4" s="636" t="s">
        <v>1130</v>
      </c>
    </row>
    <row r="5" spans="3:15" ht="15.75">
      <c r="C5" s="631"/>
      <c r="D5" s="731"/>
      <c r="E5" s="731"/>
      <c r="F5" s="731"/>
      <c r="G5" s="731"/>
      <c r="H5" s="731"/>
      <c r="L5" s="637" t="s">
        <v>1097</v>
      </c>
    </row>
    <row r="6" spans="3:15" ht="15.75">
      <c r="C6" s="631"/>
      <c r="D6" s="631"/>
      <c r="E6" s="631"/>
      <c r="F6" s="631"/>
      <c r="G6" s="631"/>
      <c r="H6" s="631"/>
      <c r="L6" s="639" t="s">
        <v>1098</v>
      </c>
    </row>
    <row r="7" spans="3:15" ht="20.25">
      <c r="C7" s="732" t="s">
        <v>1131</v>
      </c>
      <c r="D7" s="732"/>
      <c r="E7" s="732"/>
      <c r="F7" s="732"/>
      <c r="G7" s="732"/>
      <c r="H7" s="732"/>
    </row>
    <row r="8" spans="3:15" ht="20.25">
      <c r="C8" s="654"/>
      <c r="D8" s="654"/>
      <c r="E8" s="654"/>
      <c r="F8" s="654"/>
      <c r="G8" s="654"/>
      <c r="H8" s="654"/>
      <c r="M8" s="655"/>
      <c r="O8" s="656"/>
    </row>
    <row r="9" spans="3:15" ht="20.25">
      <c r="C9" s="654"/>
      <c r="D9" s="654"/>
      <c r="E9" s="654"/>
      <c r="F9" s="654"/>
      <c r="G9" s="654"/>
      <c r="H9" s="654"/>
      <c r="M9" s="655"/>
      <c r="O9" s="656"/>
    </row>
    <row r="10" spans="3:15" ht="18.75">
      <c r="C10" s="728" t="s">
        <v>1100</v>
      </c>
      <c r="D10" s="728"/>
      <c r="E10" s="728"/>
      <c r="F10" s="728"/>
      <c r="G10" s="728"/>
      <c r="H10" s="728"/>
      <c r="M10" s="655"/>
      <c r="O10" s="656"/>
    </row>
    <row r="11" spans="3:15" ht="18.75">
      <c r="C11" s="640"/>
      <c r="D11" s="640"/>
      <c r="E11" s="640"/>
      <c r="F11" s="640"/>
      <c r="G11" s="640"/>
      <c r="H11" s="640"/>
      <c r="O11" s="656"/>
    </row>
    <row r="12" spans="3:15" ht="15.75">
      <c r="C12" s="631"/>
      <c r="D12" s="631"/>
      <c r="E12" s="631"/>
      <c r="F12" s="631"/>
      <c r="G12" s="631"/>
      <c r="H12" s="631"/>
      <c r="M12" s="655"/>
      <c r="O12" s="656"/>
    </row>
    <row r="13" spans="3:15" ht="15.75">
      <c r="C13" s="631" t="s">
        <v>1101</v>
      </c>
      <c r="D13" s="733" t="s">
        <v>732</v>
      </c>
      <c r="E13" s="733"/>
      <c r="F13" s="733"/>
      <c r="G13" s="733"/>
      <c r="H13" s="733"/>
      <c r="O13" s="656"/>
    </row>
    <row r="14" spans="3:15" ht="15.75">
      <c r="C14" s="631" t="s">
        <v>1132</v>
      </c>
      <c r="D14" s="734" t="s">
        <v>1133</v>
      </c>
      <c r="E14" s="734"/>
      <c r="F14" s="734"/>
      <c r="G14" s="734"/>
      <c r="H14" s="734"/>
      <c r="O14" s="656"/>
    </row>
    <row r="15" spans="3:15" ht="15.75">
      <c r="C15" s="631" t="s">
        <v>1134</v>
      </c>
      <c r="D15" s="733" t="s">
        <v>1135</v>
      </c>
      <c r="E15" s="733"/>
      <c r="F15" s="733"/>
      <c r="G15" s="733"/>
      <c r="H15" s="733"/>
      <c r="O15" s="656"/>
    </row>
    <row r="16" spans="3:15" ht="15.75">
      <c r="C16" s="631" t="s">
        <v>1104</v>
      </c>
      <c r="D16" s="725" t="s">
        <v>1136</v>
      </c>
      <c r="E16" s="726"/>
      <c r="F16" s="726"/>
      <c r="G16" s="726"/>
      <c r="H16" s="726"/>
    </row>
    <row r="17" spans="3:8" ht="15.75">
      <c r="C17" s="631"/>
      <c r="D17" s="726"/>
      <c r="E17" s="726"/>
      <c r="F17" s="726"/>
      <c r="G17" s="726"/>
      <c r="H17" s="726"/>
    </row>
    <row r="18" spans="3:8" ht="15.75">
      <c r="C18" s="631"/>
      <c r="D18" s="631"/>
      <c r="E18" s="631"/>
      <c r="F18" s="631"/>
      <c r="G18" s="631"/>
      <c r="H18" s="631"/>
    </row>
    <row r="19" spans="3:8" ht="18.75">
      <c r="C19" s="728" t="s">
        <v>1105</v>
      </c>
      <c r="D19" s="728"/>
      <c r="E19" s="728"/>
      <c r="F19" s="728"/>
      <c r="G19" s="728"/>
      <c r="H19" s="728"/>
    </row>
    <row r="20" spans="3:8" ht="15.75">
      <c r="C20" s="631"/>
      <c r="D20" s="631"/>
      <c r="E20" s="631"/>
      <c r="F20" s="631"/>
      <c r="G20" s="631"/>
      <c r="H20" s="631"/>
    </row>
    <row r="21" spans="3:8" ht="15.75">
      <c r="C21" s="631"/>
      <c r="D21" s="631"/>
      <c r="E21" s="631"/>
      <c r="F21" s="631"/>
      <c r="G21" s="631"/>
      <c r="H21" s="631"/>
    </row>
    <row r="22" spans="3:8" ht="15.75">
      <c r="C22" s="631" t="s">
        <v>1106</v>
      </c>
      <c r="D22" s="730" t="s">
        <v>1137</v>
      </c>
      <c r="E22" s="730"/>
      <c r="F22" s="730"/>
      <c r="G22" s="730"/>
      <c r="H22" s="730"/>
    </row>
    <row r="23" spans="3:8" ht="15.75">
      <c r="C23" s="631" t="s">
        <v>1107</v>
      </c>
      <c r="D23" s="725" t="s">
        <v>1138</v>
      </c>
      <c r="E23" s="726"/>
      <c r="F23" s="726"/>
      <c r="G23" s="726"/>
      <c r="H23" s="726"/>
    </row>
    <row r="24" spans="3:8" ht="15.75">
      <c r="C24" s="631"/>
      <c r="D24" s="726"/>
      <c r="E24" s="726"/>
      <c r="F24" s="726"/>
      <c r="G24" s="726"/>
      <c r="H24" s="726"/>
    </row>
    <row r="25" spans="3:8" ht="15.75">
      <c r="C25" s="631"/>
      <c r="D25" s="631"/>
      <c r="E25" s="631"/>
      <c r="F25" s="631"/>
      <c r="G25" s="631"/>
      <c r="H25" s="631"/>
    </row>
  </sheetData>
  <mergeCells count="10">
    <mergeCell ref="D16:H17"/>
    <mergeCell ref="C19:H19"/>
    <mergeCell ref="D22:H22"/>
    <mergeCell ref="D23:H24"/>
    <mergeCell ref="D4:H5"/>
    <mergeCell ref="C7:H7"/>
    <mergeCell ref="C10:H10"/>
    <mergeCell ref="D13:H13"/>
    <mergeCell ref="D14:H14"/>
    <mergeCell ref="D15:H15"/>
  </mergeCells>
  <printOptions horizontalCentere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242C-7221-461E-A704-B2C579520AFA}">
  <sheetPr codeName="Sheet1">
    <pageSetUpPr fitToPage="1"/>
  </sheetPr>
  <dimension ref="A1:AF315"/>
  <sheetViews>
    <sheetView topLeftCell="G1" zoomScale="55" zoomScaleNormal="55" workbookViewId="0">
      <pane ySplit="2" topLeftCell="A3" activePane="bottomLeft" state="frozen"/>
      <selection activeCell="I1" sqref="I1:I2"/>
      <selection pane="bottomLeft" activeCell="I1" sqref="I1:I2"/>
    </sheetView>
  </sheetViews>
  <sheetFormatPr defaultColWidth="8.85546875" defaultRowHeight="17.25"/>
  <cols>
    <col min="1" max="1" width="8.42578125" style="5" customWidth="1"/>
    <col min="2" max="2" width="16.85546875" style="98" customWidth="1"/>
    <col min="3" max="3" width="8.42578125" style="5" customWidth="1"/>
    <col min="4" max="4" width="9.85546875" style="5" customWidth="1"/>
    <col min="5" max="5" width="11.42578125" style="5" customWidth="1"/>
    <col min="6" max="6" width="32.42578125" style="5" customWidth="1"/>
    <col min="7" max="8" width="13.85546875" style="5" customWidth="1"/>
    <col min="9" max="9" width="35.42578125" style="13" customWidth="1"/>
    <col min="10" max="10" width="32.42578125" style="5" customWidth="1"/>
    <col min="11" max="11" width="15.42578125" style="5" customWidth="1"/>
    <col min="12" max="12" width="13.85546875" style="5" customWidth="1"/>
    <col min="13" max="13" width="15.42578125" style="5" customWidth="1"/>
    <col min="14" max="14" width="19.42578125" style="5" customWidth="1"/>
    <col min="15" max="15" width="19.85546875" style="5" customWidth="1"/>
    <col min="16" max="16" width="15.42578125" style="5" customWidth="1"/>
    <col min="17" max="17" width="29.42578125" style="5" customWidth="1"/>
    <col min="18" max="18" width="21.42578125" style="94" customWidth="1"/>
    <col min="19" max="19" width="32.42578125" style="5" customWidth="1"/>
    <col min="20" max="20" width="15.85546875" style="5" customWidth="1"/>
    <col min="21" max="21" width="27.42578125" style="5" customWidth="1"/>
    <col min="22" max="22" width="17" style="95" customWidth="1"/>
    <col min="23" max="23" width="18" style="96" customWidth="1"/>
    <col min="24" max="24" width="18.140625" style="97" hidden="1" customWidth="1"/>
    <col min="25" max="25" width="21.140625" style="5" hidden="1" customWidth="1"/>
    <col min="26" max="26" width="20.42578125" style="5" hidden="1" customWidth="1"/>
    <col min="27" max="27" width="15.42578125" style="358" customWidth="1"/>
    <col min="28" max="28" width="34.42578125" style="322" customWidth="1"/>
    <col min="29" max="29" width="48.42578125" style="94" customWidth="1"/>
    <col min="30" max="30" width="59.42578125" style="94" customWidth="1"/>
    <col min="31" max="31" width="19.85546875" style="167" bestFit="1" customWidth="1"/>
    <col min="32" max="32" width="23.42578125" style="94" bestFit="1" customWidth="1"/>
    <col min="33" max="16384" width="8.85546875" style="13"/>
  </cols>
  <sheetData>
    <row r="1" spans="1:32" ht="35.25" customHeight="1">
      <c r="A1" s="738" t="s">
        <v>0</v>
      </c>
      <c r="B1" s="738" t="s">
        <v>386</v>
      </c>
      <c r="C1" s="738" t="s">
        <v>66</v>
      </c>
      <c r="D1" s="739" t="s">
        <v>70</v>
      </c>
      <c r="E1" s="738" t="s">
        <v>9</v>
      </c>
      <c r="F1" s="738" t="s">
        <v>8</v>
      </c>
      <c r="G1" s="738" t="s">
        <v>1</v>
      </c>
      <c r="H1" s="738" t="s">
        <v>67</v>
      </c>
      <c r="I1" s="738" t="s">
        <v>2</v>
      </c>
      <c r="J1" s="738" t="s">
        <v>3</v>
      </c>
      <c r="K1" s="739" t="s">
        <v>71</v>
      </c>
      <c r="L1" s="738" t="s">
        <v>10</v>
      </c>
      <c r="M1" s="748" t="s">
        <v>72</v>
      </c>
      <c r="N1" s="738" t="s">
        <v>6</v>
      </c>
      <c r="O1" s="738"/>
      <c r="P1" s="738" t="s">
        <v>63</v>
      </c>
      <c r="Q1" s="743" t="s">
        <v>33</v>
      </c>
      <c r="R1" s="755" t="s">
        <v>32</v>
      </c>
      <c r="S1" s="743" t="s">
        <v>68</v>
      </c>
      <c r="T1" s="743" t="s">
        <v>36</v>
      </c>
      <c r="U1" s="748" t="s">
        <v>64</v>
      </c>
      <c r="V1" s="743" t="s">
        <v>7</v>
      </c>
      <c r="W1" s="743"/>
      <c r="X1" s="753" t="s">
        <v>69</v>
      </c>
      <c r="Y1" s="749" t="s">
        <v>38</v>
      </c>
      <c r="Z1" s="751" t="s">
        <v>24</v>
      </c>
      <c r="AA1" s="743" t="s">
        <v>528</v>
      </c>
      <c r="AB1" s="752" t="s">
        <v>23</v>
      </c>
      <c r="AC1" s="744" t="s">
        <v>65</v>
      </c>
      <c r="AD1" s="245"/>
      <c r="AE1" s="746" t="s">
        <v>667</v>
      </c>
      <c r="AF1" s="744" t="s">
        <v>668</v>
      </c>
    </row>
    <row r="2" spans="1:32" ht="42" customHeight="1">
      <c r="A2" s="738"/>
      <c r="B2" s="738"/>
      <c r="C2" s="738"/>
      <c r="D2" s="738"/>
      <c r="E2" s="738"/>
      <c r="F2" s="738"/>
      <c r="G2" s="738"/>
      <c r="H2" s="738"/>
      <c r="I2" s="738"/>
      <c r="J2" s="738"/>
      <c r="K2" s="739"/>
      <c r="L2" s="738"/>
      <c r="M2" s="748"/>
      <c r="N2" s="244" t="s">
        <v>4</v>
      </c>
      <c r="O2" s="244" t="s">
        <v>5</v>
      </c>
      <c r="P2" s="738"/>
      <c r="Q2" s="743"/>
      <c r="R2" s="755"/>
      <c r="S2" s="743"/>
      <c r="T2" s="743"/>
      <c r="U2" s="748"/>
      <c r="V2" s="238" t="s">
        <v>4</v>
      </c>
      <c r="W2" s="237" t="s">
        <v>5</v>
      </c>
      <c r="X2" s="754"/>
      <c r="Y2" s="750"/>
      <c r="Z2" s="751"/>
      <c r="AA2" s="743"/>
      <c r="AB2" s="752"/>
      <c r="AC2" s="745"/>
      <c r="AD2" s="246"/>
      <c r="AE2" s="747"/>
      <c r="AF2" s="745"/>
    </row>
    <row r="3" spans="1:32" s="21" customFormat="1" ht="43.5" customHeight="1">
      <c r="A3" s="28">
        <v>1</v>
      </c>
      <c r="B3" s="41"/>
      <c r="C3" s="28">
        <v>1015</v>
      </c>
      <c r="D3" s="28">
        <v>1</v>
      </c>
      <c r="E3" s="28" t="s">
        <v>79</v>
      </c>
      <c r="F3" s="28" t="s">
        <v>78</v>
      </c>
      <c r="G3" s="28">
        <v>350</v>
      </c>
      <c r="H3" s="28" t="s">
        <v>77</v>
      </c>
      <c r="I3" s="28" t="s">
        <v>74</v>
      </c>
      <c r="J3" s="28" t="s">
        <v>75</v>
      </c>
      <c r="K3" s="28">
        <v>0</v>
      </c>
      <c r="L3" s="29" t="s">
        <v>76</v>
      </c>
      <c r="M3" s="26">
        <v>8</v>
      </c>
      <c r="N3" s="30">
        <v>29345.63</v>
      </c>
      <c r="O3" s="30">
        <f t="shared" ref="O3:O8" si="0">N3*K3</f>
        <v>0</v>
      </c>
      <c r="P3" s="25"/>
      <c r="Q3" s="31"/>
      <c r="R3" s="35"/>
      <c r="S3" s="28" t="s">
        <v>115</v>
      </c>
      <c r="T3" s="31" t="s">
        <v>81</v>
      </c>
      <c r="U3" s="29" t="s">
        <v>82</v>
      </c>
      <c r="V3" s="48">
        <v>45460</v>
      </c>
      <c r="W3" s="36">
        <f t="shared" ref="W3:W32" si="1">V3*K3</f>
        <v>0</v>
      </c>
      <c r="X3" s="33"/>
      <c r="Y3" s="34">
        <v>1.28</v>
      </c>
      <c r="Z3" s="229" t="e">
        <f t="shared" ref="Z3:Z34" si="2">W3/O3/Y3</f>
        <v>#DIV/0!</v>
      </c>
      <c r="AA3" s="349"/>
      <c r="AB3" s="204" t="s">
        <v>560</v>
      </c>
      <c r="AC3" s="38"/>
      <c r="AD3" s="171"/>
      <c r="AE3" s="27"/>
      <c r="AF3" s="38"/>
    </row>
    <row r="4" spans="1:32" s="21" customFormat="1" ht="43.5" customHeight="1">
      <c r="A4" s="28">
        <f t="shared" ref="A4:A35" si="3">A3+1</f>
        <v>2</v>
      </c>
      <c r="B4" s="41"/>
      <c r="C4" s="28">
        <v>1016</v>
      </c>
      <c r="D4" s="28">
        <v>1</v>
      </c>
      <c r="E4" s="28" t="s">
        <v>79</v>
      </c>
      <c r="F4" s="28" t="s">
        <v>78</v>
      </c>
      <c r="G4" s="28">
        <v>350</v>
      </c>
      <c r="H4" s="28" t="s">
        <v>77</v>
      </c>
      <c r="I4" s="28" t="s">
        <v>74</v>
      </c>
      <c r="J4" s="28" t="s">
        <v>75</v>
      </c>
      <c r="K4" s="28">
        <v>0</v>
      </c>
      <c r="L4" s="29" t="s">
        <v>76</v>
      </c>
      <c r="M4" s="26">
        <v>8</v>
      </c>
      <c r="N4" s="30">
        <v>29345.63</v>
      </c>
      <c r="O4" s="30">
        <f t="shared" si="0"/>
        <v>0</v>
      </c>
      <c r="P4" s="25"/>
      <c r="Q4" s="31"/>
      <c r="R4" s="35"/>
      <c r="S4" s="28" t="s">
        <v>115</v>
      </c>
      <c r="T4" s="31" t="s">
        <v>81</v>
      </c>
      <c r="U4" s="29" t="s">
        <v>82</v>
      </c>
      <c r="V4" s="48">
        <v>45460</v>
      </c>
      <c r="W4" s="36">
        <f t="shared" si="1"/>
        <v>0</v>
      </c>
      <c r="X4" s="33"/>
      <c r="Y4" s="34">
        <v>1.28</v>
      </c>
      <c r="Z4" s="229" t="e">
        <f t="shared" si="2"/>
        <v>#DIV/0!</v>
      </c>
      <c r="AA4" s="349"/>
      <c r="AB4" s="204" t="s">
        <v>560</v>
      </c>
      <c r="AC4" s="38"/>
      <c r="AD4" s="171"/>
      <c r="AE4" s="27"/>
      <c r="AF4" s="38"/>
    </row>
    <row r="5" spans="1:32" s="21" customFormat="1" ht="43.5" customHeight="1">
      <c r="A5" s="28">
        <f t="shared" si="3"/>
        <v>3</v>
      </c>
      <c r="B5" s="41"/>
      <c r="C5" s="28">
        <v>1017</v>
      </c>
      <c r="D5" s="28">
        <v>1</v>
      </c>
      <c r="E5" s="28" t="s">
        <v>79</v>
      </c>
      <c r="F5" s="28" t="s">
        <v>80</v>
      </c>
      <c r="G5" s="28">
        <v>350</v>
      </c>
      <c r="H5" s="28" t="s">
        <v>77</v>
      </c>
      <c r="I5" s="28" t="s">
        <v>74</v>
      </c>
      <c r="J5" s="28" t="s">
        <v>75</v>
      </c>
      <c r="K5" s="28">
        <v>0</v>
      </c>
      <c r="L5" s="29" t="s">
        <v>76</v>
      </c>
      <c r="M5" s="26">
        <v>8</v>
      </c>
      <c r="N5" s="30">
        <v>33500</v>
      </c>
      <c r="O5" s="30">
        <f t="shared" si="0"/>
        <v>0</v>
      </c>
      <c r="P5" s="25"/>
      <c r="Q5" s="31"/>
      <c r="R5" s="35"/>
      <c r="S5" s="28" t="s">
        <v>115</v>
      </c>
      <c r="T5" s="31" t="s">
        <v>81</v>
      </c>
      <c r="U5" s="29" t="s">
        <v>82</v>
      </c>
      <c r="V5" s="48">
        <v>45460</v>
      </c>
      <c r="W5" s="36">
        <f t="shared" si="1"/>
        <v>0</v>
      </c>
      <c r="X5" s="33"/>
      <c r="Y5" s="34">
        <v>1.28</v>
      </c>
      <c r="Z5" s="229" t="e">
        <f t="shared" si="2"/>
        <v>#DIV/0!</v>
      </c>
      <c r="AA5" s="349"/>
      <c r="AB5" s="204" t="s">
        <v>560</v>
      </c>
      <c r="AC5" s="38"/>
      <c r="AD5" s="171"/>
      <c r="AE5" s="27"/>
      <c r="AF5" s="38"/>
    </row>
    <row r="6" spans="1:32" s="21" customFormat="1" ht="43.5" customHeight="1">
      <c r="A6" s="52">
        <f t="shared" si="3"/>
        <v>4</v>
      </c>
      <c r="B6" s="53"/>
      <c r="C6" s="52">
        <v>1087</v>
      </c>
      <c r="D6" s="52">
        <v>1</v>
      </c>
      <c r="E6" s="52" t="s">
        <v>79</v>
      </c>
      <c r="F6" s="52" t="s">
        <v>112</v>
      </c>
      <c r="G6" s="52">
        <v>350</v>
      </c>
      <c r="H6" s="52" t="s">
        <v>77</v>
      </c>
      <c r="I6" s="52" t="s">
        <v>83</v>
      </c>
      <c r="J6" s="52" t="s">
        <v>84</v>
      </c>
      <c r="K6" s="52">
        <v>50</v>
      </c>
      <c r="L6" s="54" t="s">
        <v>76</v>
      </c>
      <c r="M6" s="60"/>
      <c r="N6" s="55">
        <v>5</v>
      </c>
      <c r="O6" s="55">
        <f t="shared" si="0"/>
        <v>250</v>
      </c>
      <c r="P6" s="100"/>
      <c r="Q6" s="59" t="s">
        <v>86</v>
      </c>
      <c r="R6" s="114">
        <v>45518</v>
      </c>
      <c r="S6" s="52" t="s">
        <v>93</v>
      </c>
      <c r="T6" s="59" t="s">
        <v>85</v>
      </c>
      <c r="U6" s="54"/>
      <c r="V6" s="99">
        <v>39</v>
      </c>
      <c r="W6" s="61">
        <f t="shared" si="1"/>
        <v>1950</v>
      </c>
      <c r="X6" s="62"/>
      <c r="Y6" s="63">
        <v>1.28</v>
      </c>
      <c r="Z6" s="229">
        <f t="shared" si="2"/>
        <v>6.09375</v>
      </c>
      <c r="AA6" s="349"/>
      <c r="AB6" s="181" t="s">
        <v>39</v>
      </c>
      <c r="AC6" s="60"/>
      <c r="AD6" s="172"/>
      <c r="AE6" s="64"/>
      <c r="AF6" s="60"/>
    </row>
    <row r="7" spans="1:32" s="21" customFormat="1" ht="43.5" customHeight="1">
      <c r="A7" s="52">
        <f t="shared" si="3"/>
        <v>5</v>
      </c>
      <c r="B7" s="53"/>
      <c r="C7" s="52">
        <v>1088</v>
      </c>
      <c r="D7" s="52">
        <v>1</v>
      </c>
      <c r="E7" s="52" t="s">
        <v>79</v>
      </c>
      <c r="F7" s="52" t="s">
        <v>100</v>
      </c>
      <c r="G7" s="52">
        <v>350</v>
      </c>
      <c r="H7" s="52" t="s">
        <v>77</v>
      </c>
      <c r="I7" s="52" t="s">
        <v>87</v>
      </c>
      <c r="J7" s="52" t="s">
        <v>89</v>
      </c>
      <c r="K7" s="52">
        <v>1</v>
      </c>
      <c r="L7" s="54" t="s">
        <v>91</v>
      </c>
      <c r="M7" s="60"/>
      <c r="N7" s="55">
        <v>289.10000000000002</v>
      </c>
      <c r="O7" s="55">
        <f t="shared" si="0"/>
        <v>289.10000000000002</v>
      </c>
      <c r="P7" s="100"/>
      <c r="Q7" s="59" t="s">
        <v>94</v>
      </c>
      <c r="R7" s="114">
        <v>45521</v>
      </c>
      <c r="S7" s="52" t="s">
        <v>92</v>
      </c>
      <c r="T7" s="59" t="s">
        <v>81</v>
      </c>
      <c r="U7" s="54"/>
      <c r="V7" s="99">
        <v>530</v>
      </c>
      <c r="W7" s="61">
        <f t="shared" si="1"/>
        <v>530</v>
      </c>
      <c r="X7" s="62"/>
      <c r="Y7" s="63">
        <v>1.28</v>
      </c>
      <c r="Z7" s="229">
        <f t="shared" si="2"/>
        <v>1.4322466274645449</v>
      </c>
      <c r="AA7" s="349"/>
      <c r="AB7" s="181" t="s">
        <v>39</v>
      </c>
      <c r="AC7" s="60"/>
      <c r="AD7" s="172"/>
      <c r="AE7" s="64"/>
      <c r="AF7" s="60"/>
    </row>
    <row r="8" spans="1:32" s="21" customFormat="1" ht="43.5" customHeight="1">
      <c r="A8" s="52">
        <f t="shared" si="3"/>
        <v>6</v>
      </c>
      <c r="B8" s="53"/>
      <c r="C8" s="52">
        <v>1089</v>
      </c>
      <c r="D8" s="52">
        <v>2</v>
      </c>
      <c r="E8" s="52" t="s">
        <v>79</v>
      </c>
      <c r="F8" s="52" t="s">
        <v>100</v>
      </c>
      <c r="G8" s="52">
        <v>350</v>
      </c>
      <c r="H8" s="52" t="s">
        <v>77</v>
      </c>
      <c r="I8" s="52" t="s">
        <v>88</v>
      </c>
      <c r="J8" s="52" t="s">
        <v>90</v>
      </c>
      <c r="K8" s="52">
        <v>16</v>
      </c>
      <c r="L8" s="54" t="s">
        <v>91</v>
      </c>
      <c r="M8" s="60"/>
      <c r="N8" s="55">
        <v>62</v>
      </c>
      <c r="O8" s="55">
        <f t="shared" si="0"/>
        <v>992</v>
      </c>
      <c r="P8" s="100"/>
      <c r="Q8" s="59" t="s">
        <v>94</v>
      </c>
      <c r="R8" s="114">
        <v>45521</v>
      </c>
      <c r="S8" s="52" t="s">
        <v>92</v>
      </c>
      <c r="T8" s="59" t="s">
        <v>81</v>
      </c>
      <c r="U8" s="59" t="s">
        <v>99</v>
      </c>
      <c r="V8" s="99">
        <v>110</v>
      </c>
      <c r="W8" s="61">
        <f t="shared" si="1"/>
        <v>1760</v>
      </c>
      <c r="X8" s="62"/>
      <c r="Y8" s="63">
        <v>1.28</v>
      </c>
      <c r="Z8" s="229">
        <f t="shared" si="2"/>
        <v>1.3860887096774193</v>
      </c>
      <c r="AA8" s="349"/>
      <c r="AB8" s="181" t="s">
        <v>39</v>
      </c>
      <c r="AC8" s="60"/>
      <c r="AD8" s="172"/>
      <c r="AE8" s="64"/>
      <c r="AF8" s="60"/>
    </row>
    <row r="9" spans="1:32" s="21" customFormat="1" ht="43.5" customHeight="1">
      <c r="A9" s="52">
        <f t="shared" si="3"/>
        <v>7</v>
      </c>
      <c r="B9" s="53" t="s">
        <v>332</v>
      </c>
      <c r="C9" s="52">
        <v>1090</v>
      </c>
      <c r="D9" s="52">
        <v>1</v>
      </c>
      <c r="E9" s="52" t="s">
        <v>79</v>
      </c>
      <c r="F9" s="52" t="s">
        <v>103</v>
      </c>
      <c r="G9" s="52">
        <v>350</v>
      </c>
      <c r="H9" s="52" t="s">
        <v>77</v>
      </c>
      <c r="I9" s="52" t="s">
        <v>95</v>
      </c>
      <c r="J9" s="52" t="s">
        <v>102</v>
      </c>
      <c r="K9" s="52">
        <v>2</v>
      </c>
      <c r="L9" s="54" t="s">
        <v>76</v>
      </c>
      <c r="M9" s="60"/>
      <c r="N9" s="55">
        <v>3684.02</v>
      </c>
      <c r="O9" s="55">
        <v>0</v>
      </c>
      <c r="P9" s="100"/>
      <c r="Q9" s="59" t="s">
        <v>98</v>
      </c>
      <c r="R9" s="114">
        <v>45518</v>
      </c>
      <c r="S9" s="52" t="s">
        <v>97</v>
      </c>
      <c r="T9" s="59" t="s">
        <v>96</v>
      </c>
      <c r="U9" s="52" t="s">
        <v>101</v>
      </c>
      <c r="V9" s="99">
        <v>5890</v>
      </c>
      <c r="W9" s="61">
        <f t="shared" si="1"/>
        <v>11780</v>
      </c>
      <c r="X9" s="62"/>
      <c r="Y9" s="63">
        <v>1.28</v>
      </c>
      <c r="Z9" s="229" t="e">
        <f t="shared" si="2"/>
        <v>#DIV/0!</v>
      </c>
      <c r="AA9" s="350"/>
      <c r="AB9" s="205" t="s">
        <v>20</v>
      </c>
      <c r="AC9" s="64"/>
      <c r="AD9" s="173"/>
      <c r="AE9" s="64"/>
      <c r="AF9" s="64"/>
    </row>
    <row r="10" spans="1:32" s="21" customFormat="1" ht="43.5" customHeight="1">
      <c r="A10" s="52">
        <f t="shared" si="3"/>
        <v>8</v>
      </c>
      <c r="B10" s="53"/>
      <c r="C10" s="52">
        <v>1163</v>
      </c>
      <c r="D10" s="52">
        <v>1</v>
      </c>
      <c r="E10" s="52" t="s">
        <v>79</v>
      </c>
      <c r="F10" s="52" t="s">
        <v>109</v>
      </c>
      <c r="G10" s="52">
        <v>350</v>
      </c>
      <c r="H10" s="52" t="s">
        <v>77</v>
      </c>
      <c r="I10" s="52" t="s">
        <v>104</v>
      </c>
      <c r="J10" s="52" t="s">
        <v>105</v>
      </c>
      <c r="K10" s="52">
        <v>3</v>
      </c>
      <c r="L10" s="54" t="s">
        <v>76</v>
      </c>
      <c r="M10" s="60"/>
      <c r="N10" s="55">
        <v>133</v>
      </c>
      <c r="O10" s="55">
        <f t="shared" ref="O10:O32" si="4">N10*K10</f>
        <v>399</v>
      </c>
      <c r="P10" s="100"/>
      <c r="Q10" s="59" t="s">
        <v>107</v>
      </c>
      <c r="R10" s="114">
        <v>45556</v>
      </c>
      <c r="S10" s="52" t="s">
        <v>108</v>
      </c>
      <c r="T10" s="59" t="s">
        <v>85</v>
      </c>
      <c r="U10" s="54"/>
      <c r="V10" s="99">
        <v>700</v>
      </c>
      <c r="W10" s="61">
        <f t="shared" si="1"/>
        <v>2100</v>
      </c>
      <c r="X10" s="62"/>
      <c r="Y10" s="63">
        <v>1.28</v>
      </c>
      <c r="Z10" s="229">
        <f t="shared" si="2"/>
        <v>4.1118421052631584</v>
      </c>
      <c r="AA10" s="350"/>
      <c r="AB10" s="181" t="s">
        <v>39</v>
      </c>
      <c r="AC10" s="60"/>
      <c r="AD10" s="172"/>
      <c r="AE10" s="64"/>
      <c r="AF10" s="60"/>
    </row>
    <row r="11" spans="1:32" s="21" customFormat="1" ht="43.5" customHeight="1">
      <c r="A11" s="52">
        <f t="shared" si="3"/>
        <v>9</v>
      </c>
      <c r="B11" s="53"/>
      <c r="C11" s="52">
        <v>1164</v>
      </c>
      <c r="D11" s="52">
        <v>2</v>
      </c>
      <c r="E11" s="52" t="s">
        <v>79</v>
      </c>
      <c r="F11" s="52" t="s">
        <v>109</v>
      </c>
      <c r="G11" s="52">
        <v>350</v>
      </c>
      <c r="H11" s="52" t="s">
        <v>77</v>
      </c>
      <c r="I11" s="52" t="s">
        <v>493</v>
      </c>
      <c r="J11" s="52" t="s">
        <v>106</v>
      </c>
      <c r="K11" s="52">
        <v>2</v>
      </c>
      <c r="L11" s="54" t="s">
        <v>76</v>
      </c>
      <c r="M11" s="60"/>
      <c r="N11" s="55">
        <v>125</v>
      </c>
      <c r="O11" s="55">
        <f t="shared" si="4"/>
        <v>250</v>
      </c>
      <c r="P11" s="100"/>
      <c r="Q11" s="59" t="s">
        <v>107</v>
      </c>
      <c r="R11" s="114">
        <v>45556</v>
      </c>
      <c r="S11" s="52" t="s">
        <v>108</v>
      </c>
      <c r="T11" s="59" t="s">
        <v>85</v>
      </c>
      <c r="U11" s="54"/>
      <c r="V11" s="99">
        <v>900</v>
      </c>
      <c r="W11" s="61">
        <f t="shared" si="1"/>
        <v>1800</v>
      </c>
      <c r="X11" s="62"/>
      <c r="Y11" s="63">
        <v>1.28</v>
      </c>
      <c r="Z11" s="229">
        <f t="shared" si="2"/>
        <v>5.625</v>
      </c>
      <c r="AA11" s="350"/>
      <c r="AB11" s="181" t="s">
        <v>39</v>
      </c>
      <c r="AC11" s="60"/>
      <c r="AD11" s="172"/>
      <c r="AE11" s="64"/>
      <c r="AF11" s="60"/>
    </row>
    <row r="12" spans="1:32" s="21" customFormat="1" ht="43.5" customHeight="1">
      <c r="A12" s="52">
        <f t="shared" si="3"/>
        <v>10</v>
      </c>
      <c r="B12" s="53"/>
      <c r="C12" s="52">
        <v>1165</v>
      </c>
      <c r="D12" s="52">
        <v>1</v>
      </c>
      <c r="E12" s="52" t="s">
        <v>79</v>
      </c>
      <c r="F12" s="52" t="s">
        <v>144</v>
      </c>
      <c r="G12" s="52">
        <v>350</v>
      </c>
      <c r="H12" s="52" t="s">
        <v>77</v>
      </c>
      <c r="I12" s="52" t="s">
        <v>110</v>
      </c>
      <c r="J12" s="52" t="s">
        <v>111</v>
      </c>
      <c r="K12" s="52">
        <v>3</v>
      </c>
      <c r="L12" s="54" t="s">
        <v>76</v>
      </c>
      <c r="M12" s="60"/>
      <c r="N12" s="55">
        <v>1565</v>
      </c>
      <c r="O12" s="55">
        <f t="shared" si="4"/>
        <v>4695</v>
      </c>
      <c r="P12" s="100"/>
      <c r="Q12" s="59" t="s">
        <v>113</v>
      </c>
      <c r="R12" s="114">
        <v>45556</v>
      </c>
      <c r="S12" s="52" t="s">
        <v>114</v>
      </c>
      <c r="T12" s="59" t="s">
        <v>85</v>
      </c>
      <c r="U12" s="54"/>
      <c r="V12" s="99">
        <v>4100</v>
      </c>
      <c r="W12" s="61">
        <f t="shared" si="1"/>
        <v>12300</v>
      </c>
      <c r="X12" s="62"/>
      <c r="Y12" s="63">
        <v>1.28</v>
      </c>
      <c r="Z12" s="229">
        <f t="shared" si="2"/>
        <v>2.0467252396166131</v>
      </c>
      <c r="AA12" s="349"/>
      <c r="AB12" s="181" t="s">
        <v>39</v>
      </c>
      <c r="AC12" s="60"/>
      <c r="AD12" s="172"/>
      <c r="AE12" s="64"/>
      <c r="AF12" s="60"/>
    </row>
    <row r="13" spans="1:32" s="21" customFormat="1" ht="43.5" customHeight="1">
      <c r="A13" s="52">
        <f t="shared" si="3"/>
        <v>11</v>
      </c>
      <c r="B13" s="53" t="s">
        <v>143</v>
      </c>
      <c r="C13" s="52">
        <v>1168</v>
      </c>
      <c r="D13" s="52">
        <v>1</v>
      </c>
      <c r="E13" s="52" t="s">
        <v>79</v>
      </c>
      <c r="F13" s="52" t="s">
        <v>404</v>
      </c>
      <c r="G13" s="52">
        <v>367</v>
      </c>
      <c r="H13" s="52" t="s">
        <v>253</v>
      </c>
      <c r="I13" s="52" t="s">
        <v>117</v>
      </c>
      <c r="J13" s="52" t="s">
        <v>118</v>
      </c>
      <c r="K13" s="52">
        <v>10</v>
      </c>
      <c r="L13" s="54" t="s">
        <v>76</v>
      </c>
      <c r="M13" s="60"/>
      <c r="N13" s="55">
        <f>1.05*1250</f>
        <v>1312.5</v>
      </c>
      <c r="O13" s="55">
        <f t="shared" si="4"/>
        <v>13125</v>
      </c>
      <c r="P13" s="100"/>
      <c r="Q13" s="59" t="s">
        <v>119</v>
      </c>
      <c r="R13" s="114"/>
      <c r="S13" s="52"/>
      <c r="T13" s="59" t="s">
        <v>85</v>
      </c>
      <c r="U13" s="54"/>
      <c r="V13" s="99">
        <v>2200</v>
      </c>
      <c r="W13" s="61">
        <f t="shared" si="1"/>
        <v>22000</v>
      </c>
      <c r="X13" s="62"/>
      <c r="Y13" s="63">
        <v>1.28</v>
      </c>
      <c r="Z13" s="229">
        <f t="shared" si="2"/>
        <v>1.3095238095238095</v>
      </c>
      <c r="AA13" s="349"/>
      <c r="AB13" s="181" t="s">
        <v>39</v>
      </c>
      <c r="AC13" s="60" t="s">
        <v>120</v>
      </c>
      <c r="AD13" s="172"/>
      <c r="AE13" s="64"/>
      <c r="AF13" s="60"/>
    </row>
    <row r="14" spans="1:32" s="21" customFormat="1" ht="43.5" customHeight="1">
      <c r="A14" s="52">
        <f t="shared" si="3"/>
        <v>12</v>
      </c>
      <c r="B14" s="53" t="s">
        <v>140</v>
      </c>
      <c r="C14" s="52">
        <v>1169</v>
      </c>
      <c r="D14" s="52">
        <v>2</v>
      </c>
      <c r="E14" s="52" t="s">
        <v>79</v>
      </c>
      <c r="F14" s="52" t="s">
        <v>406</v>
      </c>
      <c r="G14" s="52">
        <v>367</v>
      </c>
      <c r="H14" s="52" t="s">
        <v>253</v>
      </c>
      <c r="I14" s="52">
        <v>9615325060</v>
      </c>
      <c r="J14" s="52" t="s">
        <v>121</v>
      </c>
      <c r="K14" s="52">
        <v>1</v>
      </c>
      <c r="L14" s="54" t="s">
        <v>122</v>
      </c>
      <c r="M14" s="60"/>
      <c r="N14" s="55">
        <v>1500</v>
      </c>
      <c r="O14" s="55">
        <f t="shared" si="4"/>
        <v>1500</v>
      </c>
      <c r="P14" s="100"/>
      <c r="Q14" s="59" t="s">
        <v>119</v>
      </c>
      <c r="R14" s="114"/>
      <c r="S14" s="52"/>
      <c r="T14" s="59" t="s">
        <v>85</v>
      </c>
      <c r="U14" s="54"/>
      <c r="V14" s="99">
        <v>4000</v>
      </c>
      <c r="W14" s="61">
        <f t="shared" si="1"/>
        <v>4000</v>
      </c>
      <c r="X14" s="62"/>
      <c r="Y14" s="63">
        <v>1.28</v>
      </c>
      <c r="Z14" s="229">
        <f t="shared" si="2"/>
        <v>2.083333333333333</v>
      </c>
      <c r="AA14" s="350"/>
      <c r="AB14" s="181" t="s">
        <v>39</v>
      </c>
      <c r="AC14" s="60"/>
      <c r="AD14" s="172"/>
      <c r="AE14" s="64"/>
      <c r="AF14" s="60"/>
    </row>
    <row r="15" spans="1:32" s="21" customFormat="1" ht="43.5" customHeight="1">
      <c r="A15" s="52">
        <f t="shared" si="3"/>
        <v>13</v>
      </c>
      <c r="B15" s="53" t="s">
        <v>491</v>
      </c>
      <c r="C15" s="52">
        <v>1170</v>
      </c>
      <c r="D15" s="52">
        <v>1</v>
      </c>
      <c r="E15" s="52" t="s">
        <v>79</v>
      </c>
      <c r="F15" s="52" t="s">
        <v>321</v>
      </c>
      <c r="G15" s="52">
        <v>367</v>
      </c>
      <c r="H15" s="52" t="s">
        <v>516</v>
      </c>
      <c r="I15" s="52" t="s">
        <v>123</v>
      </c>
      <c r="J15" s="52" t="s">
        <v>124</v>
      </c>
      <c r="K15" s="52">
        <v>1</v>
      </c>
      <c r="L15" s="54" t="s">
        <v>125</v>
      </c>
      <c r="M15" s="60"/>
      <c r="N15" s="55">
        <v>8000</v>
      </c>
      <c r="O15" s="55">
        <f t="shared" si="4"/>
        <v>8000</v>
      </c>
      <c r="P15" s="100"/>
      <c r="Q15" s="59" t="s">
        <v>126</v>
      </c>
      <c r="R15" s="114"/>
      <c r="S15" s="52"/>
      <c r="T15" s="59" t="s">
        <v>85</v>
      </c>
      <c r="U15" s="54"/>
      <c r="V15" s="99">
        <v>11550</v>
      </c>
      <c r="W15" s="61">
        <f t="shared" si="1"/>
        <v>11550</v>
      </c>
      <c r="X15" s="62"/>
      <c r="Y15" s="63">
        <v>1.28</v>
      </c>
      <c r="Z15" s="229">
        <f t="shared" si="2"/>
        <v>1.1279296875</v>
      </c>
      <c r="AA15" s="350"/>
      <c r="AB15" s="181" t="s">
        <v>39</v>
      </c>
      <c r="AC15" s="53" t="s">
        <v>515</v>
      </c>
      <c r="AD15" s="174"/>
      <c r="AE15" s="64"/>
      <c r="AF15" s="53"/>
    </row>
    <row r="16" spans="1:32" s="21" customFormat="1" ht="43.5" customHeight="1">
      <c r="A16" s="185">
        <f t="shared" si="3"/>
        <v>14</v>
      </c>
      <c r="B16" s="247" t="s">
        <v>662</v>
      </c>
      <c r="C16" s="218">
        <v>1396</v>
      </c>
      <c r="D16" s="185">
        <v>1</v>
      </c>
      <c r="E16" s="185" t="s">
        <v>79</v>
      </c>
      <c r="F16" s="185" t="s">
        <v>683</v>
      </c>
      <c r="G16" s="185">
        <v>367</v>
      </c>
      <c r="H16" s="185" t="s">
        <v>253</v>
      </c>
      <c r="I16" s="185" t="s">
        <v>123</v>
      </c>
      <c r="J16" s="185" t="s">
        <v>124</v>
      </c>
      <c r="K16" s="185">
        <v>1</v>
      </c>
      <c r="L16" s="186" t="s">
        <v>125</v>
      </c>
      <c r="M16" s="248"/>
      <c r="N16" s="187">
        <v>7500</v>
      </c>
      <c r="O16" s="187">
        <f t="shared" si="4"/>
        <v>7500</v>
      </c>
      <c r="P16" s="249"/>
      <c r="Q16" s="218" t="s">
        <v>126</v>
      </c>
      <c r="R16" s="250"/>
      <c r="S16" s="185"/>
      <c r="T16" s="218" t="s">
        <v>85</v>
      </c>
      <c r="U16" s="186"/>
      <c r="V16" s="239">
        <v>11550</v>
      </c>
      <c r="W16" s="228">
        <f t="shared" si="1"/>
        <v>11550</v>
      </c>
      <c r="X16" s="242"/>
      <c r="Y16" s="63">
        <v>1.28</v>
      </c>
      <c r="Z16" s="229">
        <f t="shared" si="2"/>
        <v>1.203125</v>
      </c>
      <c r="AA16" s="248"/>
      <c r="AB16" s="194" t="s">
        <v>62</v>
      </c>
      <c r="AC16" s="248"/>
      <c r="AD16" s="248"/>
      <c r="AE16" s="182"/>
      <c r="AF16" s="248"/>
    </row>
    <row r="17" spans="1:32" s="21" customFormat="1" ht="43.5" customHeight="1">
      <c r="A17" s="52">
        <f t="shared" si="3"/>
        <v>15</v>
      </c>
      <c r="B17" s="53"/>
      <c r="C17" s="52">
        <v>1171</v>
      </c>
      <c r="D17" s="52">
        <v>2</v>
      </c>
      <c r="E17" s="52" t="s">
        <v>79</v>
      </c>
      <c r="F17" s="52" t="s">
        <v>127</v>
      </c>
      <c r="G17" s="52">
        <v>367</v>
      </c>
      <c r="H17" s="52" t="s">
        <v>370</v>
      </c>
      <c r="I17" s="52" t="s">
        <v>128</v>
      </c>
      <c r="J17" s="52" t="s">
        <v>129</v>
      </c>
      <c r="K17" s="52">
        <v>2</v>
      </c>
      <c r="L17" s="54" t="s">
        <v>122</v>
      </c>
      <c r="M17" s="60"/>
      <c r="N17" s="55">
        <v>2650</v>
      </c>
      <c r="O17" s="55">
        <f t="shared" si="4"/>
        <v>5300</v>
      </c>
      <c r="P17" s="100"/>
      <c r="Q17" s="59" t="s">
        <v>126</v>
      </c>
      <c r="R17" s="114"/>
      <c r="S17" s="52"/>
      <c r="T17" s="59" t="s">
        <v>85</v>
      </c>
      <c r="U17" s="54"/>
      <c r="V17" s="99">
        <v>5700</v>
      </c>
      <c r="W17" s="61">
        <f t="shared" si="1"/>
        <v>11400</v>
      </c>
      <c r="X17" s="62"/>
      <c r="Y17" s="63">
        <v>1.28</v>
      </c>
      <c r="Z17" s="229">
        <f t="shared" si="2"/>
        <v>1.6804245283018868</v>
      </c>
      <c r="AA17" s="350"/>
      <c r="AB17" s="181" t="s">
        <v>39</v>
      </c>
      <c r="AC17" s="60"/>
      <c r="AD17" s="172"/>
      <c r="AE17" s="64"/>
      <c r="AF17" s="60"/>
    </row>
    <row r="18" spans="1:32" s="21" customFormat="1" ht="43.5" customHeight="1">
      <c r="A18" s="52">
        <f t="shared" si="3"/>
        <v>16</v>
      </c>
      <c r="B18" s="53"/>
      <c r="C18" s="52">
        <v>1172</v>
      </c>
      <c r="D18" s="52">
        <v>1</v>
      </c>
      <c r="E18" s="52" t="s">
        <v>139</v>
      </c>
      <c r="F18" s="52" t="s">
        <v>100</v>
      </c>
      <c r="G18" s="52">
        <v>368</v>
      </c>
      <c r="H18" s="52" t="s">
        <v>140</v>
      </c>
      <c r="I18" s="52" t="s">
        <v>130</v>
      </c>
      <c r="J18" s="52" t="s">
        <v>131</v>
      </c>
      <c r="K18" s="54">
        <v>3</v>
      </c>
      <c r="L18" s="54" t="s">
        <v>91</v>
      </c>
      <c r="M18" s="116" t="s">
        <v>296</v>
      </c>
      <c r="N18" s="55">
        <v>32.35</v>
      </c>
      <c r="O18" s="55">
        <f t="shared" si="4"/>
        <v>97.050000000000011</v>
      </c>
      <c r="P18" s="100"/>
      <c r="Q18" s="59">
        <v>14030601</v>
      </c>
      <c r="R18" s="114">
        <v>45563</v>
      </c>
      <c r="S18" s="52" t="s">
        <v>141</v>
      </c>
      <c r="T18" s="59" t="s">
        <v>142</v>
      </c>
      <c r="U18" s="54"/>
      <c r="V18" s="99">
        <v>68</v>
      </c>
      <c r="W18" s="61">
        <f t="shared" si="1"/>
        <v>204</v>
      </c>
      <c r="X18" s="62"/>
      <c r="Y18" s="63">
        <v>1.28</v>
      </c>
      <c r="Z18" s="229">
        <f t="shared" si="2"/>
        <v>1.6421947449768159</v>
      </c>
      <c r="AA18" s="349"/>
      <c r="AB18" s="181" t="s">
        <v>39</v>
      </c>
      <c r="AC18" s="60"/>
      <c r="AD18" s="172"/>
      <c r="AE18" s="64"/>
      <c r="AF18" s="60"/>
    </row>
    <row r="19" spans="1:32" s="21" customFormat="1" ht="43.5" customHeight="1">
      <c r="A19" s="52">
        <f t="shared" si="3"/>
        <v>17</v>
      </c>
      <c r="B19" s="53" t="s">
        <v>582</v>
      </c>
      <c r="C19" s="115">
        <v>1509</v>
      </c>
      <c r="D19" s="52">
        <v>1</v>
      </c>
      <c r="E19" s="52" t="s">
        <v>139</v>
      </c>
      <c r="F19" s="52" t="s">
        <v>212</v>
      </c>
      <c r="G19" s="52">
        <v>368</v>
      </c>
      <c r="H19" s="52" t="s">
        <v>140</v>
      </c>
      <c r="I19" s="52" t="s">
        <v>130</v>
      </c>
      <c r="J19" s="52" t="s">
        <v>131</v>
      </c>
      <c r="K19" s="54">
        <v>1</v>
      </c>
      <c r="L19" s="54" t="s">
        <v>91</v>
      </c>
      <c r="M19" s="116" t="s">
        <v>296</v>
      </c>
      <c r="N19" s="55">
        <v>65</v>
      </c>
      <c r="O19" s="55">
        <f t="shared" si="4"/>
        <v>65</v>
      </c>
      <c r="P19" s="100"/>
      <c r="Q19" s="59">
        <v>14030601</v>
      </c>
      <c r="R19" s="114">
        <v>45563</v>
      </c>
      <c r="S19" s="52" t="s">
        <v>141</v>
      </c>
      <c r="T19" s="59" t="s">
        <v>142</v>
      </c>
      <c r="U19" s="54"/>
      <c r="V19" s="99">
        <v>68</v>
      </c>
      <c r="W19" s="61">
        <f t="shared" si="1"/>
        <v>68</v>
      </c>
      <c r="X19" s="62"/>
      <c r="Y19" s="63">
        <v>1.28</v>
      </c>
      <c r="Z19" s="229">
        <f t="shared" si="2"/>
        <v>0.81730769230769229</v>
      </c>
      <c r="AA19" s="350"/>
      <c r="AB19" s="181" t="s">
        <v>39</v>
      </c>
      <c r="AC19" s="60"/>
      <c r="AD19" s="172"/>
      <c r="AE19" s="64"/>
      <c r="AF19" s="60"/>
    </row>
    <row r="20" spans="1:32" s="21" customFormat="1" ht="43.5" customHeight="1">
      <c r="A20" s="52">
        <f t="shared" si="3"/>
        <v>18</v>
      </c>
      <c r="B20" s="53"/>
      <c r="C20" s="52">
        <v>1173</v>
      </c>
      <c r="D20" s="52">
        <v>2</v>
      </c>
      <c r="E20" s="52" t="s">
        <v>139</v>
      </c>
      <c r="F20" s="52" t="s">
        <v>138</v>
      </c>
      <c r="G20" s="52">
        <v>368</v>
      </c>
      <c r="H20" s="52" t="s">
        <v>140</v>
      </c>
      <c r="I20" s="52" t="s">
        <v>132</v>
      </c>
      <c r="J20" s="52" t="s">
        <v>133</v>
      </c>
      <c r="K20" s="54">
        <v>10</v>
      </c>
      <c r="L20" s="54" t="s">
        <v>76</v>
      </c>
      <c r="M20" s="60"/>
      <c r="N20" s="55">
        <v>7.15</v>
      </c>
      <c r="O20" s="55">
        <f t="shared" si="4"/>
        <v>71.5</v>
      </c>
      <c r="P20" s="100"/>
      <c r="Q20" s="59">
        <v>14030601</v>
      </c>
      <c r="R20" s="114">
        <v>45563</v>
      </c>
      <c r="S20" s="52" t="s">
        <v>141</v>
      </c>
      <c r="T20" s="59" t="s">
        <v>142</v>
      </c>
      <c r="U20" s="54"/>
      <c r="V20" s="99">
        <v>24</v>
      </c>
      <c r="W20" s="61">
        <f t="shared" si="1"/>
        <v>240</v>
      </c>
      <c r="X20" s="62"/>
      <c r="Y20" s="63">
        <v>1.28</v>
      </c>
      <c r="Z20" s="229">
        <f t="shared" si="2"/>
        <v>2.6223776223776225</v>
      </c>
      <c r="AA20" s="349"/>
      <c r="AB20" s="181" t="s">
        <v>39</v>
      </c>
      <c r="AC20" s="60"/>
      <c r="AD20" s="172"/>
      <c r="AE20" s="64"/>
      <c r="AF20" s="60"/>
    </row>
    <row r="21" spans="1:32" s="21" customFormat="1" ht="43.5" customHeight="1">
      <c r="A21" s="52">
        <f t="shared" si="3"/>
        <v>19</v>
      </c>
      <c r="B21" s="53"/>
      <c r="C21" s="52">
        <v>1174</v>
      </c>
      <c r="D21" s="52">
        <v>3</v>
      </c>
      <c r="E21" s="52" t="s">
        <v>139</v>
      </c>
      <c r="F21" s="52" t="s">
        <v>138</v>
      </c>
      <c r="G21" s="52">
        <v>368</v>
      </c>
      <c r="H21" s="52" t="s">
        <v>140</v>
      </c>
      <c r="I21" s="52" t="s">
        <v>134</v>
      </c>
      <c r="J21" s="52" t="s">
        <v>135</v>
      </c>
      <c r="K21" s="54">
        <v>80</v>
      </c>
      <c r="L21" s="54" t="s">
        <v>76</v>
      </c>
      <c r="M21" s="60"/>
      <c r="N21" s="55">
        <v>0.77</v>
      </c>
      <c r="O21" s="55">
        <f t="shared" si="4"/>
        <v>61.6</v>
      </c>
      <c r="P21" s="100"/>
      <c r="Q21" s="59">
        <v>14030601</v>
      </c>
      <c r="R21" s="114">
        <v>45563</v>
      </c>
      <c r="S21" s="52" t="s">
        <v>141</v>
      </c>
      <c r="T21" s="59" t="s">
        <v>142</v>
      </c>
      <c r="U21" s="54"/>
      <c r="V21" s="99">
        <v>3</v>
      </c>
      <c r="W21" s="61">
        <f t="shared" si="1"/>
        <v>240</v>
      </c>
      <c r="X21" s="62"/>
      <c r="Y21" s="63">
        <v>1.28</v>
      </c>
      <c r="Z21" s="229">
        <f t="shared" si="2"/>
        <v>3.0438311688311686</v>
      </c>
      <c r="AA21" s="349"/>
      <c r="AB21" s="181" t="s">
        <v>39</v>
      </c>
      <c r="AC21" s="60"/>
      <c r="AD21" s="172"/>
      <c r="AE21" s="64"/>
      <c r="AF21" s="60"/>
    </row>
    <row r="22" spans="1:32" s="21" customFormat="1" ht="43.5" customHeight="1">
      <c r="A22" s="52">
        <f t="shared" si="3"/>
        <v>20</v>
      </c>
      <c r="B22" s="53"/>
      <c r="C22" s="52">
        <v>1175</v>
      </c>
      <c r="D22" s="52">
        <v>4</v>
      </c>
      <c r="E22" s="52" t="s">
        <v>139</v>
      </c>
      <c r="F22" s="52" t="s">
        <v>100</v>
      </c>
      <c r="G22" s="52">
        <v>368</v>
      </c>
      <c r="H22" s="52" t="s">
        <v>140</v>
      </c>
      <c r="I22" s="52" t="s">
        <v>136</v>
      </c>
      <c r="J22" s="52" t="s">
        <v>137</v>
      </c>
      <c r="K22" s="54">
        <v>6</v>
      </c>
      <c r="L22" s="54" t="s">
        <v>91</v>
      </c>
      <c r="M22" s="60"/>
      <c r="N22" s="55">
        <v>74</v>
      </c>
      <c r="O22" s="55">
        <f t="shared" si="4"/>
        <v>444</v>
      </c>
      <c r="P22" s="100"/>
      <c r="Q22" s="59">
        <v>14030601</v>
      </c>
      <c r="R22" s="114">
        <v>45563</v>
      </c>
      <c r="S22" s="52" t="s">
        <v>141</v>
      </c>
      <c r="T22" s="59" t="s">
        <v>142</v>
      </c>
      <c r="U22" s="54"/>
      <c r="V22" s="99">
        <v>120</v>
      </c>
      <c r="W22" s="61">
        <f t="shared" si="1"/>
        <v>720</v>
      </c>
      <c r="X22" s="62"/>
      <c r="Y22" s="63">
        <v>1.28</v>
      </c>
      <c r="Z22" s="229">
        <f t="shared" si="2"/>
        <v>1.2668918918918919</v>
      </c>
      <c r="AA22" s="349"/>
      <c r="AB22" s="181" t="s">
        <v>39</v>
      </c>
      <c r="AC22" s="60"/>
      <c r="AD22" s="172"/>
      <c r="AE22" s="64"/>
      <c r="AF22" s="60"/>
    </row>
    <row r="23" spans="1:32" s="21" customFormat="1" ht="43.5" customHeight="1">
      <c r="A23" s="52">
        <f t="shared" si="3"/>
        <v>21</v>
      </c>
      <c r="B23" s="53"/>
      <c r="C23" s="52">
        <v>1183</v>
      </c>
      <c r="D23" s="52">
        <v>1</v>
      </c>
      <c r="E23" s="52" t="s">
        <v>184</v>
      </c>
      <c r="F23" s="52" t="s">
        <v>316</v>
      </c>
      <c r="G23" s="52">
        <v>371</v>
      </c>
      <c r="H23" s="52" t="s">
        <v>77</v>
      </c>
      <c r="I23" s="52" t="s">
        <v>145</v>
      </c>
      <c r="J23" s="52" t="s">
        <v>146</v>
      </c>
      <c r="K23" s="52">
        <v>2</v>
      </c>
      <c r="L23" s="54" t="s">
        <v>91</v>
      </c>
      <c r="M23" s="60"/>
      <c r="N23" s="55">
        <v>75</v>
      </c>
      <c r="O23" s="55">
        <f t="shared" si="4"/>
        <v>150</v>
      </c>
      <c r="P23" s="100"/>
      <c r="Q23" s="59" t="s">
        <v>179</v>
      </c>
      <c r="R23" s="114" t="s">
        <v>180</v>
      </c>
      <c r="S23" s="52"/>
      <c r="T23" s="59" t="s">
        <v>142</v>
      </c>
      <c r="U23" s="54"/>
      <c r="V23" s="99">
        <v>340</v>
      </c>
      <c r="W23" s="61">
        <f t="shared" si="1"/>
        <v>680</v>
      </c>
      <c r="X23" s="62">
        <v>35</v>
      </c>
      <c r="Y23" s="63">
        <v>1.28</v>
      </c>
      <c r="Z23" s="229">
        <f t="shared" si="2"/>
        <v>3.5416666666666665</v>
      </c>
      <c r="AA23" s="349"/>
      <c r="AB23" s="181" t="s">
        <v>39</v>
      </c>
      <c r="AC23" s="60" t="s">
        <v>147</v>
      </c>
      <c r="AD23" s="172"/>
      <c r="AE23" s="64"/>
      <c r="AF23" s="60"/>
    </row>
    <row r="24" spans="1:32" s="21" customFormat="1" ht="43.5" customHeight="1">
      <c r="A24" s="52">
        <f t="shared" si="3"/>
        <v>22</v>
      </c>
      <c r="B24" s="53"/>
      <c r="C24" s="52">
        <v>1184</v>
      </c>
      <c r="D24" s="52">
        <v>2</v>
      </c>
      <c r="E24" s="52" t="s">
        <v>184</v>
      </c>
      <c r="F24" s="52" t="s">
        <v>317</v>
      </c>
      <c r="G24" s="52">
        <v>371</v>
      </c>
      <c r="H24" s="52" t="s">
        <v>77</v>
      </c>
      <c r="I24" s="52" t="s">
        <v>304</v>
      </c>
      <c r="J24" s="52" t="s">
        <v>148</v>
      </c>
      <c r="K24" s="52">
        <v>1</v>
      </c>
      <c r="L24" s="54" t="s">
        <v>76</v>
      </c>
      <c r="M24" s="60"/>
      <c r="N24" s="55">
        <v>1948.05</v>
      </c>
      <c r="O24" s="55">
        <f t="shared" si="4"/>
        <v>1948.05</v>
      </c>
      <c r="P24" s="100"/>
      <c r="Q24" s="59" t="s">
        <v>179</v>
      </c>
      <c r="R24" s="114" t="s">
        <v>180</v>
      </c>
      <c r="S24" s="52"/>
      <c r="T24" s="59" t="s">
        <v>142</v>
      </c>
      <c r="U24" s="54" t="s">
        <v>305</v>
      </c>
      <c r="V24" s="99">
        <v>4510</v>
      </c>
      <c r="W24" s="61">
        <f t="shared" si="1"/>
        <v>4510</v>
      </c>
      <c r="X24" s="62">
        <v>35</v>
      </c>
      <c r="Y24" s="63">
        <v>1.28</v>
      </c>
      <c r="Z24" s="229">
        <f t="shared" si="2"/>
        <v>1.8086997253663919</v>
      </c>
      <c r="AA24" s="349"/>
      <c r="AB24" s="181" t="s">
        <v>39</v>
      </c>
      <c r="AC24" s="60" t="s">
        <v>147</v>
      </c>
      <c r="AD24" s="172"/>
      <c r="AE24" s="64"/>
      <c r="AF24" s="60"/>
    </row>
    <row r="25" spans="1:32" s="21" customFormat="1" ht="43.5" customHeight="1">
      <c r="A25" s="52">
        <f t="shared" si="3"/>
        <v>23</v>
      </c>
      <c r="B25" s="53"/>
      <c r="C25" s="52">
        <v>1185</v>
      </c>
      <c r="D25" s="52">
        <v>3</v>
      </c>
      <c r="E25" s="52" t="s">
        <v>184</v>
      </c>
      <c r="F25" s="52" t="s">
        <v>181</v>
      </c>
      <c r="G25" s="52">
        <v>371</v>
      </c>
      <c r="H25" s="52" t="s">
        <v>77</v>
      </c>
      <c r="I25" s="52" t="s">
        <v>149</v>
      </c>
      <c r="J25" s="52" t="s">
        <v>150</v>
      </c>
      <c r="K25" s="52">
        <v>1</v>
      </c>
      <c r="L25" s="54" t="s">
        <v>76</v>
      </c>
      <c r="M25" s="60"/>
      <c r="N25" s="55">
        <v>258.99</v>
      </c>
      <c r="O25" s="55">
        <f t="shared" si="4"/>
        <v>258.99</v>
      </c>
      <c r="P25" s="100"/>
      <c r="Q25" s="59" t="s">
        <v>179</v>
      </c>
      <c r="R25" s="114" t="s">
        <v>180</v>
      </c>
      <c r="S25" s="52"/>
      <c r="T25" s="59" t="s">
        <v>142</v>
      </c>
      <c r="U25" s="54"/>
      <c r="V25" s="99">
        <v>550</v>
      </c>
      <c r="W25" s="61">
        <f t="shared" si="1"/>
        <v>550</v>
      </c>
      <c r="X25" s="62">
        <v>35</v>
      </c>
      <c r="Y25" s="63">
        <v>1.28</v>
      </c>
      <c r="Z25" s="229">
        <f t="shared" si="2"/>
        <v>1.6590891540213908</v>
      </c>
      <c r="AA25" s="349"/>
      <c r="AB25" s="181" t="s">
        <v>39</v>
      </c>
      <c r="AC25" s="60" t="s">
        <v>147</v>
      </c>
      <c r="AD25" s="172"/>
      <c r="AE25" s="64"/>
      <c r="AF25" s="60"/>
    </row>
    <row r="26" spans="1:32" s="21" customFormat="1" ht="43.5" customHeight="1">
      <c r="A26" s="52">
        <f t="shared" si="3"/>
        <v>24</v>
      </c>
      <c r="B26" s="53"/>
      <c r="C26" s="52">
        <v>1186</v>
      </c>
      <c r="D26" s="52">
        <v>4</v>
      </c>
      <c r="E26" s="52" t="s">
        <v>184</v>
      </c>
      <c r="F26" s="52" t="s">
        <v>138</v>
      </c>
      <c r="G26" s="52">
        <v>371</v>
      </c>
      <c r="H26" s="52" t="s">
        <v>77</v>
      </c>
      <c r="I26" s="52" t="s">
        <v>151</v>
      </c>
      <c r="J26" s="52" t="s">
        <v>152</v>
      </c>
      <c r="K26" s="52">
        <v>5</v>
      </c>
      <c r="L26" s="54" t="s">
        <v>76</v>
      </c>
      <c r="M26" s="60"/>
      <c r="N26" s="55">
        <v>436.38</v>
      </c>
      <c r="O26" s="55">
        <f t="shared" si="4"/>
        <v>2181.9</v>
      </c>
      <c r="P26" s="100"/>
      <c r="Q26" s="59" t="s">
        <v>179</v>
      </c>
      <c r="R26" s="114" t="s">
        <v>180</v>
      </c>
      <c r="S26" s="52"/>
      <c r="T26" s="59" t="s">
        <v>142</v>
      </c>
      <c r="U26" s="54"/>
      <c r="V26" s="99">
        <v>640</v>
      </c>
      <c r="W26" s="61">
        <f t="shared" si="1"/>
        <v>3200</v>
      </c>
      <c r="X26" s="62">
        <v>35</v>
      </c>
      <c r="Y26" s="63">
        <v>1.28</v>
      </c>
      <c r="Z26" s="229">
        <f t="shared" si="2"/>
        <v>1.145790366194601</v>
      </c>
      <c r="AA26" s="349"/>
      <c r="AB26" s="181" t="s">
        <v>39</v>
      </c>
      <c r="AC26" s="60" t="s">
        <v>147</v>
      </c>
      <c r="AD26" s="172"/>
      <c r="AE26" s="64"/>
      <c r="AF26" s="60"/>
    </row>
    <row r="27" spans="1:32" s="21" customFormat="1" ht="43.5" customHeight="1">
      <c r="A27" s="52">
        <f t="shared" si="3"/>
        <v>25</v>
      </c>
      <c r="B27" s="53"/>
      <c r="C27" s="52">
        <v>1187</v>
      </c>
      <c r="D27" s="52">
        <v>5</v>
      </c>
      <c r="E27" s="52" t="s">
        <v>184</v>
      </c>
      <c r="F27" s="52" t="s">
        <v>100</v>
      </c>
      <c r="G27" s="52">
        <v>371</v>
      </c>
      <c r="H27" s="52" t="s">
        <v>77</v>
      </c>
      <c r="I27" s="52" t="s">
        <v>153</v>
      </c>
      <c r="J27" s="52" t="s">
        <v>154</v>
      </c>
      <c r="K27" s="52">
        <v>10</v>
      </c>
      <c r="L27" s="54" t="s">
        <v>91</v>
      </c>
      <c r="M27" s="60"/>
      <c r="N27" s="55">
        <v>43.75</v>
      </c>
      <c r="O27" s="55">
        <f t="shared" si="4"/>
        <v>437.5</v>
      </c>
      <c r="P27" s="100"/>
      <c r="Q27" s="59" t="s">
        <v>179</v>
      </c>
      <c r="R27" s="114" t="s">
        <v>180</v>
      </c>
      <c r="S27" s="52"/>
      <c r="T27" s="59" t="s">
        <v>142</v>
      </c>
      <c r="U27" s="54"/>
      <c r="V27" s="99">
        <v>80</v>
      </c>
      <c r="W27" s="61">
        <f t="shared" si="1"/>
        <v>800</v>
      </c>
      <c r="X27" s="62">
        <v>35</v>
      </c>
      <c r="Y27" s="63">
        <v>1.28</v>
      </c>
      <c r="Z27" s="229">
        <f t="shared" si="2"/>
        <v>1.4285714285714286</v>
      </c>
      <c r="AA27" s="349"/>
      <c r="AB27" s="181" t="s">
        <v>39</v>
      </c>
      <c r="AC27" s="60" t="s">
        <v>147</v>
      </c>
      <c r="AD27" s="172"/>
      <c r="AE27" s="64"/>
      <c r="AF27" s="60"/>
    </row>
    <row r="28" spans="1:32" s="21" customFormat="1" ht="43.5" customHeight="1">
      <c r="A28" s="52">
        <f t="shared" si="3"/>
        <v>26</v>
      </c>
      <c r="B28" s="53"/>
      <c r="C28" s="52">
        <v>1188</v>
      </c>
      <c r="D28" s="52">
        <v>6</v>
      </c>
      <c r="E28" s="52" t="s">
        <v>184</v>
      </c>
      <c r="F28" s="52" t="s">
        <v>100</v>
      </c>
      <c r="G28" s="52">
        <v>371</v>
      </c>
      <c r="H28" s="52" t="s">
        <v>77</v>
      </c>
      <c r="I28" s="52" t="s">
        <v>155</v>
      </c>
      <c r="J28" s="52" t="s">
        <v>156</v>
      </c>
      <c r="K28" s="52">
        <v>2</v>
      </c>
      <c r="L28" s="54" t="s">
        <v>122</v>
      </c>
      <c r="M28" s="60"/>
      <c r="N28" s="55">
        <v>1250</v>
      </c>
      <c r="O28" s="55">
        <f t="shared" si="4"/>
        <v>2500</v>
      </c>
      <c r="P28" s="100"/>
      <c r="Q28" s="59" t="s">
        <v>179</v>
      </c>
      <c r="R28" s="114" t="s">
        <v>180</v>
      </c>
      <c r="S28" s="52"/>
      <c r="T28" s="59" t="s">
        <v>142</v>
      </c>
      <c r="U28" s="54" t="s">
        <v>157</v>
      </c>
      <c r="V28" s="99">
        <v>3180</v>
      </c>
      <c r="W28" s="61">
        <f t="shared" si="1"/>
        <v>6360</v>
      </c>
      <c r="X28" s="62">
        <v>35</v>
      </c>
      <c r="Y28" s="63">
        <v>1.28</v>
      </c>
      <c r="Z28" s="229">
        <f t="shared" si="2"/>
        <v>1.9875</v>
      </c>
      <c r="AA28" s="349"/>
      <c r="AB28" s="181" t="s">
        <v>39</v>
      </c>
      <c r="AC28" s="60" t="s">
        <v>147</v>
      </c>
      <c r="AD28" s="172"/>
      <c r="AE28" s="64"/>
      <c r="AF28" s="60"/>
    </row>
    <row r="29" spans="1:32" s="21" customFormat="1" ht="43.5" customHeight="1">
      <c r="A29" s="52">
        <f t="shared" si="3"/>
        <v>27</v>
      </c>
      <c r="B29" s="53"/>
      <c r="C29" s="52">
        <v>1189</v>
      </c>
      <c r="D29" s="52">
        <v>7</v>
      </c>
      <c r="E29" s="52" t="s">
        <v>184</v>
      </c>
      <c r="F29" s="52" t="s">
        <v>100</v>
      </c>
      <c r="G29" s="52">
        <v>371</v>
      </c>
      <c r="H29" s="52" t="s">
        <v>77</v>
      </c>
      <c r="I29" s="52" t="s">
        <v>158</v>
      </c>
      <c r="J29" s="52" t="s">
        <v>159</v>
      </c>
      <c r="K29" s="52">
        <v>1</v>
      </c>
      <c r="L29" s="54" t="s">
        <v>91</v>
      </c>
      <c r="M29" s="60"/>
      <c r="N29" s="55">
        <v>1064</v>
      </c>
      <c r="O29" s="55">
        <f t="shared" si="4"/>
        <v>1064</v>
      </c>
      <c r="P29" s="100"/>
      <c r="Q29" s="59" t="s">
        <v>179</v>
      </c>
      <c r="R29" s="114" t="s">
        <v>180</v>
      </c>
      <c r="S29" s="52"/>
      <c r="T29" s="59" t="s">
        <v>142</v>
      </c>
      <c r="U29" s="54" t="s">
        <v>160</v>
      </c>
      <c r="V29" s="99">
        <v>1840</v>
      </c>
      <c r="W29" s="61">
        <f t="shared" si="1"/>
        <v>1840</v>
      </c>
      <c r="X29" s="62">
        <v>35</v>
      </c>
      <c r="Y29" s="63">
        <v>1.28</v>
      </c>
      <c r="Z29" s="229">
        <f t="shared" si="2"/>
        <v>1.3510338345864661</v>
      </c>
      <c r="AA29" s="349"/>
      <c r="AB29" s="181" t="s">
        <v>39</v>
      </c>
      <c r="AC29" s="60" t="s">
        <v>147</v>
      </c>
      <c r="AD29" s="172"/>
      <c r="AE29" s="64"/>
      <c r="AF29" s="60"/>
    </row>
    <row r="30" spans="1:32" s="21" customFormat="1" ht="43.5" customHeight="1">
      <c r="A30" s="52">
        <f t="shared" si="3"/>
        <v>28</v>
      </c>
      <c r="B30" s="53"/>
      <c r="C30" s="52">
        <v>1190</v>
      </c>
      <c r="D30" s="52">
        <v>8</v>
      </c>
      <c r="E30" s="52" t="s">
        <v>184</v>
      </c>
      <c r="F30" s="52" t="s">
        <v>182</v>
      </c>
      <c r="G30" s="52">
        <v>371</v>
      </c>
      <c r="H30" s="52" t="s">
        <v>77</v>
      </c>
      <c r="I30" s="52" t="s">
        <v>161</v>
      </c>
      <c r="J30" s="52" t="s">
        <v>162</v>
      </c>
      <c r="K30" s="52">
        <v>50</v>
      </c>
      <c r="L30" s="54" t="s">
        <v>76</v>
      </c>
      <c r="M30" s="60"/>
      <c r="N30" s="55">
        <v>49.7</v>
      </c>
      <c r="O30" s="55">
        <f t="shared" si="4"/>
        <v>2485</v>
      </c>
      <c r="P30" s="100"/>
      <c r="Q30" s="59" t="s">
        <v>179</v>
      </c>
      <c r="R30" s="114" t="s">
        <v>180</v>
      </c>
      <c r="S30" s="52"/>
      <c r="T30" s="59" t="s">
        <v>142</v>
      </c>
      <c r="U30" s="54" t="s">
        <v>163</v>
      </c>
      <c r="V30" s="99">
        <v>74</v>
      </c>
      <c r="W30" s="61">
        <f t="shared" si="1"/>
        <v>3700</v>
      </c>
      <c r="X30" s="62">
        <v>35</v>
      </c>
      <c r="Y30" s="63">
        <v>1.28</v>
      </c>
      <c r="Z30" s="229">
        <f t="shared" si="2"/>
        <v>1.1632293762575452</v>
      </c>
      <c r="AA30" s="349"/>
      <c r="AB30" s="181" t="s">
        <v>39</v>
      </c>
      <c r="AC30" s="60" t="s">
        <v>147</v>
      </c>
      <c r="AD30" s="172"/>
      <c r="AE30" s="64"/>
      <c r="AF30" s="60"/>
    </row>
    <row r="31" spans="1:32" s="21" customFormat="1" ht="43.5" customHeight="1">
      <c r="A31" s="52">
        <f t="shared" si="3"/>
        <v>29</v>
      </c>
      <c r="B31" s="53"/>
      <c r="C31" s="52">
        <v>1191</v>
      </c>
      <c r="D31" s="52">
        <v>9</v>
      </c>
      <c r="E31" s="52" t="s">
        <v>184</v>
      </c>
      <c r="F31" s="52" t="s">
        <v>100</v>
      </c>
      <c r="G31" s="52">
        <v>371</v>
      </c>
      <c r="H31" s="52" t="s">
        <v>140</v>
      </c>
      <c r="I31" s="52" t="s">
        <v>164</v>
      </c>
      <c r="J31" s="52" t="s">
        <v>165</v>
      </c>
      <c r="K31" s="52">
        <v>1</v>
      </c>
      <c r="L31" s="54" t="s">
        <v>91</v>
      </c>
      <c r="M31" s="60"/>
      <c r="N31" s="55">
        <v>2785</v>
      </c>
      <c r="O31" s="55">
        <f t="shared" si="4"/>
        <v>2785</v>
      </c>
      <c r="P31" s="100"/>
      <c r="Q31" s="59" t="s">
        <v>179</v>
      </c>
      <c r="R31" s="114" t="s">
        <v>180</v>
      </c>
      <c r="S31" s="52"/>
      <c r="T31" s="59" t="s">
        <v>142</v>
      </c>
      <c r="U31" s="54" t="s">
        <v>167</v>
      </c>
      <c r="V31" s="99">
        <v>4470</v>
      </c>
      <c r="W31" s="61">
        <f t="shared" si="1"/>
        <v>4470</v>
      </c>
      <c r="X31" s="62"/>
      <c r="Y31" s="63">
        <v>1.28</v>
      </c>
      <c r="Z31" s="229">
        <f t="shared" si="2"/>
        <v>1.2539272890484741</v>
      </c>
      <c r="AA31" s="349"/>
      <c r="AB31" s="181" t="s">
        <v>39</v>
      </c>
      <c r="AC31" s="60" t="s">
        <v>166</v>
      </c>
      <c r="AD31" s="172"/>
      <c r="AE31" s="64"/>
      <c r="AF31" s="60"/>
    </row>
    <row r="32" spans="1:32" s="21" customFormat="1" ht="43.5" customHeight="1">
      <c r="A32" s="52">
        <f t="shared" si="3"/>
        <v>30</v>
      </c>
      <c r="B32" s="53"/>
      <c r="C32" s="52">
        <v>1192</v>
      </c>
      <c r="D32" s="52">
        <v>10</v>
      </c>
      <c r="E32" s="52" t="s">
        <v>184</v>
      </c>
      <c r="F32" s="52" t="s">
        <v>306</v>
      </c>
      <c r="G32" s="52">
        <v>371</v>
      </c>
      <c r="H32" s="52" t="s">
        <v>140</v>
      </c>
      <c r="I32" s="52" t="s">
        <v>168</v>
      </c>
      <c r="J32" s="52" t="s">
        <v>169</v>
      </c>
      <c r="K32" s="52">
        <v>1</v>
      </c>
      <c r="L32" s="54" t="s">
        <v>91</v>
      </c>
      <c r="M32" s="60"/>
      <c r="N32" s="55">
        <v>110</v>
      </c>
      <c r="O32" s="55">
        <f t="shared" si="4"/>
        <v>110</v>
      </c>
      <c r="P32" s="100"/>
      <c r="Q32" s="59" t="s">
        <v>179</v>
      </c>
      <c r="R32" s="114" t="s">
        <v>180</v>
      </c>
      <c r="S32" s="52"/>
      <c r="T32" s="59" t="s">
        <v>142</v>
      </c>
      <c r="U32" s="54" t="s">
        <v>170</v>
      </c>
      <c r="V32" s="99">
        <v>316</v>
      </c>
      <c r="W32" s="61">
        <f t="shared" si="1"/>
        <v>316</v>
      </c>
      <c r="X32" s="62"/>
      <c r="Y32" s="63">
        <v>1.28</v>
      </c>
      <c r="Z32" s="229">
        <f t="shared" si="2"/>
        <v>2.2443181818181817</v>
      </c>
      <c r="AA32" s="349"/>
      <c r="AB32" s="181" t="s">
        <v>39</v>
      </c>
      <c r="AC32" s="60" t="s">
        <v>166</v>
      </c>
      <c r="AD32" s="172"/>
      <c r="AE32" s="64"/>
      <c r="AF32" s="60"/>
    </row>
    <row r="33" spans="1:32" s="21" customFormat="1" ht="43.5" customHeight="1">
      <c r="A33" s="185">
        <f t="shared" si="3"/>
        <v>31</v>
      </c>
      <c r="B33" s="247"/>
      <c r="C33" s="185">
        <v>1193</v>
      </c>
      <c r="D33" s="185">
        <v>11</v>
      </c>
      <c r="E33" s="185" t="s">
        <v>184</v>
      </c>
      <c r="F33" s="185" t="s">
        <v>183</v>
      </c>
      <c r="G33" s="185">
        <v>371</v>
      </c>
      <c r="H33" s="185" t="s">
        <v>140</v>
      </c>
      <c r="I33" s="185" t="s">
        <v>171</v>
      </c>
      <c r="J33" s="185" t="s">
        <v>172</v>
      </c>
      <c r="K33" s="185">
        <v>1</v>
      </c>
      <c r="L33" s="186" t="s">
        <v>122</v>
      </c>
      <c r="M33" s="248"/>
      <c r="N33" s="187">
        <v>4500</v>
      </c>
      <c r="O33" s="187">
        <v>0</v>
      </c>
      <c r="P33" s="249"/>
      <c r="Q33" s="218" t="s">
        <v>179</v>
      </c>
      <c r="R33" s="250" t="s">
        <v>180</v>
      </c>
      <c r="S33" s="185"/>
      <c r="T33" s="218" t="s">
        <v>142</v>
      </c>
      <c r="U33" s="186"/>
      <c r="V33" s="239">
        <v>7370</v>
      </c>
      <c r="W33" s="228">
        <v>0</v>
      </c>
      <c r="X33" s="242"/>
      <c r="Y33" s="63">
        <v>1.28</v>
      </c>
      <c r="Z33" s="229" t="e">
        <f t="shared" si="2"/>
        <v>#DIV/0!</v>
      </c>
      <c r="AA33" s="248"/>
      <c r="AB33" s="190" t="s">
        <v>468</v>
      </c>
      <c r="AC33" s="248" t="s">
        <v>381</v>
      </c>
      <c r="AD33" s="248"/>
      <c r="AE33" s="251"/>
      <c r="AF33" s="248"/>
    </row>
    <row r="34" spans="1:32" s="21" customFormat="1" ht="43.5" customHeight="1">
      <c r="A34" s="52">
        <f t="shared" si="3"/>
        <v>32</v>
      </c>
      <c r="B34" s="53" t="s">
        <v>387</v>
      </c>
      <c r="C34" s="52">
        <v>1290</v>
      </c>
      <c r="D34" s="52">
        <v>11</v>
      </c>
      <c r="E34" s="52" t="s">
        <v>184</v>
      </c>
      <c r="F34" s="52" t="s">
        <v>382</v>
      </c>
      <c r="G34" s="52">
        <v>371</v>
      </c>
      <c r="H34" s="52" t="s">
        <v>140</v>
      </c>
      <c r="I34" s="52" t="s">
        <v>393</v>
      </c>
      <c r="J34" s="52" t="s">
        <v>172</v>
      </c>
      <c r="K34" s="52">
        <v>1</v>
      </c>
      <c r="L34" s="54" t="s">
        <v>125</v>
      </c>
      <c r="M34" s="60"/>
      <c r="N34" s="55">
        <v>4500</v>
      </c>
      <c r="O34" s="55">
        <f t="shared" ref="O34:O66" si="5">N34*K34</f>
        <v>4500</v>
      </c>
      <c r="P34" s="100"/>
      <c r="Q34" s="59" t="s">
        <v>179</v>
      </c>
      <c r="R34" s="114" t="s">
        <v>180</v>
      </c>
      <c r="S34" s="52"/>
      <c r="T34" s="59" t="s">
        <v>142</v>
      </c>
      <c r="U34" s="54"/>
      <c r="V34" s="99">
        <v>7370</v>
      </c>
      <c r="W34" s="61">
        <f t="shared" ref="W34:W42" si="6">V34*K34</f>
        <v>7370</v>
      </c>
      <c r="X34" s="62"/>
      <c r="Y34" s="63">
        <v>1.28</v>
      </c>
      <c r="Z34" s="229">
        <f t="shared" si="2"/>
        <v>1.2795138888888888</v>
      </c>
      <c r="AA34" s="349"/>
      <c r="AB34" s="181" t="s">
        <v>39</v>
      </c>
      <c r="AC34" s="60" t="s">
        <v>166</v>
      </c>
      <c r="AD34" s="172"/>
      <c r="AE34" s="64"/>
      <c r="AF34" s="60"/>
    </row>
    <row r="35" spans="1:32" s="21" customFormat="1" ht="43.5" customHeight="1">
      <c r="A35" s="52">
        <f t="shared" si="3"/>
        <v>33</v>
      </c>
      <c r="B35" s="53"/>
      <c r="C35" s="52">
        <v>1194</v>
      </c>
      <c r="D35" s="52">
        <v>12</v>
      </c>
      <c r="E35" s="52" t="s">
        <v>184</v>
      </c>
      <c r="F35" s="52" t="s">
        <v>182</v>
      </c>
      <c r="G35" s="52">
        <v>371</v>
      </c>
      <c r="H35" s="52" t="s">
        <v>140</v>
      </c>
      <c r="I35" s="52" t="s">
        <v>173</v>
      </c>
      <c r="J35" s="52" t="s">
        <v>150</v>
      </c>
      <c r="K35" s="52">
        <v>50</v>
      </c>
      <c r="L35" s="54" t="s">
        <v>76</v>
      </c>
      <c r="M35" s="60"/>
      <c r="N35" s="55">
        <v>0.97</v>
      </c>
      <c r="O35" s="55">
        <f t="shared" si="5"/>
        <v>48.5</v>
      </c>
      <c r="P35" s="100"/>
      <c r="Q35" s="59" t="s">
        <v>179</v>
      </c>
      <c r="R35" s="114" t="s">
        <v>180</v>
      </c>
      <c r="S35" s="52"/>
      <c r="T35" s="59" t="s">
        <v>142</v>
      </c>
      <c r="U35" s="54" t="s">
        <v>174</v>
      </c>
      <c r="V35" s="99">
        <v>3.3</v>
      </c>
      <c r="W35" s="61">
        <f t="shared" si="6"/>
        <v>165</v>
      </c>
      <c r="X35" s="62"/>
      <c r="Y35" s="63">
        <v>1.28</v>
      </c>
      <c r="Z35" s="229">
        <f t="shared" ref="Z35:Z67" si="7">W35/O35/Y35</f>
        <v>2.6578608247422677</v>
      </c>
      <c r="AA35" s="349"/>
      <c r="AB35" s="181" t="s">
        <v>39</v>
      </c>
      <c r="AC35" s="60" t="s">
        <v>166</v>
      </c>
      <c r="AD35" s="172"/>
      <c r="AE35" s="64"/>
      <c r="AF35" s="60"/>
    </row>
    <row r="36" spans="1:32" s="21" customFormat="1" ht="43.5" customHeight="1">
      <c r="A36" s="52">
        <f t="shared" ref="A36:A68" si="8">A35+1</f>
        <v>34</v>
      </c>
      <c r="B36" s="53"/>
      <c r="C36" s="52">
        <v>1195</v>
      </c>
      <c r="D36" s="52">
        <v>13</v>
      </c>
      <c r="E36" s="52" t="s">
        <v>184</v>
      </c>
      <c r="F36" s="52" t="s">
        <v>138</v>
      </c>
      <c r="G36" s="52">
        <v>371</v>
      </c>
      <c r="H36" s="52" t="s">
        <v>140</v>
      </c>
      <c r="I36" s="52" t="s">
        <v>175</v>
      </c>
      <c r="J36" s="52" t="s">
        <v>176</v>
      </c>
      <c r="K36" s="52">
        <v>10</v>
      </c>
      <c r="L36" s="54" t="s">
        <v>76</v>
      </c>
      <c r="M36" s="60"/>
      <c r="N36" s="55">
        <v>15.76</v>
      </c>
      <c r="O36" s="55">
        <f t="shared" si="5"/>
        <v>157.6</v>
      </c>
      <c r="P36" s="56"/>
      <c r="Q36" s="59" t="s">
        <v>179</v>
      </c>
      <c r="R36" s="114" t="s">
        <v>180</v>
      </c>
      <c r="S36" s="52"/>
      <c r="T36" s="59" t="s">
        <v>142</v>
      </c>
      <c r="U36" s="54"/>
      <c r="V36" s="99">
        <v>19</v>
      </c>
      <c r="W36" s="61">
        <f t="shared" si="6"/>
        <v>190</v>
      </c>
      <c r="X36" s="62">
        <v>35</v>
      </c>
      <c r="Y36" s="63">
        <v>1.28</v>
      </c>
      <c r="Z36" s="229">
        <f t="shared" si="7"/>
        <v>0.94186230964466999</v>
      </c>
      <c r="AA36" s="349"/>
      <c r="AB36" s="181" t="s">
        <v>39</v>
      </c>
      <c r="AC36" s="60" t="s">
        <v>147</v>
      </c>
      <c r="AD36" s="172"/>
      <c r="AE36" s="64"/>
      <c r="AF36" s="60"/>
    </row>
    <row r="37" spans="1:32" s="21" customFormat="1" ht="43.5" customHeight="1">
      <c r="A37" s="52">
        <f t="shared" si="8"/>
        <v>35</v>
      </c>
      <c r="B37" s="53"/>
      <c r="C37" s="52">
        <v>1196</v>
      </c>
      <c r="D37" s="52">
        <v>14</v>
      </c>
      <c r="E37" s="52" t="s">
        <v>184</v>
      </c>
      <c r="F37" s="52" t="s">
        <v>321</v>
      </c>
      <c r="G37" s="52">
        <v>371</v>
      </c>
      <c r="H37" s="52" t="s">
        <v>140</v>
      </c>
      <c r="I37" s="52" t="s">
        <v>297</v>
      </c>
      <c r="J37" s="52" t="s">
        <v>177</v>
      </c>
      <c r="K37" s="52">
        <v>1</v>
      </c>
      <c r="L37" s="54" t="s">
        <v>125</v>
      </c>
      <c r="M37" s="60"/>
      <c r="N37" s="55">
        <v>3250</v>
      </c>
      <c r="O37" s="55">
        <f t="shared" si="5"/>
        <v>3250</v>
      </c>
      <c r="P37" s="56"/>
      <c r="Q37" s="59" t="s">
        <v>179</v>
      </c>
      <c r="R37" s="114" t="s">
        <v>180</v>
      </c>
      <c r="S37" s="52"/>
      <c r="T37" s="59" t="s">
        <v>142</v>
      </c>
      <c r="U37" s="54"/>
      <c r="V37" s="99">
        <v>5830</v>
      </c>
      <c r="W37" s="61">
        <f t="shared" si="6"/>
        <v>5830</v>
      </c>
      <c r="X37" s="62">
        <v>35</v>
      </c>
      <c r="Y37" s="63">
        <v>1.28</v>
      </c>
      <c r="Z37" s="229">
        <f t="shared" si="7"/>
        <v>1.4014423076923077</v>
      </c>
      <c r="AA37" s="350"/>
      <c r="AB37" s="181" t="s">
        <v>39</v>
      </c>
      <c r="AC37" s="60" t="s">
        <v>166</v>
      </c>
      <c r="AD37" s="172"/>
      <c r="AE37" s="64"/>
      <c r="AF37" s="60"/>
    </row>
    <row r="38" spans="1:32" s="21" customFormat="1" ht="43.5" customHeight="1">
      <c r="A38" s="52">
        <f t="shared" si="8"/>
        <v>36</v>
      </c>
      <c r="B38" s="53"/>
      <c r="C38" s="52">
        <v>1197</v>
      </c>
      <c r="D38" s="52">
        <v>15</v>
      </c>
      <c r="E38" s="52" t="s">
        <v>184</v>
      </c>
      <c r="F38" s="52" t="s">
        <v>100</v>
      </c>
      <c r="G38" s="52">
        <v>371</v>
      </c>
      <c r="H38" s="52" t="s">
        <v>140</v>
      </c>
      <c r="I38" s="52" t="s">
        <v>191</v>
      </c>
      <c r="J38" s="52" t="s">
        <v>178</v>
      </c>
      <c r="K38" s="52">
        <v>2</v>
      </c>
      <c r="L38" s="54" t="s">
        <v>76</v>
      </c>
      <c r="M38" s="60"/>
      <c r="N38" s="55">
        <v>47</v>
      </c>
      <c r="O38" s="55">
        <f t="shared" si="5"/>
        <v>94</v>
      </c>
      <c r="P38" s="56"/>
      <c r="Q38" s="59" t="s">
        <v>179</v>
      </c>
      <c r="R38" s="114" t="s">
        <v>180</v>
      </c>
      <c r="S38" s="52"/>
      <c r="T38" s="59" t="s">
        <v>142</v>
      </c>
      <c r="U38" s="54"/>
      <c r="V38" s="99">
        <v>138</v>
      </c>
      <c r="W38" s="61">
        <f t="shared" si="6"/>
        <v>276</v>
      </c>
      <c r="X38" s="62">
        <v>35</v>
      </c>
      <c r="Y38" s="63">
        <v>1.28</v>
      </c>
      <c r="Z38" s="229">
        <f t="shared" si="7"/>
        <v>2.2938829787234041</v>
      </c>
      <c r="AA38" s="349"/>
      <c r="AB38" s="181" t="s">
        <v>39</v>
      </c>
      <c r="AC38" s="60" t="s">
        <v>147</v>
      </c>
      <c r="AD38" s="172"/>
      <c r="AE38" s="64"/>
      <c r="AF38" s="60"/>
    </row>
    <row r="39" spans="1:32" s="21" customFormat="1" ht="43.5" customHeight="1">
      <c r="A39" s="52">
        <f t="shared" si="8"/>
        <v>37</v>
      </c>
      <c r="B39" s="53"/>
      <c r="C39" s="52">
        <v>1204</v>
      </c>
      <c r="D39" s="52">
        <v>16</v>
      </c>
      <c r="E39" s="52" t="s">
        <v>184</v>
      </c>
      <c r="F39" s="52" t="s">
        <v>138</v>
      </c>
      <c r="G39" s="52">
        <v>371</v>
      </c>
      <c r="H39" s="52" t="s">
        <v>77</v>
      </c>
      <c r="I39" s="52" t="s">
        <v>303</v>
      </c>
      <c r="J39" s="52" t="s">
        <v>133</v>
      </c>
      <c r="K39" s="52">
        <v>10</v>
      </c>
      <c r="L39" s="54" t="s">
        <v>76</v>
      </c>
      <c r="M39" s="60"/>
      <c r="N39" s="55">
        <v>5.34</v>
      </c>
      <c r="O39" s="55">
        <f t="shared" si="5"/>
        <v>53.4</v>
      </c>
      <c r="P39" s="56"/>
      <c r="Q39" s="59" t="s">
        <v>179</v>
      </c>
      <c r="R39" s="114" t="s">
        <v>180</v>
      </c>
      <c r="S39" s="52"/>
      <c r="T39" s="59" t="s">
        <v>142</v>
      </c>
      <c r="U39" s="54"/>
      <c r="V39" s="99">
        <v>15</v>
      </c>
      <c r="W39" s="61">
        <f t="shared" si="6"/>
        <v>150</v>
      </c>
      <c r="X39" s="62">
        <v>35</v>
      </c>
      <c r="Y39" s="63">
        <v>1.28</v>
      </c>
      <c r="Z39" s="229">
        <f t="shared" si="7"/>
        <v>2.1945224719101124</v>
      </c>
      <c r="AA39" s="349"/>
      <c r="AB39" s="181" t="s">
        <v>39</v>
      </c>
      <c r="AC39" s="60" t="s">
        <v>147</v>
      </c>
      <c r="AD39" s="172"/>
      <c r="AE39" s="64"/>
      <c r="AF39" s="60"/>
    </row>
    <row r="40" spans="1:32" s="21" customFormat="1" ht="43.5" customHeight="1">
      <c r="A40" s="185">
        <f t="shared" si="8"/>
        <v>38</v>
      </c>
      <c r="B40" s="247" t="s">
        <v>387</v>
      </c>
      <c r="C40" s="185">
        <v>1262</v>
      </c>
      <c r="D40" s="185">
        <v>17</v>
      </c>
      <c r="E40" s="185" t="s">
        <v>184</v>
      </c>
      <c r="F40" s="185" t="s">
        <v>405</v>
      </c>
      <c r="G40" s="185">
        <v>371</v>
      </c>
      <c r="H40" s="185" t="s">
        <v>140</v>
      </c>
      <c r="I40" s="185" t="s">
        <v>587</v>
      </c>
      <c r="J40" s="185" t="s">
        <v>362</v>
      </c>
      <c r="K40" s="185">
        <v>1</v>
      </c>
      <c r="L40" s="186" t="s">
        <v>125</v>
      </c>
      <c r="M40" s="248"/>
      <c r="N40" s="187">
        <v>2350</v>
      </c>
      <c r="O40" s="187">
        <f t="shared" si="5"/>
        <v>2350</v>
      </c>
      <c r="P40" s="183"/>
      <c r="Q40" s="218" t="s">
        <v>179</v>
      </c>
      <c r="R40" s="250">
        <v>45580</v>
      </c>
      <c r="S40" s="185"/>
      <c r="T40" s="218" t="s">
        <v>142</v>
      </c>
      <c r="U40" s="186" t="s">
        <v>361</v>
      </c>
      <c r="V40" s="239">
        <v>5000</v>
      </c>
      <c r="W40" s="228">
        <f t="shared" si="6"/>
        <v>5000</v>
      </c>
      <c r="X40" s="242"/>
      <c r="Y40" s="63">
        <v>1.28</v>
      </c>
      <c r="Z40" s="229">
        <f t="shared" si="7"/>
        <v>1.6622340425531914</v>
      </c>
      <c r="AA40" s="248">
        <v>142</v>
      </c>
      <c r="AB40" s="68" t="s">
        <v>17</v>
      </c>
      <c r="AC40" s="248"/>
      <c r="AD40" s="248"/>
      <c r="AE40" s="251"/>
      <c r="AF40" s="248"/>
    </row>
    <row r="41" spans="1:32" s="21" customFormat="1" ht="43.5" customHeight="1">
      <c r="A41" s="185">
        <f t="shared" si="8"/>
        <v>39</v>
      </c>
      <c r="B41" s="247" t="s">
        <v>387</v>
      </c>
      <c r="C41" s="185">
        <v>1198</v>
      </c>
      <c r="D41" s="185">
        <v>1</v>
      </c>
      <c r="E41" s="185" t="s">
        <v>79</v>
      </c>
      <c r="F41" s="185" t="s">
        <v>513</v>
      </c>
      <c r="G41" s="185">
        <v>367</v>
      </c>
      <c r="H41" s="185" t="s">
        <v>77</v>
      </c>
      <c r="I41" s="185" t="s">
        <v>185</v>
      </c>
      <c r="J41" s="185" t="s">
        <v>187</v>
      </c>
      <c r="K41" s="185">
        <v>2</v>
      </c>
      <c r="L41" s="186" t="s">
        <v>122</v>
      </c>
      <c r="M41" s="248"/>
      <c r="N41" s="187">
        <v>7000</v>
      </c>
      <c r="O41" s="187">
        <f t="shared" si="5"/>
        <v>14000</v>
      </c>
      <c r="P41" s="183"/>
      <c r="Q41" s="218" t="s">
        <v>189</v>
      </c>
      <c r="R41" s="250">
        <v>45564</v>
      </c>
      <c r="S41" s="185" t="s">
        <v>190</v>
      </c>
      <c r="T41" s="218" t="s">
        <v>517</v>
      </c>
      <c r="U41" s="186"/>
      <c r="V41" s="239">
        <v>11520</v>
      </c>
      <c r="W41" s="228">
        <f t="shared" si="6"/>
        <v>23040</v>
      </c>
      <c r="X41" s="242"/>
      <c r="Y41" s="63">
        <v>1.28</v>
      </c>
      <c r="Z41" s="229">
        <f t="shared" si="7"/>
        <v>1.2857142857142856</v>
      </c>
      <c r="AA41" s="248"/>
      <c r="AB41" s="194" t="s">
        <v>62</v>
      </c>
      <c r="AC41" s="248"/>
      <c r="AD41" s="248" t="s">
        <v>682</v>
      </c>
      <c r="AE41" s="251"/>
      <c r="AF41" s="248"/>
    </row>
    <row r="42" spans="1:32" s="21" customFormat="1" ht="43.5" customHeight="1">
      <c r="A42" s="52">
        <f t="shared" si="8"/>
        <v>40</v>
      </c>
      <c r="B42" s="53"/>
      <c r="C42" s="52">
        <v>1199</v>
      </c>
      <c r="D42" s="52">
        <v>2</v>
      </c>
      <c r="E42" s="52" t="s">
        <v>79</v>
      </c>
      <c r="F42" s="52" t="s">
        <v>371</v>
      </c>
      <c r="G42" s="52">
        <v>367</v>
      </c>
      <c r="H42" s="52" t="s">
        <v>77</v>
      </c>
      <c r="I42" s="52" t="s">
        <v>186</v>
      </c>
      <c r="J42" s="52" t="s">
        <v>188</v>
      </c>
      <c r="K42" s="52">
        <v>3</v>
      </c>
      <c r="L42" s="54" t="s">
        <v>76</v>
      </c>
      <c r="M42" s="60"/>
      <c r="N42" s="55">
        <v>217.48</v>
      </c>
      <c r="O42" s="55">
        <f t="shared" si="5"/>
        <v>652.43999999999994</v>
      </c>
      <c r="P42" s="56"/>
      <c r="Q42" s="59" t="s">
        <v>189</v>
      </c>
      <c r="R42" s="114">
        <v>45564</v>
      </c>
      <c r="S42" s="52" t="s">
        <v>190</v>
      </c>
      <c r="T42" s="59" t="s">
        <v>85</v>
      </c>
      <c r="U42" s="54"/>
      <c r="V42" s="99">
        <v>440</v>
      </c>
      <c r="W42" s="61">
        <f t="shared" si="6"/>
        <v>1320</v>
      </c>
      <c r="X42" s="62"/>
      <c r="Y42" s="63">
        <v>1.28</v>
      </c>
      <c r="Z42" s="229">
        <f t="shared" si="7"/>
        <v>1.5806051131138497</v>
      </c>
      <c r="AA42" s="350"/>
      <c r="AB42" s="181" t="s">
        <v>39</v>
      </c>
      <c r="AC42" s="60"/>
      <c r="AD42" s="172"/>
      <c r="AE42" s="64"/>
      <c r="AF42" s="60"/>
    </row>
    <row r="43" spans="1:32" s="21" customFormat="1" ht="43.5" customHeight="1">
      <c r="A43" s="52">
        <f t="shared" si="8"/>
        <v>41</v>
      </c>
      <c r="B43" s="53" t="s">
        <v>140</v>
      </c>
      <c r="C43" s="52">
        <v>1201</v>
      </c>
      <c r="D43" s="52">
        <v>1</v>
      </c>
      <c r="E43" s="52" t="s">
        <v>139</v>
      </c>
      <c r="F43" s="53" t="s">
        <v>469</v>
      </c>
      <c r="G43" s="52">
        <v>368</v>
      </c>
      <c r="H43" s="52" t="s">
        <v>140</v>
      </c>
      <c r="I43" s="52" t="s">
        <v>293</v>
      </c>
      <c r="J43" s="52" t="s">
        <v>294</v>
      </c>
      <c r="K43" s="52">
        <v>5</v>
      </c>
      <c r="L43" s="54" t="s">
        <v>91</v>
      </c>
      <c r="M43" s="60" t="s">
        <v>719</v>
      </c>
      <c r="N43" s="55">
        <v>30</v>
      </c>
      <c r="O43" s="55">
        <f t="shared" si="5"/>
        <v>150</v>
      </c>
      <c r="P43" s="56"/>
      <c r="Q43" s="59" t="s">
        <v>295</v>
      </c>
      <c r="R43" s="114">
        <v>45564</v>
      </c>
      <c r="S43" s="52"/>
      <c r="T43" s="59" t="s">
        <v>142</v>
      </c>
      <c r="U43" s="54"/>
      <c r="V43" s="99">
        <v>90</v>
      </c>
      <c r="W43" s="61" t="e">
        <f>V43*M43</f>
        <v>#VALUE!</v>
      </c>
      <c r="X43" s="56"/>
      <c r="Y43" s="63">
        <v>1.28</v>
      </c>
      <c r="Z43" s="229" t="e">
        <f t="shared" si="7"/>
        <v>#VALUE!</v>
      </c>
      <c r="AA43" s="350"/>
      <c r="AB43" s="181" t="s">
        <v>39</v>
      </c>
      <c r="AC43" s="60" t="s">
        <v>410</v>
      </c>
      <c r="AD43" s="172"/>
      <c r="AE43" s="64"/>
      <c r="AF43" s="60"/>
    </row>
    <row r="44" spans="1:32" s="21" customFormat="1" ht="43.5" customHeight="1">
      <c r="A44" s="52">
        <f t="shared" si="8"/>
        <v>42</v>
      </c>
      <c r="B44" s="53" t="s">
        <v>140</v>
      </c>
      <c r="C44" s="52">
        <v>1202</v>
      </c>
      <c r="D44" s="52">
        <v>1</v>
      </c>
      <c r="E44" s="52" t="s">
        <v>79</v>
      </c>
      <c r="F44" s="52" t="s">
        <v>470</v>
      </c>
      <c r="G44" s="52">
        <v>367</v>
      </c>
      <c r="H44" s="52" t="s">
        <v>253</v>
      </c>
      <c r="I44" s="52" t="s">
        <v>299</v>
      </c>
      <c r="J44" s="52" t="s">
        <v>150</v>
      </c>
      <c r="K44" s="52">
        <v>2</v>
      </c>
      <c r="L44" s="54" t="s">
        <v>76</v>
      </c>
      <c r="M44" s="60"/>
      <c r="N44" s="55">
        <v>105.5</v>
      </c>
      <c r="O44" s="55">
        <f t="shared" si="5"/>
        <v>211</v>
      </c>
      <c r="P44" s="56"/>
      <c r="Q44" s="59" t="s">
        <v>298</v>
      </c>
      <c r="R44" s="114">
        <v>45566</v>
      </c>
      <c r="S44" s="52"/>
      <c r="T44" s="59" t="s">
        <v>81</v>
      </c>
      <c r="U44" s="54"/>
      <c r="V44" s="99">
        <v>310</v>
      </c>
      <c r="W44" s="61">
        <f t="shared" ref="W44:W76" si="9">V44*K44</f>
        <v>620</v>
      </c>
      <c r="X44" s="56"/>
      <c r="Y44" s="63">
        <v>1.28</v>
      </c>
      <c r="Z44" s="229">
        <f t="shared" si="7"/>
        <v>2.2956161137440758</v>
      </c>
      <c r="AA44" s="350"/>
      <c r="AB44" s="181" t="s">
        <v>39</v>
      </c>
      <c r="AC44" s="60"/>
      <c r="AD44" s="172"/>
      <c r="AE44" s="64"/>
      <c r="AF44" s="60"/>
    </row>
    <row r="45" spans="1:32" s="21" customFormat="1" ht="43.5" customHeight="1">
      <c r="A45" s="52">
        <f t="shared" si="8"/>
        <v>43</v>
      </c>
      <c r="B45" s="53"/>
      <c r="C45" s="52">
        <v>1203</v>
      </c>
      <c r="D45" s="52">
        <v>1</v>
      </c>
      <c r="E45" s="52" t="s">
        <v>79</v>
      </c>
      <c r="F45" s="52" t="s">
        <v>212</v>
      </c>
      <c r="G45" s="52">
        <v>367</v>
      </c>
      <c r="H45" s="52" t="s">
        <v>253</v>
      </c>
      <c r="I45" s="52" t="s">
        <v>300</v>
      </c>
      <c r="J45" s="52" t="s">
        <v>301</v>
      </c>
      <c r="K45" s="52">
        <v>1</v>
      </c>
      <c r="L45" s="54" t="s">
        <v>91</v>
      </c>
      <c r="M45" s="60"/>
      <c r="N45" s="55">
        <v>1400</v>
      </c>
      <c r="O45" s="55">
        <f t="shared" si="5"/>
        <v>1400</v>
      </c>
      <c r="P45" s="56"/>
      <c r="Q45" s="59" t="s">
        <v>302</v>
      </c>
      <c r="R45" s="114">
        <v>45567</v>
      </c>
      <c r="S45" s="52"/>
      <c r="T45" s="59"/>
      <c r="U45" s="54"/>
      <c r="V45" s="99">
        <v>2620</v>
      </c>
      <c r="W45" s="61">
        <f t="shared" si="9"/>
        <v>2620</v>
      </c>
      <c r="X45" s="62"/>
      <c r="Y45" s="63">
        <v>1.28</v>
      </c>
      <c r="Z45" s="229">
        <f t="shared" si="7"/>
        <v>1.4620535714285714</v>
      </c>
      <c r="AA45" s="350"/>
      <c r="AB45" s="181" t="s">
        <v>39</v>
      </c>
      <c r="AC45" s="60" t="s">
        <v>367</v>
      </c>
      <c r="AD45" s="172"/>
      <c r="AE45" s="64"/>
      <c r="AF45" s="60"/>
    </row>
    <row r="46" spans="1:32" s="21" customFormat="1" ht="43.5" customHeight="1">
      <c r="A46" s="52">
        <f t="shared" si="8"/>
        <v>44</v>
      </c>
      <c r="B46" s="53"/>
      <c r="C46" s="52">
        <v>1231</v>
      </c>
      <c r="D46" s="52">
        <v>1</v>
      </c>
      <c r="E46" s="52" t="s">
        <v>139</v>
      </c>
      <c r="F46" s="52" t="s">
        <v>138</v>
      </c>
      <c r="G46" s="52">
        <v>368</v>
      </c>
      <c r="H46" s="52" t="s">
        <v>140</v>
      </c>
      <c r="I46" s="52" t="s">
        <v>307</v>
      </c>
      <c r="J46" s="52" t="s">
        <v>311</v>
      </c>
      <c r="K46" s="52">
        <v>4</v>
      </c>
      <c r="L46" s="54" t="s">
        <v>76</v>
      </c>
      <c r="M46" s="60"/>
      <c r="N46" s="55">
        <v>87.1</v>
      </c>
      <c r="O46" s="55">
        <f t="shared" si="5"/>
        <v>348.4</v>
      </c>
      <c r="P46" s="56"/>
      <c r="Q46" s="59">
        <v>14030617</v>
      </c>
      <c r="R46" s="114"/>
      <c r="S46" s="52"/>
      <c r="T46" s="59" t="s">
        <v>142</v>
      </c>
      <c r="U46" s="54"/>
      <c r="V46" s="99">
        <v>160</v>
      </c>
      <c r="W46" s="61">
        <f t="shared" si="9"/>
        <v>640</v>
      </c>
      <c r="X46" s="62"/>
      <c r="Y46" s="63">
        <v>1.28</v>
      </c>
      <c r="Z46" s="229">
        <f t="shared" si="7"/>
        <v>1.4351320321469576</v>
      </c>
      <c r="AA46" s="349"/>
      <c r="AB46" s="181" t="s">
        <v>39</v>
      </c>
      <c r="AC46" s="60"/>
      <c r="AD46" s="172"/>
      <c r="AE46" s="64"/>
      <c r="AF46" s="60"/>
    </row>
    <row r="47" spans="1:32" s="21" customFormat="1" ht="43.5" customHeight="1">
      <c r="A47" s="52">
        <f t="shared" si="8"/>
        <v>45</v>
      </c>
      <c r="B47" s="53"/>
      <c r="C47" s="52">
        <v>1232</v>
      </c>
      <c r="D47" s="52">
        <v>2</v>
      </c>
      <c r="E47" s="52" t="s">
        <v>139</v>
      </c>
      <c r="F47" s="52" t="s">
        <v>138</v>
      </c>
      <c r="G47" s="52">
        <v>368</v>
      </c>
      <c r="H47" s="52" t="s">
        <v>140</v>
      </c>
      <c r="I47" s="52" t="s">
        <v>308</v>
      </c>
      <c r="J47" s="52" t="s">
        <v>311</v>
      </c>
      <c r="K47" s="52">
        <v>4</v>
      </c>
      <c r="L47" s="54" t="s">
        <v>76</v>
      </c>
      <c r="M47" s="60"/>
      <c r="N47" s="55">
        <v>201.24</v>
      </c>
      <c r="O47" s="55">
        <f t="shared" si="5"/>
        <v>804.96</v>
      </c>
      <c r="P47" s="56"/>
      <c r="Q47" s="59">
        <v>14030617</v>
      </c>
      <c r="R47" s="114"/>
      <c r="S47" s="52"/>
      <c r="T47" s="59" t="s">
        <v>142</v>
      </c>
      <c r="U47" s="54"/>
      <c r="V47" s="99">
        <v>340</v>
      </c>
      <c r="W47" s="61">
        <f t="shared" si="9"/>
        <v>1360</v>
      </c>
      <c r="X47" s="62"/>
      <c r="Y47" s="63">
        <v>1.28</v>
      </c>
      <c r="Z47" s="229">
        <f t="shared" si="7"/>
        <v>1.3199413635460147</v>
      </c>
      <c r="AA47" s="349"/>
      <c r="AB47" s="181" t="s">
        <v>39</v>
      </c>
      <c r="AC47" s="60"/>
      <c r="AD47" s="172"/>
      <c r="AE47" s="64"/>
      <c r="AF47" s="60"/>
    </row>
    <row r="48" spans="1:32" s="21" customFormat="1" ht="43.5" customHeight="1">
      <c r="A48" s="52">
        <f t="shared" si="8"/>
        <v>46</v>
      </c>
      <c r="B48" s="53"/>
      <c r="C48" s="52">
        <v>1233</v>
      </c>
      <c r="D48" s="52">
        <v>3</v>
      </c>
      <c r="E48" s="52" t="s">
        <v>139</v>
      </c>
      <c r="F48" s="52" t="s">
        <v>138</v>
      </c>
      <c r="G48" s="52">
        <v>368</v>
      </c>
      <c r="H48" s="52" t="s">
        <v>140</v>
      </c>
      <c r="I48" s="52" t="s">
        <v>309</v>
      </c>
      <c r="J48" s="52" t="s">
        <v>312</v>
      </c>
      <c r="K48" s="52">
        <v>12</v>
      </c>
      <c r="L48" s="54" t="s">
        <v>76</v>
      </c>
      <c r="M48" s="60"/>
      <c r="N48" s="55">
        <v>163.30000000000001</v>
      </c>
      <c r="O48" s="55">
        <f t="shared" si="5"/>
        <v>1959.6000000000001</v>
      </c>
      <c r="P48" s="56"/>
      <c r="Q48" s="59">
        <v>14030617</v>
      </c>
      <c r="R48" s="114"/>
      <c r="S48" s="52"/>
      <c r="T48" s="59" t="s">
        <v>142</v>
      </c>
      <c r="U48" s="54"/>
      <c r="V48" s="99">
        <v>240</v>
      </c>
      <c r="W48" s="61">
        <f t="shared" si="9"/>
        <v>2880</v>
      </c>
      <c r="X48" s="62"/>
      <c r="Y48" s="63">
        <v>1.28</v>
      </c>
      <c r="Z48" s="229">
        <f t="shared" si="7"/>
        <v>1.1481935088793631</v>
      </c>
      <c r="AA48" s="349"/>
      <c r="AB48" s="181" t="s">
        <v>39</v>
      </c>
      <c r="AC48" s="60"/>
      <c r="AD48" s="172"/>
      <c r="AE48" s="64"/>
      <c r="AF48" s="60"/>
    </row>
    <row r="49" spans="1:32" s="21" customFormat="1" ht="43.5" customHeight="1">
      <c r="A49" s="52">
        <f t="shared" si="8"/>
        <v>47</v>
      </c>
      <c r="B49" s="53" t="s">
        <v>387</v>
      </c>
      <c r="C49" s="52">
        <v>1234</v>
      </c>
      <c r="D49" s="52">
        <v>4</v>
      </c>
      <c r="E49" s="52" t="s">
        <v>139</v>
      </c>
      <c r="F49" s="52" t="s">
        <v>313</v>
      </c>
      <c r="G49" s="52">
        <v>368</v>
      </c>
      <c r="H49" s="52" t="s">
        <v>140</v>
      </c>
      <c r="I49" s="52" t="s">
        <v>310</v>
      </c>
      <c r="J49" s="52" t="s">
        <v>277</v>
      </c>
      <c r="K49" s="52">
        <v>20</v>
      </c>
      <c r="L49" s="54" t="s">
        <v>76</v>
      </c>
      <c r="M49" s="60"/>
      <c r="N49" s="55">
        <v>92.09</v>
      </c>
      <c r="O49" s="55">
        <f t="shared" si="5"/>
        <v>1841.8000000000002</v>
      </c>
      <c r="P49" s="56"/>
      <c r="Q49" s="59">
        <v>14030617</v>
      </c>
      <c r="R49" s="114"/>
      <c r="S49" s="52"/>
      <c r="T49" s="59" t="s">
        <v>142</v>
      </c>
      <c r="U49" s="54"/>
      <c r="V49" s="99">
        <v>150</v>
      </c>
      <c r="W49" s="61">
        <f t="shared" si="9"/>
        <v>3000</v>
      </c>
      <c r="X49" s="62"/>
      <c r="Y49" s="63">
        <v>1.28</v>
      </c>
      <c r="Z49" s="229">
        <f t="shared" si="7"/>
        <v>1.2725323053534585</v>
      </c>
      <c r="AA49" s="349"/>
      <c r="AB49" s="181" t="s">
        <v>39</v>
      </c>
      <c r="AC49" s="60"/>
      <c r="AD49" s="172"/>
      <c r="AE49" s="64"/>
      <c r="AF49" s="60"/>
    </row>
    <row r="50" spans="1:32" s="21" customFormat="1" ht="43.5" customHeight="1">
      <c r="A50" s="52">
        <f t="shared" si="8"/>
        <v>48</v>
      </c>
      <c r="B50" s="53" t="s">
        <v>140</v>
      </c>
      <c r="C50" s="52">
        <v>1230</v>
      </c>
      <c r="D50" s="52">
        <v>5</v>
      </c>
      <c r="E50" s="52" t="s">
        <v>139</v>
      </c>
      <c r="F50" s="52" t="s">
        <v>411</v>
      </c>
      <c r="G50" s="52">
        <v>368</v>
      </c>
      <c r="H50" s="52" t="s">
        <v>140</v>
      </c>
      <c r="I50" s="52" t="s">
        <v>314</v>
      </c>
      <c r="J50" s="52" t="s">
        <v>320</v>
      </c>
      <c r="K50" s="52">
        <v>1</v>
      </c>
      <c r="L50" s="54" t="s">
        <v>315</v>
      </c>
      <c r="M50" s="60"/>
      <c r="N50" s="55">
        <v>2500</v>
      </c>
      <c r="O50" s="55">
        <f t="shared" si="5"/>
        <v>2500</v>
      </c>
      <c r="P50" s="56"/>
      <c r="Q50" s="59">
        <v>14030617</v>
      </c>
      <c r="R50" s="114"/>
      <c r="S50" s="52"/>
      <c r="T50" s="59" t="s">
        <v>142</v>
      </c>
      <c r="U50" s="54"/>
      <c r="V50" s="99">
        <v>3700</v>
      </c>
      <c r="W50" s="61">
        <f t="shared" si="9"/>
        <v>3700</v>
      </c>
      <c r="X50" s="62"/>
      <c r="Y50" s="63">
        <v>1.28</v>
      </c>
      <c r="Z50" s="229">
        <f t="shared" si="7"/>
        <v>1.15625</v>
      </c>
      <c r="AA50" s="350"/>
      <c r="AB50" s="181" t="s">
        <v>39</v>
      </c>
      <c r="AC50" s="60"/>
      <c r="AD50" s="172"/>
      <c r="AE50" s="64"/>
      <c r="AF50" s="60"/>
    </row>
    <row r="51" spans="1:32" s="21" customFormat="1" ht="43.5" customHeight="1">
      <c r="A51" s="52">
        <f t="shared" si="8"/>
        <v>49</v>
      </c>
      <c r="B51" s="53" t="s">
        <v>387</v>
      </c>
      <c r="C51" s="52">
        <v>1241</v>
      </c>
      <c r="D51" s="52">
        <v>1</v>
      </c>
      <c r="E51" s="52" t="s">
        <v>139</v>
      </c>
      <c r="F51" s="52" t="s">
        <v>405</v>
      </c>
      <c r="G51" s="52">
        <v>368</v>
      </c>
      <c r="H51" s="52" t="s">
        <v>140</v>
      </c>
      <c r="I51" s="52" t="s">
        <v>318</v>
      </c>
      <c r="J51" s="52" t="s">
        <v>319</v>
      </c>
      <c r="K51" s="52">
        <v>1</v>
      </c>
      <c r="L51" s="54" t="s">
        <v>122</v>
      </c>
      <c r="M51" s="60"/>
      <c r="N51" s="55">
        <v>3200</v>
      </c>
      <c r="O51" s="55">
        <f t="shared" si="5"/>
        <v>3200</v>
      </c>
      <c r="P51" s="56"/>
      <c r="Q51" s="59">
        <v>14030630</v>
      </c>
      <c r="R51" s="114"/>
      <c r="S51" s="52"/>
      <c r="T51" s="59"/>
      <c r="U51" s="54"/>
      <c r="V51" s="99">
        <v>4600</v>
      </c>
      <c r="W51" s="61">
        <f t="shared" si="9"/>
        <v>4600</v>
      </c>
      <c r="X51" s="62"/>
      <c r="Y51" s="63">
        <v>1.28</v>
      </c>
      <c r="Z51" s="229">
        <f t="shared" si="7"/>
        <v>1.123046875</v>
      </c>
      <c r="AA51" s="350"/>
      <c r="AB51" s="181" t="s">
        <v>39</v>
      </c>
      <c r="AC51" s="60"/>
      <c r="AD51" s="172"/>
      <c r="AE51" s="64"/>
      <c r="AF51" s="60"/>
    </row>
    <row r="52" spans="1:32" s="21" customFormat="1" ht="43.5" customHeight="1">
      <c r="A52" s="52">
        <f t="shared" si="8"/>
        <v>50</v>
      </c>
      <c r="B52" s="53" t="s">
        <v>387</v>
      </c>
      <c r="C52" s="52">
        <v>1244</v>
      </c>
      <c r="D52" s="52">
        <v>1</v>
      </c>
      <c r="E52" s="52" t="s">
        <v>79</v>
      </c>
      <c r="F52" s="52" t="s">
        <v>112</v>
      </c>
      <c r="G52" s="52">
        <v>367</v>
      </c>
      <c r="H52" s="52" t="s">
        <v>77</v>
      </c>
      <c r="I52" s="52" t="s">
        <v>322</v>
      </c>
      <c r="J52" s="52" t="s">
        <v>294</v>
      </c>
      <c r="K52" s="59">
        <v>8</v>
      </c>
      <c r="L52" s="54" t="s">
        <v>76</v>
      </c>
      <c r="M52" s="60"/>
      <c r="N52" s="55">
        <v>59.3</v>
      </c>
      <c r="O52" s="55">
        <f t="shared" si="5"/>
        <v>474.4</v>
      </c>
      <c r="P52" s="56"/>
      <c r="Q52" s="59" t="s">
        <v>324</v>
      </c>
      <c r="R52" s="114">
        <v>45573</v>
      </c>
      <c r="S52" s="52" t="s">
        <v>323</v>
      </c>
      <c r="T52" s="59" t="s">
        <v>85</v>
      </c>
      <c r="U52" s="54"/>
      <c r="V52" s="99">
        <v>130</v>
      </c>
      <c r="W52" s="61">
        <f t="shared" si="9"/>
        <v>1040</v>
      </c>
      <c r="X52" s="62"/>
      <c r="Y52" s="63">
        <v>1.28</v>
      </c>
      <c r="Z52" s="229">
        <f t="shared" si="7"/>
        <v>1.7126897133220911</v>
      </c>
      <c r="AA52" s="350">
        <v>91</v>
      </c>
      <c r="AB52" s="181" t="s">
        <v>39</v>
      </c>
      <c r="AC52" s="60" t="s">
        <v>166</v>
      </c>
      <c r="AD52" s="172"/>
      <c r="AE52" s="64"/>
      <c r="AF52" s="60"/>
    </row>
    <row r="53" spans="1:32" s="21" customFormat="1" ht="43.5" customHeight="1">
      <c r="A53" s="52">
        <f t="shared" si="8"/>
        <v>51</v>
      </c>
      <c r="B53" s="53" t="s">
        <v>140</v>
      </c>
      <c r="C53" s="52">
        <v>1352</v>
      </c>
      <c r="D53" s="52">
        <v>1</v>
      </c>
      <c r="E53" s="52" t="s">
        <v>79</v>
      </c>
      <c r="F53" s="52" t="s">
        <v>471</v>
      </c>
      <c r="G53" s="52">
        <v>367</v>
      </c>
      <c r="H53" s="52" t="s">
        <v>77</v>
      </c>
      <c r="I53" s="52" t="s">
        <v>322</v>
      </c>
      <c r="J53" s="52" t="s">
        <v>294</v>
      </c>
      <c r="K53" s="52">
        <v>2</v>
      </c>
      <c r="L53" s="54" t="s">
        <v>76</v>
      </c>
      <c r="M53" s="60"/>
      <c r="N53" s="55">
        <v>100</v>
      </c>
      <c r="O53" s="55">
        <f t="shared" si="5"/>
        <v>200</v>
      </c>
      <c r="P53" s="56"/>
      <c r="Q53" s="59" t="s">
        <v>324</v>
      </c>
      <c r="R53" s="114">
        <v>45573</v>
      </c>
      <c r="S53" s="52" t="s">
        <v>323</v>
      </c>
      <c r="T53" s="59" t="s">
        <v>85</v>
      </c>
      <c r="U53" s="54"/>
      <c r="V53" s="99">
        <v>130</v>
      </c>
      <c r="W53" s="61">
        <f t="shared" si="9"/>
        <v>260</v>
      </c>
      <c r="X53" s="62"/>
      <c r="Y53" s="63"/>
      <c r="Z53" s="229" t="e">
        <f t="shared" si="7"/>
        <v>#DIV/0!</v>
      </c>
      <c r="AA53" s="350">
        <v>117</v>
      </c>
      <c r="AB53" s="181" t="s">
        <v>39</v>
      </c>
      <c r="AC53" s="146"/>
      <c r="AD53" s="175"/>
      <c r="AE53" s="166">
        <f>O53*900/($O$53+$O$60+$O$61+$O$62+$O$64+$O$72+$O$117)</f>
        <v>3.3406332355888795</v>
      </c>
      <c r="AF53" s="146" t="s">
        <v>669</v>
      </c>
    </row>
    <row r="54" spans="1:32" s="21" customFormat="1" ht="43.5" customHeight="1">
      <c r="A54" s="185">
        <f t="shared" si="8"/>
        <v>52</v>
      </c>
      <c r="B54" s="247" t="s">
        <v>140</v>
      </c>
      <c r="C54" s="185">
        <v>1245</v>
      </c>
      <c r="D54" s="185">
        <v>1</v>
      </c>
      <c r="E54" s="185" t="s">
        <v>79</v>
      </c>
      <c r="F54" s="185" t="s">
        <v>204</v>
      </c>
      <c r="G54" s="185">
        <v>367</v>
      </c>
      <c r="H54" s="185" t="s">
        <v>77</v>
      </c>
      <c r="I54" s="185" t="s">
        <v>325</v>
      </c>
      <c r="J54" s="185" t="s">
        <v>328</v>
      </c>
      <c r="K54" s="185">
        <v>168</v>
      </c>
      <c r="L54" s="186" t="s">
        <v>76</v>
      </c>
      <c r="M54" s="248"/>
      <c r="N54" s="187">
        <v>112.7</v>
      </c>
      <c r="O54" s="187">
        <f t="shared" si="5"/>
        <v>18933.600000000002</v>
      </c>
      <c r="P54" s="183"/>
      <c r="Q54" s="218" t="s">
        <v>326</v>
      </c>
      <c r="R54" s="250">
        <v>45573</v>
      </c>
      <c r="S54" s="185" t="s">
        <v>327</v>
      </c>
      <c r="T54" s="218" t="s">
        <v>85</v>
      </c>
      <c r="U54" s="186"/>
      <c r="V54" s="239">
        <v>180</v>
      </c>
      <c r="W54" s="228">
        <f t="shared" si="9"/>
        <v>30240</v>
      </c>
      <c r="X54" s="242"/>
      <c r="Y54" s="63"/>
      <c r="Z54" s="229" t="e">
        <f t="shared" si="7"/>
        <v>#DIV/0!</v>
      </c>
      <c r="AA54" s="248"/>
      <c r="AB54" s="196" t="s">
        <v>13</v>
      </c>
      <c r="AC54" s="252" t="s">
        <v>608</v>
      </c>
      <c r="AD54" s="252"/>
      <c r="AE54" s="251"/>
      <c r="AF54" s="252"/>
    </row>
    <row r="55" spans="1:32" s="21" customFormat="1" ht="43.5" customHeight="1">
      <c r="A55" s="52">
        <f t="shared" si="8"/>
        <v>53</v>
      </c>
      <c r="B55" s="53" t="s">
        <v>140</v>
      </c>
      <c r="C55" s="52">
        <v>1522</v>
      </c>
      <c r="D55" s="159" t="s">
        <v>638</v>
      </c>
      <c r="E55" s="52" t="s">
        <v>79</v>
      </c>
      <c r="F55" s="59" t="s">
        <v>589</v>
      </c>
      <c r="G55" s="52">
        <v>367</v>
      </c>
      <c r="H55" s="52" t="s">
        <v>77</v>
      </c>
      <c r="I55" s="52" t="s">
        <v>325</v>
      </c>
      <c r="J55" s="52" t="s">
        <v>328</v>
      </c>
      <c r="K55" s="52">
        <v>100</v>
      </c>
      <c r="L55" s="54" t="s">
        <v>76</v>
      </c>
      <c r="M55" s="60"/>
      <c r="N55" s="55">
        <v>218</v>
      </c>
      <c r="O55" s="55">
        <f t="shared" si="5"/>
        <v>21800</v>
      </c>
      <c r="P55" s="56"/>
      <c r="Q55" s="59" t="s">
        <v>639</v>
      </c>
      <c r="R55" s="114">
        <v>45573</v>
      </c>
      <c r="S55" s="52" t="s">
        <v>327</v>
      </c>
      <c r="T55" s="59" t="s">
        <v>654</v>
      </c>
      <c r="U55" s="54"/>
      <c r="V55" s="99">
        <v>320</v>
      </c>
      <c r="W55" s="61">
        <f t="shared" si="9"/>
        <v>32000</v>
      </c>
      <c r="X55" s="62"/>
      <c r="Y55" s="63"/>
      <c r="Z55" s="229" t="e">
        <f t="shared" si="7"/>
        <v>#DIV/0!</v>
      </c>
      <c r="AA55" s="350">
        <v>134</v>
      </c>
      <c r="AB55" s="181" t="s">
        <v>39</v>
      </c>
      <c r="AC55" s="148" t="s">
        <v>629</v>
      </c>
      <c r="AD55" s="172"/>
      <c r="AE55" s="64"/>
      <c r="AF55" s="148"/>
    </row>
    <row r="56" spans="1:32" s="21" customFormat="1" ht="43.5" customHeight="1">
      <c r="A56" s="185">
        <f t="shared" si="8"/>
        <v>54</v>
      </c>
      <c r="B56" s="247" t="s">
        <v>140</v>
      </c>
      <c r="C56" s="185">
        <v>1522</v>
      </c>
      <c r="D56" s="253" t="s">
        <v>638</v>
      </c>
      <c r="E56" s="185" t="s">
        <v>79</v>
      </c>
      <c r="F56" s="218" t="s">
        <v>589</v>
      </c>
      <c r="G56" s="185">
        <v>367</v>
      </c>
      <c r="H56" s="185" t="s">
        <v>77</v>
      </c>
      <c r="I56" s="185" t="s">
        <v>325</v>
      </c>
      <c r="J56" s="185" t="s">
        <v>328</v>
      </c>
      <c r="K56" s="185">
        <v>50</v>
      </c>
      <c r="L56" s="186" t="s">
        <v>76</v>
      </c>
      <c r="M56" s="248"/>
      <c r="N56" s="187">
        <v>225</v>
      </c>
      <c r="O56" s="187">
        <f t="shared" ref="O56" si="10">N56*K56</f>
        <v>11250</v>
      </c>
      <c r="P56" s="183"/>
      <c r="Q56" s="218" t="s">
        <v>639</v>
      </c>
      <c r="R56" s="250">
        <v>45573</v>
      </c>
      <c r="S56" s="185" t="s">
        <v>327</v>
      </c>
      <c r="T56" s="218" t="s">
        <v>654</v>
      </c>
      <c r="U56" s="186"/>
      <c r="V56" s="239">
        <v>320</v>
      </c>
      <c r="W56" s="228">
        <f t="shared" ref="W56" si="11">V56*K56</f>
        <v>16000</v>
      </c>
      <c r="X56" s="242"/>
      <c r="Y56" s="63"/>
      <c r="Z56" s="229" t="e">
        <f t="shared" ref="Z56" si="12">W56/O56/Y56</f>
        <v>#DIV/0!</v>
      </c>
      <c r="AA56" s="248"/>
      <c r="AB56" s="196" t="s">
        <v>13</v>
      </c>
      <c r="AC56" s="248" t="s">
        <v>629</v>
      </c>
      <c r="AD56" s="248"/>
      <c r="AE56" s="251"/>
      <c r="AF56" s="248"/>
    </row>
    <row r="57" spans="1:32" s="21" customFormat="1" ht="43.5" customHeight="1">
      <c r="A57" s="52">
        <f t="shared" si="8"/>
        <v>55</v>
      </c>
      <c r="B57" s="53" t="s">
        <v>387</v>
      </c>
      <c r="C57" s="52">
        <v>1246</v>
      </c>
      <c r="D57" s="52">
        <v>1</v>
      </c>
      <c r="E57" s="52" t="s">
        <v>79</v>
      </c>
      <c r="F57" s="52" t="s">
        <v>182</v>
      </c>
      <c r="G57" s="52">
        <v>367</v>
      </c>
      <c r="H57" s="52" t="s">
        <v>77</v>
      </c>
      <c r="I57" s="52" t="s">
        <v>331</v>
      </c>
      <c r="J57" s="52" t="s">
        <v>294</v>
      </c>
      <c r="K57" s="52">
        <v>4</v>
      </c>
      <c r="L57" s="54" t="s">
        <v>76</v>
      </c>
      <c r="M57" s="60"/>
      <c r="N57" s="55">
        <v>270.64</v>
      </c>
      <c r="O57" s="55">
        <f t="shared" si="5"/>
        <v>1082.56</v>
      </c>
      <c r="P57" s="56"/>
      <c r="Q57" s="59" t="s">
        <v>329</v>
      </c>
      <c r="R57" s="114">
        <v>45573</v>
      </c>
      <c r="S57" s="52" t="s">
        <v>330</v>
      </c>
      <c r="T57" s="59" t="s">
        <v>85</v>
      </c>
      <c r="U57" s="54"/>
      <c r="V57" s="99">
        <v>520</v>
      </c>
      <c r="W57" s="61">
        <f t="shared" si="9"/>
        <v>2080</v>
      </c>
      <c r="X57" s="62"/>
      <c r="Y57" s="63"/>
      <c r="Z57" s="229" t="e">
        <f t="shared" si="7"/>
        <v>#DIV/0!</v>
      </c>
      <c r="AA57" s="350">
        <v>97</v>
      </c>
      <c r="AB57" s="181" t="s">
        <v>39</v>
      </c>
      <c r="AC57" s="60" t="s">
        <v>166</v>
      </c>
      <c r="AD57" s="172"/>
      <c r="AE57" s="64"/>
      <c r="AF57" s="60"/>
    </row>
    <row r="58" spans="1:32" s="21" customFormat="1" ht="43.5" customHeight="1">
      <c r="A58" s="52">
        <f t="shared" si="8"/>
        <v>56</v>
      </c>
      <c r="B58" s="53" t="s">
        <v>387</v>
      </c>
      <c r="C58" s="52">
        <v>1247</v>
      </c>
      <c r="D58" s="52">
        <v>2</v>
      </c>
      <c r="E58" s="52" t="s">
        <v>79</v>
      </c>
      <c r="F58" s="52" t="s">
        <v>182</v>
      </c>
      <c r="G58" s="52">
        <v>367</v>
      </c>
      <c r="H58" s="52" t="s">
        <v>77</v>
      </c>
      <c r="I58" s="52" t="s">
        <v>226</v>
      </c>
      <c r="J58" s="52" t="s">
        <v>162</v>
      </c>
      <c r="K58" s="52">
        <v>30</v>
      </c>
      <c r="L58" s="54" t="s">
        <v>76</v>
      </c>
      <c r="M58" s="60"/>
      <c r="N58" s="55">
        <v>1.05</v>
      </c>
      <c r="O58" s="55">
        <f t="shared" si="5"/>
        <v>31.5</v>
      </c>
      <c r="P58" s="56"/>
      <c r="Q58" s="59" t="s">
        <v>329</v>
      </c>
      <c r="R58" s="114">
        <v>45573</v>
      </c>
      <c r="S58" s="52" t="s">
        <v>330</v>
      </c>
      <c r="T58" s="59" t="s">
        <v>85</v>
      </c>
      <c r="U58" s="54"/>
      <c r="V58" s="99">
        <v>15</v>
      </c>
      <c r="W58" s="61">
        <f t="shared" si="9"/>
        <v>450</v>
      </c>
      <c r="X58" s="62"/>
      <c r="Y58" s="63"/>
      <c r="Z58" s="229" t="e">
        <f t="shared" si="7"/>
        <v>#DIV/0!</v>
      </c>
      <c r="AA58" s="350">
        <v>97</v>
      </c>
      <c r="AB58" s="181" t="s">
        <v>39</v>
      </c>
      <c r="AC58" s="60"/>
      <c r="AD58" s="172"/>
      <c r="AE58" s="64"/>
      <c r="AF58" s="60"/>
    </row>
    <row r="59" spans="1:32" s="21" customFormat="1" ht="43.5" customHeight="1">
      <c r="A59" s="52">
        <f t="shared" si="8"/>
        <v>57</v>
      </c>
      <c r="B59" s="53" t="s">
        <v>140</v>
      </c>
      <c r="C59" s="52">
        <v>1248</v>
      </c>
      <c r="D59" s="52">
        <v>1</v>
      </c>
      <c r="E59" s="52" t="s">
        <v>79</v>
      </c>
      <c r="F59" s="52" t="s">
        <v>204</v>
      </c>
      <c r="G59" s="52">
        <v>367</v>
      </c>
      <c r="H59" s="52" t="s">
        <v>77</v>
      </c>
      <c r="I59" s="52" t="s">
        <v>336</v>
      </c>
      <c r="J59" s="52" t="s">
        <v>337</v>
      </c>
      <c r="K59" s="52">
        <v>128</v>
      </c>
      <c r="L59" s="54" t="s">
        <v>76</v>
      </c>
      <c r="M59" s="60"/>
      <c r="N59" s="55">
        <v>53.4</v>
      </c>
      <c r="O59" s="55">
        <f t="shared" si="5"/>
        <v>6835.2</v>
      </c>
      <c r="P59" s="56"/>
      <c r="Q59" s="59" t="s">
        <v>338</v>
      </c>
      <c r="R59" s="114">
        <v>45573</v>
      </c>
      <c r="S59" s="52" t="s">
        <v>343</v>
      </c>
      <c r="T59" s="59" t="s">
        <v>85</v>
      </c>
      <c r="U59" s="54"/>
      <c r="V59" s="99">
        <v>85</v>
      </c>
      <c r="W59" s="61">
        <f t="shared" si="9"/>
        <v>10880</v>
      </c>
      <c r="X59" s="62"/>
      <c r="Y59" s="63"/>
      <c r="Z59" s="229" t="e">
        <f t="shared" si="7"/>
        <v>#DIV/0!</v>
      </c>
      <c r="AA59" s="350">
        <v>97</v>
      </c>
      <c r="AB59" s="181" t="s">
        <v>39</v>
      </c>
      <c r="AC59" s="60" t="s">
        <v>467</v>
      </c>
      <c r="AD59" s="172"/>
      <c r="AE59" s="64"/>
      <c r="AF59" s="60"/>
    </row>
    <row r="60" spans="1:32" s="21" customFormat="1" ht="43.5" customHeight="1">
      <c r="A60" s="52">
        <f t="shared" si="8"/>
        <v>58</v>
      </c>
      <c r="B60" s="53" t="s">
        <v>385</v>
      </c>
      <c r="C60" s="52">
        <v>1249</v>
      </c>
      <c r="D60" s="52">
        <v>2</v>
      </c>
      <c r="E60" s="52" t="s">
        <v>79</v>
      </c>
      <c r="F60" s="52" t="s">
        <v>471</v>
      </c>
      <c r="G60" s="52">
        <v>367</v>
      </c>
      <c r="H60" s="52" t="s">
        <v>77</v>
      </c>
      <c r="I60" s="52" t="s">
        <v>339</v>
      </c>
      <c r="J60" s="52" t="s">
        <v>340</v>
      </c>
      <c r="K60" s="52">
        <v>60</v>
      </c>
      <c r="L60" s="54" t="s">
        <v>76</v>
      </c>
      <c r="M60" s="60"/>
      <c r="N60" s="55">
        <v>14</v>
      </c>
      <c r="O60" s="55">
        <f t="shared" si="5"/>
        <v>840</v>
      </c>
      <c r="P60" s="117">
        <v>2.58</v>
      </c>
      <c r="Q60" s="59" t="s">
        <v>338</v>
      </c>
      <c r="R60" s="114">
        <v>45573</v>
      </c>
      <c r="S60" s="52" t="s">
        <v>343</v>
      </c>
      <c r="T60" s="59" t="s">
        <v>85</v>
      </c>
      <c r="U60" s="54"/>
      <c r="V60" s="99">
        <v>23</v>
      </c>
      <c r="W60" s="61">
        <f t="shared" si="9"/>
        <v>1380</v>
      </c>
      <c r="X60" s="62"/>
      <c r="Y60" s="63"/>
      <c r="Z60" s="229" t="e">
        <f t="shared" si="7"/>
        <v>#DIV/0!</v>
      </c>
      <c r="AA60" s="350">
        <v>117</v>
      </c>
      <c r="AB60" s="181" t="s">
        <v>39</v>
      </c>
      <c r="AC60" s="146" t="s">
        <v>166</v>
      </c>
      <c r="AD60" s="175"/>
      <c r="AE60" s="166">
        <f>O60*900/($O$53+$O$60+$O$61+$O$62+$O$64+$O$72+$O$117)</f>
        <v>14.030659589473293</v>
      </c>
      <c r="AF60" s="146" t="s">
        <v>669</v>
      </c>
    </row>
    <row r="61" spans="1:32" s="21" customFormat="1" ht="43.5" customHeight="1">
      <c r="A61" s="52">
        <f t="shared" si="8"/>
        <v>59</v>
      </c>
      <c r="B61" s="53" t="s">
        <v>385</v>
      </c>
      <c r="C61" s="52">
        <v>1250</v>
      </c>
      <c r="D61" s="52">
        <v>3</v>
      </c>
      <c r="E61" s="52" t="s">
        <v>79</v>
      </c>
      <c r="F61" s="52" t="s">
        <v>471</v>
      </c>
      <c r="G61" s="52">
        <v>367</v>
      </c>
      <c r="H61" s="52" t="s">
        <v>77</v>
      </c>
      <c r="I61" s="52" t="s">
        <v>83</v>
      </c>
      <c r="J61" s="52" t="s">
        <v>84</v>
      </c>
      <c r="K61" s="52">
        <v>63</v>
      </c>
      <c r="L61" s="54" t="s">
        <v>76</v>
      </c>
      <c r="M61" s="60"/>
      <c r="N61" s="55">
        <v>20.5</v>
      </c>
      <c r="O61" s="55">
        <f t="shared" si="5"/>
        <v>1291.5</v>
      </c>
      <c r="P61" s="117">
        <v>9.4499999999999993</v>
      </c>
      <c r="Q61" s="59" t="s">
        <v>338</v>
      </c>
      <c r="R61" s="114">
        <v>45573</v>
      </c>
      <c r="S61" s="52" t="s">
        <v>343</v>
      </c>
      <c r="T61" s="59" t="s">
        <v>85</v>
      </c>
      <c r="U61" s="54"/>
      <c r="V61" s="99">
        <v>30</v>
      </c>
      <c r="W61" s="61">
        <f t="shared" si="9"/>
        <v>1890</v>
      </c>
      <c r="X61" s="62"/>
      <c r="Y61" s="63"/>
      <c r="Z61" s="229" t="e">
        <f t="shared" si="7"/>
        <v>#DIV/0!</v>
      </c>
      <c r="AA61" s="350">
        <v>117</v>
      </c>
      <c r="AB61" s="181" t="s">
        <v>39</v>
      </c>
      <c r="AC61" s="146" t="s">
        <v>166</v>
      </c>
      <c r="AD61" s="175"/>
      <c r="AE61" s="166">
        <f>O61*900/($O$53+$O$60+$O$61+$O$62+$O$64+$O$72+$O$117)</f>
        <v>21.572139118815187</v>
      </c>
      <c r="AF61" s="146" t="s">
        <v>669</v>
      </c>
    </row>
    <row r="62" spans="1:32" s="21" customFormat="1" ht="43.5" customHeight="1">
      <c r="A62" s="52">
        <f t="shared" si="8"/>
        <v>60</v>
      </c>
      <c r="B62" s="53" t="s">
        <v>385</v>
      </c>
      <c r="C62" s="52">
        <v>1251</v>
      </c>
      <c r="D62" s="52">
        <v>4</v>
      </c>
      <c r="E62" s="52" t="s">
        <v>79</v>
      </c>
      <c r="F62" s="52" t="s">
        <v>471</v>
      </c>
      <c r="G62" s="52">
        <v>367</v>
      </c>
      <c r="H62" s="52" t="s">
        <v>77</v>
      </c>
      <c r="I62" s="52" t="s">
        <v>341</v>
      </c>
      <c r="J62" s="52" t="s">
        <v>84</v>
      </c>
      <c r="K62" s="52">
        <v>63</v>
      </c>
      <c r="L62" s="54" t="s">
        <v>76</v>
      </c>
      <c r="M62" s="60"/>
      <c r="N62" s="55">
        <v>41.5</v>
      </c>
      <c r="O62" s="55">
        <f t="shared" si="5"/>
        <v>2614.5</v>
      </c>
      <c r="P62" s="117">
        <v>28.35</v>
      </c>
      <c r="Q62" s="59" t="s">
        <v>338</v>
      </c>
      <c r="R62" s="114">
        <v>45573</v>
      </c>
      <c r="S62" s="52" t="s">
        <v>343</v>
      </c>
      <c r="T62" s="59" t="s">
        <v>85</v>
      </c>
      <c r="U62" s="54"/>
      <c r="V62" s="99">
        <v>60</v>
      </c>
      <c r="W62" s="61">
        <f t="shared" si="9"/>
        <v>3780</v>
      </c>
      <c r="X62" s="62"/>
      <c r="Y62" s="63"/>
      <c r="Z62" s="229" t="e">
        <f t="shared" si="7"/>
        <v>#DIV/0!</v>
      </c>
      <c r="AA62" s="350">
        <v>117</v>
      </c>
      <c r="AB62" s="181" t="s">
        <v>39</v>
      </c>
      <c r="AC62" s="146" t="s">
        <v>166</v>
      </c>
      <c r="AD62" s="175"/>
      <c r="AE62" s="166">
        <f>O62*900/($O$53+$O$60+$O$61+$O$62+$O$64+$O$72+$O$117)</f>
        <v>43.670427972235629</v>
      </c>
      <c r="AF62" s="146" t="s">
        <v>669</v>
      </c>
    </row>
    <row r="63" spans="1:32" s="21" customFormat="1" ht="43.5" customHeight="1">
      <c r="A63" s="52">
        <f t="shared" si="8"/>
        <v>61</v>
      </c>
      <c r="B63" s="53" t="s">
        <v>140</v>
      </c>
      <c r="C63" s="52">
        <v>1252</v>
      </c>
      <c r="D63" s="52">
        <v>5</v>
      </c>
      <c r="E63" s="52" t="s">
        <v>79</v>
      </c>
      <c r="F63" s="118" t="s">
        <v>466</v>
      </c>
      <c r="G63" s="52">
        <v>367</v>
      </c>
      <c r="H63" s="52" t="s">
        <v>77</v>
      </c>
      <c r="I63" s="52" t="s">
        <v>465</v>
      </c>
      <c r="J63" s="52" t="s">
        <v>342</v>
      </c>
      <c r="K63" s="52">
        <v>63</v>
      </c>
      <c r="L63" s="54" t="s">
        <v>76</v>
      </c>
      <c r="M63" s="60"/>
      <c r="N63" s="55">
        <v>64.099999999999994</v>
      </c>
      <c r="O63" s="55">
        <f t="shared" si="5"/>
        <v>4038.2999999999997</v>
      </c>
      <c r="P63" s="56"/>
      <c r="Q63" s="59" t="s">
        <v>338</v>
      </c>
      <c r="R63" s="114">
        <v>45573</v>
      </c>
      <c r="S63" s="52" t="s">
        <v>343</v>
      </c>
      <c r="T63" s="52" t="s">
        <v>85</v>
      </c>
      <c r="U63" s="54"/>
      <c r="V63" s="99">
        <v>110</v>
      </c>
      <c r="W63" s="61">
        <f t="shared" si="9"/>
        <v>6930</v>
      </c>
      <c r="X63" s="62"/>
      <c r="Y63" s="63"/>
      <c r="Z63" s="229" t="e">
        <f t="shared" si="7"/>
        <v>#DIV/0!</v>
      </c>
      <c r="AA63" s="350">
        <v>97</v>
      </c>
      <c r="AB63" s="181" t="s">
        <v>39</v>
      </c>
      <c r="AC63" s="60" t="s">
        <v>166</v>
      </c>
      <c r="AD63" s="172"/>
      <c r="AE63" s="64"/>
      <c r="AF63" s="60"/>
    </row>
    <row r="64" spans="1:32" s="21" customFormat="1" ht="43.5" customHeight="1">
      <c r="A64" s="52">
        <f t="shared" si="8"/>
        <v>62</v>
      </c>
      <c r="B64" s="53" t="s">
        <v>385</v>
      </c>
      <c r="C64" s="52">
        <v>1253</v>
      </c>
      <c r="D64" s="52">
        <v>1</v>
      </c>
      <c r="E64" s="52" t="s">
        <v>79</v>
      </c>
      <c r="F64" s="52" t="s">
        <v>471</v>
      </c>
      <c r="G64" s="52">
        <v>367</v>
      </c>
      <c r="H64" s="52" t="s">
        <v>77</v>
      </c>
      <c r="I64" s="52" t="s">
        <v>344</v>
      </c>
      <c r="J64" s="52" t="s">
        <v>133</v>
      </c>
      <c r="K64" s="52">
        <v>88</v>
      </c>
      <c r="L64" s="54" t="s">
        <v>76</v>
      </c>
      <c r="M64" s="60"/>
      <c r="N64" s="55">
        <v>47</v>
      </c>
      <c r="O64" s="55">
        <f t="shared" si="5"/>
        <v>4136</v>
      </c>
      <c r="P64" s="117">
        <v>33.6</v>
      </c>
      <c r="Q64" s="59" t="s">
        <v>345</v>
      </c>
      <c r="R64" s="114">
        <v>45573</v>
      </c>
      <c r="S64" s="52" t="s">
        <v>346</v>
      </c>
      <c r="T64" s="59" t="s">
        <v>85</v>
      </c>
      <c r="U64" s="54"/>
      <c r="V64" s="99">
        <v>65</v>
      </c>
      <c r="W64" s="61">
        <f t="shared" si="9"/>
        <v>5720</v>
      </c>
      <c r="X64" s="62"/>
      <c r="Y64" s="63"/>
      <c r="Z64" s="229" t="e">
        <f t="shared" si="7"/>
        <v>#DIV/0!</v>
      </c>
      <c r="AA64" s="350">
        <v>117</v>
      </c>
      <c r="AB64" s="181" t="s">
        <v>39</v>
      </c>
      <c r="AC64" s="60" t="s">
        <v>166</v>
      </c>
      <c r="AD64" s="172"/>
      <c r="AE64" s="166">
        <f>O64*900/($O$53+$O$60+$O$61+$O$62+$O$64+$O$72+$O$117)</f>
        <v>69.084295311978025</v>
      </c>
      <c r="AF64" s="60" t="s">
        <v>669</v>
      </c>
    </row>
    <row r="65" spans="1:32" s="21" customFormat="1" ht="43.5" customHeight="1">
      <c r="A65" s="52">
        <f t="shared" si="8"/>
        <v>63</v>
      </c>
      <c r="B65" s="53" t="s">
        <v>143</v>
      </c>
      <c r="C65" s="52">
        <v>1254</v>
      </c>
      <c r="D65" s="52">
        <v>2</v>
      </c>
      <c r="E65" s="52" t="s">
        <v>79</v>
      </c>
      <c r="F65" s="52" t="s">
        <v>368</v>
      </c>
      <c r="G65" s="59">
        <v>367</v>
      </c>
      <c r="H65" s="59" t="s">
        <v>77</v>
      </c>
      <c r="I65" s="52" t="s">
        <v>255</v>
      </c>
      <c r="J65" s="59" t="s">
        <v>256</v>
      </c>
      <c r="K65" s="59">
        <v>96</v>
      </c>
      <c r="L65" s="54" t="s">
        <v>76</v>
      </c>
      <c r="M65" s="60"/>
      <c r="N65" s="55">
        <v>65.25</v>
      </c>
      <c r="O65" s="55">
        <f t="shared" si="5"/>
        <v>6264</v>
      </c>
      <c r="P65" s="56"/>
      <c r="Q65" s="59" t="s">
        <v>345</v>
      </c>
      <c r="R65" s="114">
        <v>45573</v>
      </c>
      <c r="S65" s="52" t="s">
        <v>346</v>
      </c>
      <c r="T65" s="59" t="s">
        <v>85</v>
      </c>
      <c r="U65" s="54"/>
      <c r="V65" s="99">
        <v>110</v>
      </c>
      <c r="W65" s="61">
        <f t="shared" si="9"/>
        <v>10560</v>
      </c>
      <c r="X65" s="62"/>
      <c r="Y65" s="63"/>
      <c r="Z65" s="229" t="e">
        <f t="shared" si="7"/>
        <v>#DIV/0!</v>
      </c>
      <c r="AA65" s="350">
        <v>97</v>
      </c>
      <c r="AB65" s="181" t="s">
        <v>39</v>
      </c>
      <c r="AC65" s="60" t="s">
        <v>166</v>
      </c>
      <c r="AD65" s="172"/>
      <c r="AE65" s="64"/>
      <c r="AF65" s="60"/>
    </row>
    <row r="66" spans="1:32" s="21" customFormat="1" ht="43.5" customHeight="1">
      <c r="A66" s="52">
        <f t="shared" si="8"/>
        <v>64</v>
      </c>
      <c r="B66" s="53" t="s">
        <v>387</v>
      </c>
      <c r="C66" s="52">
        <v>1255</v>
      </c>
      <c r="D66" s="52">
        <v>1</v>
      </c>
      <c r="E66" s="52" t="s">
        <v>79</v>
      </c>
      <c r="F66" s="52" t="s">
        <v>138</v>
      </c>
      <c r="G66" s="52">
        <v>367</v>
      </c>
      <c r="H66" s="52" t="s">
        <v>77</v>
      </c>
      <c r="I66" s="52">
        <v>7588429</v>
      </c>
      <c r="J66" s="52" t="s">
        <v>347</v>
      </c>
      <c r="K66" s="52">
        <v>50</v>
      </c>
      <c r="L66" s="54" t="s">
        <v>76</v>
      </c>
      <c r="M66" s="60"/>
      <c r="N66" s="55">
        <v>40.74</v>
      </c>
      <c r="O66" s="55">
        <f t="shared" si="5"/>
        <v>2037</v>
      </c>
      <c r="P66" s="56"/>
      <c r="Q66" s="59" t="s">
        <v>348</v>
      </c>
      <c r="R66" s="114">
        <v>45573</v>
      </c>
      <c r="S66" s="52" t="s">
        <v>349</v>
      </c>
      <c r="T66" s="59" t="s">
        <v>81</v>
      </c>
      <c r="U66" s="54"/>
      <c r="V66" s="99">
        <v>75</v>
      </c>
      <c r="W66" s="61">
        <f t="shared" si="9"/>
        <v>3750</v>
      </c>
      <c r="X66" s="62"/>
      <c r="Y66" s="63"/>
      <c r="Z66" s="229" t="e">
        <f t="shared" si="7"/>
        <v>#DIV/0!</v>
      </c>
      <c r="AA66" s="350">
        <v>97</v>
      </c>
      <c r="AB66" s="181" t="s">
        <v>39</v>
      </c>
      <c r="AC66" s="60"/>
      <c r="AD66" s="172"/>
      <c r="AE66" s="64"/>
      <c r="AF66" s="60"/>
    </row>
    <row r="67" spans="1:32" s="21" customFormat="1" ht="43.5" customHeight="1">
      <c r="A67" s="52">
        <f t="shared" si="8"/>
        <v>65</v>
      </c>
      <c r="B67" s="53" t="s">
        <v>387</v>
      </c>
      <c r="C67" s="52">
        <v>1256</v>
      </c>
      <c r="D67" s="52">
        <v>1</v>
      </c>
      <c r="E67" s="52" t="s">
        <v>79</v>
      </c>
      <c r="F67" s="52" t="s">
        <v>182</v>
      </c>
      <c r="G67" s="52">
        <v>367</v>
      </c>
      <c r="H67" s="52" t="s">
        <v>77</v>
      </c>
      <c r="I67" s="52" t="s">
        <v>350</v>
      </c>
      <c r="J67" s="52" t="s">
        <v>162</v>
      </c>
      <c r="K67" s="52">
        <v>4</v>
      </c>
      <c r="L67" s="54" t="s">
        <v>76</v>
      </c>
      <c r="M67" s="60"/>
      <c r="N67" s="55">
        <v>56.96</v>
      </c>
      <c r="O67" s="55">
        <f t="shared" ref="O67:O88" si="13">N67*K67</f>
        <v>227.84</v>
      </c>
      <c r="P67" s="56"/>
      <c r="Q67" s="59" t="s">
        <v>351</v>
      </c>
      <c r="R67" s="58">
        <v>45573</v>
      </c>
      <c r="S67" s="52" t="s">
        <v>352</v>
      </c>
      <c r="T67" s="59" t="s">
        <v>85</v>
      </c>
      <c r="U67" s="54"/>
      <c r="V67" s="99">
        <v>150</v>
      </c>
      <c r="W67" s="61">
        <f t="shared" si="9"/>
        <v>600</v>
      </c>
      <c r="X67" s="62"/>
      <c r="Y67" s="63"/>
      <c r="Z67" s="229" t="e">
        <f t="shared" si="7"/>
        <v>#DIV/0!</v>
      </c>
      <c r="AA67" s="350">
        <v>97</v>
      </c>
      <c r="AB67" s="181" t="s">
        <v>39</v>
      </c>
      <c r="AC67" s="60" t="s">
        <v>166</v>
      </c>
      <c r="AD67" s="172"/>
      <c r="AE67" s="64"/>
      <c r="AF67" s="60"/>
    </row>
    <row r="68" spans="1:32" s="21" customFormat="1" ht="43.5" customHeight="1">
      <c r="A68" s="52">
        <f t="shared" si="8"/>
        <v>66</v>
      </c>
      <c r="B68" s="53" t="s">
        <v>387</v>
      </c>
      <c r="C68" s="52">
        <v>1257</v>
      </c>
      <c r="D68" s="52">
        <v>1</v>
      </c>
      <c r="E68" s="52" t="s">
        <v>79</v>
      </c>
      <c r="F68" s="52" t="s">
        <v>112</v>
      </c>
      <c r="G68" s="59">
        <v>367</v>
      </c>
      <c r="H68" s="59" t="s">
        <v>77</v>
      </c>
      <c r="I68" s="52" t="s">
        <v>353</v>
      </c>
      <c r="J68" s="59" t="s">
        <v>197</v>
      </c>
      <c r="K68" s="59">
        <v>5</v>
      </c>
      <c r="L68" s="54" t="s">
        <v>91</v>
      </c>
      <c r="M68" s="53" t="s">
        <v>492</v>
      </c>
      <c r="N68" s="103">
        <v>127.5</v>
      </c>
      <c r="O68" s="55">
        <f t="shared" si="13"/>
        <v>637.5</v>
      </c>
      <c r="P68" s="56"/>
      <c r="Q68" s="59" t="s">
        <v>354</v>
      </c>
      <c r="R68" s="58">
        <v>45577</v>
      </c>
      <c r="S68" s="52" t="s">
        <v>355</v>
      </c>
      <c r="T68" s="59" t="s">
        <v>85</v>
      </c>
      <c r="U68" s="54"/>
      <c r="V68" s="99">
        <v>360</v>
      </c>
      <c r="W68" s="61">
        <f t="shared" si="9"/>
        <v>1800</v>
      </c>
      <c r="X68" s="62"/>
      <c r="Y68" s="63"/>
      <c r="Z68" s="229" t="e">
        <f t="shared" ref="Z68:Z88" si="14">W68/O68/Y68</f>
        <v>#DIV/0!</v>
      </c>
      <c r="AA68" s="350"/>
      <c r="AB68" s="181" t="s">
        <v>39</v>
      </c>
      <c r="AC68" s="52" t="s">
        <v>502</v>
      </c>
      <c r="AD68" s="176"/>
      <c r="AE68" s="64"/>
      <c r="AF68" s="52"/>
    </row>
    <row r="69" spans="1:32" s="21" customFormat="1" ht="43.5" customHeight="1">
      <c r="A69" s="52">
        <f t="shared" ref="A69:A88" si="15">A68+1</f>
        <v>67</v>
      </c>
      <c r="B69" s="53" t="s">
        <v>628</v>
      </c>
      <c r="C69" s="52">
        <v>1258</v>
      </c>
      <c r="D69" s="52">
        <v>1</v>
      </c>
      <c r="E69" s="52" t="s">
        <v>79</v>
      </c>
      <c r="F69" s="52" t="s">
        <v>684</v>
      </c>
      <c r="G69" s="59">
        <v>367</v>
      </c>
      <c r="H69" s="59" t="s">
        <v>77</v>
      </c>
      <c r="I69" s="52" t="s">
        <v>356</v>
      </c>
      <c r="J69" s="59" t="s">
        <v>246</v>
      </c>
      <c r="K69" s="59">
        <v>90</v>
      </c>
      <c r="L69" s="54" t="s">
        <v>76</v>
      </c>
      <c r="M69" s="60"/>
      <c r="N69" s="55">
        <v>136.41</v>
      </c>
      <c r="O69" s="55">
        <f t="shared" si="13"/>
        <v>12276.9</v>
      </c>
      <c r="P69" s="56"/>
      <c r="Q69" s="59" t="s">
        <v>359</v>
      </c>
      <c r="R69" s="58">
        <v>45577</v>
      </c>
      <c r="S69" s="52" t="s">
        <v>360</v>
      </c>
      <c r="T69" s="59" t="s">
        <v>85</v>
      </c>
      <c r="U69" s="54"/>
      <c r="V69" s="99">
        <v>200</v>
      </c>
      <c r="W69" s="61">
        <f t="shared" si="9"/>
        <v>18000</v>
      </c>
      <c r="X69" s="62"/>
      <c r="Y69" s="63"/>
      <c r="Z69" s="229" t="e">
        <f t="shared" si="14"/>
        <v>#DIV/0!</v>
      </c>
      <c r="AA69" s="350">
        <v>126</v>
      </c>
      <c r="AB69" s="181" t="s">
        <v>39</v>
      </c>
      <c r="AC69" s="53" t="s">
        <v>591</v>
      </c>
      <c r="AD69" s="174"/>
      <c r="AE69" s="64"/>
      <c r="AF69" s="53"/>
    </row>
    <row r="70" spans="1:32" s="21" customFormat="1" ht="43.5" customHeight="1">
      <c r="A70" s="52">
        <f t="shared" si="15"/>
        <v>68</v>
      </c>
      <c r="B70" s="53" t="s">
        <v>387</v>
      </c>
      <c r="C70" s="52">
        <v>1259</v>
      </c>
      <c r="D70" s="52">
        <v>2</v>
      </c>
      <c r="E70" s="52" t="s">
        <v>79</v>
      </c>
      <c r="F70" s="52" t="s">
        <v>369</v>
      </c>
      <c r="G70" s="52">
        <v>367</v>
      </c>
      <c r="H70" s="52" t="s">
        <v>77</v>
      </c>
      <c r="I70" s="52" t="s">
        <v>357</v>
      </c>
      <c r="J70" s="52" t="s">
        <v>294</v>
      </c>
      <c r="K70" s="52">
        <v>5</v>
      </c>
      <c r="L70" s="54" t="s">
        <v>76</v>
      </c>
      <c r="M70" s="60"/>
      <c r="N70" s="55">
        <v>27.1</v>
      </c>
      <c r="O70" s="55">
        <f t="shared" si="13"/>
        <v>135.5</v>
      </c>
      <c r="P70" s="56"/>
      <c r="Q70" s="59" t="s">
        <v>359</v>
      </c>
      <c r="R70" s="58">
        <v>45577</v>
      </c>
      <c r="S70" s="52" t="s">
        <v>360</v>
      </c>
      <c r="T70" s="59" t="s">
        <v>85</v>
      </c>
      <c r="U70" s="54"/>
      <c r="V70" s="99">
        <v>104</v>
      </c>
      <c r="W70" s="61">
        <f t="shared" si="9"/>
        <v>520</v>
      </c>
      <c r="X70" s="62"/>
      <c r="Y70" s="63">
        <v>1.28</v>
      </c>
      <c r="Z70" s="229">
        <f t="shared" si="14"/>
        <v>2.9981549815498156</v>
      </c>
      <c r="AA70" s="350">
        <v>91</v>
      </c>
      <c r="AB70" s="181" t="s">
        <v>39</v>
      </c>
      <c r="AC70" s="60" t="s">
        <v>166</v>
      </c>
      <c r="AD70" s="172"/>
      <c r="AE70" s="64"/>
      <c r="AF70" s="60"/>
    </row>
    <row r="71" spans="1:32" s="21" customFormat="1" ht="43.5" customHeight="1">
      <c r="A71" s="52">
        <f t="shared" si="15"/>
        <v>69</v>
      </c>
      <c r="B71" s="53" t="s">
        <v>387</v>
      </c>
      <c r="C71" s="52">
        <v>1260</v>
      </c>
      <c r="D71" s="52">
        <v>3</v>
      </c>
      <c r="E71" s="52" t="s">
        <v>79</v>
      </c>
      <c r="F71" s="52" t="s">
        <v>369</v>
      </c>
      <c r="G71" s="52">
        <v>367</v>
      </c>
      <c r="H71" s="52" t="s">
        <v>77</v>
      </c>
      <c r="I71" s="52" t="s">
        <v>207</v>
      </c>
      <c r="J71" s="52" t="s">
        <v>358</v>
      </c>
      <c r="K71" s="52">
        <v>1</v>
      </c>
      <c r="L71" s="54" t="s">
        <v>76</v>
      </c>
      <c r="M71" s="60"/>
      <c r="N71" s="55">
        <v>485</v>
      </c>
      <c r="O71" s="55">
        <f t="shared" si="13"/>
        <v>485</v>
      </c>
      <c r="P71" s="56"/>
      <c r="Q71" s="59" t="s">
        <v>359</v>
      </c>
      <c r="R71" s="58">
        <v>45577</v>
      </c>
      <c r="S71" s="52" t="s">
        <v>360</v>
      </c>
      <c r="T71" s="59" t="s">
        <v>85</v>
      </c>
      <c r="U71" s="54"/>
      <c r="V71" s="99">
        <v>900</v>
      </c>
      <c r="W71" s="61">
        <f t="shared" si="9"/>
        <v>900</v>
      </c>
      <c r="X71" s="62"/>
      <c r="Y71" s="63">
        <v>1.28</v>
      </c>
      <c r="Z71" s="229">
        <f t="shared" si="14"/>
        <v>1.4497422680412371</v>
      </c>
      <c r="AA71" s="350">
        <v>91</v>
      </c>
      <c r="AB71" s="181" t="s">
        <v>39</v>
      </c>
      <c r="AC71" s="60" t="s">
        <v>166</v>
      </c>
      <c r="AD71" s="172"/>
      <c r="AE71" s="64"/>
      <c r="AF71" s="60"/>
    </row>
    <row r="72" spans="1:32" s="21" customFormat="1" ht="43.5" customHeight="1">
      <c r="A72" s="52">
        <f t="shared" si="15"/>
        <v>70</v>
      </c>
      <c r="B72" s="53" t="s">
        <v>140</v>
      </c>
      <c r="C72" s="52">
        <v>1353</v>
      </c>
      <c r="D72" s="52">
        <v>3</v>
      </c>
      <c r="E72" s="52" t="s">
        <v>79</v>
      </c>
      <c r="F72" s="52" t="s">
        <v>471</v>
      </c>
      <c r="G72" s="52">
        <v>367</v>
      </c>
      <c r="H72" s="52" t="s">
        <v>77</v>
      </c>
      <c r="I72" s="52" t="s">
        <v>207</v>
      </c>
      <c r="J72" s="52" t="s">
        <v>358</v>
      </c>
      <c r="K72" s="52">
        <v>1</v>
      </c>
      <c r="L72" s="54" t="s">
        <v>76</v>
      </c>
      <c r="M72" s="60"/>
      <c r="N72" s="55">
        <v>800</v>
      </c>
      <c r="O72" s="55">
        <f t="shared" si="13"/>
        <v>800</v>
      </c>
      <c r="P72" s="56"/>
      <c r="Q72" s="59" t="s">
        <v>359</v>
      </c>
      <c r="R72" s="58">
        <v>45577</v>
      </c>
      <c r="S72" s="52" t="s">
        <v>360</v>
      </c>
      <c r="T72" s="59" t="s">
        <v>85</v>
      </c>
      <c r="U72" s="54"/>
      <c r="V72" s="99">
        <v>900</v>
      </c>
      <c r="W72" s="61">
        <f t="shared" si="9"/>
        <v>900</v>
      </c>
      <c r="X72" s="62"/>
      <c r="Y72" s="63"/>
      <c r="Z72" s="229" t="e">
        <f t="shared" si="14"/>
        <v>#DIV/0!</v>
      </c>
      <c r="AA72" s="350">
        <v>117</v>
      </c>
      <c r="AB72" s="181" t="s">
        <v>39</v>
      </c>
      <c r="AC72" s="146" t="s">
        <v>166</v>
      </c>
      <c r="AD72" s="175"/>
      <c r="AE72" s="166">
        <f>O72*900/($O$53+$O$60+$O$61+$O$62+$O$64+$O$72+$O$117)</f>
        <v>13.362532942355518</v>
      </c>
      <c r="AF72" s="146" t="s">
        <v>669</v>
      </c>
    </row>
    <row r="73" spans="1:32" s="21" customFormat="1" ht="43.5" customHeight="1">
      <c r="A73" s="52">
        <f t="shared" si="15"/>
        <v>71</v>
      </c>
      <c r="B73" s="53" t="s">
        <v>385</v>
      </c>
      <c r="C73" s="52">
        <v>1243</v>
      </c>
      <c r="D73" s="52">
        <v>1</v>
      </c>
      <c r="E73" s="52" t="s">
        <v>201</v>
      </c>
      <c r="F73" s="52" t="s">
        <v>408</v>
      </c>
      <c r="G73" s="52">
        <v>366</v>
      </c>
      <c r="H73" s="52" t="s">
        <v>140</v>
      </c>
      <c r="I73" s="52" t="s">
        <v>333</v>
      </c>
      <c r="J73" s="52" t="s">
        <v>334</v>
      </c>
      <c r="K73" s="52">
        <v>1</v>
      </c>
      <c r="L73" s="54" t="s">
        <v>76</v>
      </c>
      <c r="M73" s="60"/>
      <c r="N73" s="55">
        <v>3925</v>
      </c>
      <c r="O73" s="55">
        <f t="shared" si="13"/>
        <v>3925</v>
      </c>
      <c r="P73" s="56"/>
      <c r="Q73" s="59" t="s">
        <v>529</v>
      </c>
      <c r="R73" s="58">
        <v>45578</v>
      </c>
      <c r="S73" s="52"/>
      <c r="T73" s="59"/>
      <c r="U73" s="54"/>
      <c r="V73" s="99">
        <v>6700</v>
      </c>
      <c r="W73" s="61">
        <f t="shared" si="9"/>
        <v>6700</v>
      </c>
      <c r="X73" s="62"/>
      <c r="Y73" s="63"/>
      <c r="Z73" s="229" t="e">
        <f t="shared" si="14"/>
        <v>#DIV/0!</v>
      </c>
      <c r="AA73" s="350"/>
      <c r="AB73" s="181" t="s">
        <v>39</v>
      </c>
      <c r="AC73" s="60"/>
      <c r="AD73" s="172"/>
      <c r="AE73" s="64"/>
      <c r="AF73" s="60"/>
    </row>
    <row r="74" spans="1:32" s="21" customFormat="1" ht="43.5" customHeight="1">
      <c r="A74" s="52">
        <f t="shared" si="15"/>
        <v>72</v>
      </c>
      <c r="B74" s="53" t="s">
        <v>387</v>
      </c>
      <c r="C74" s="52">
        <v>1261</v>
      </c>
      <c r="D74" s="52">
        <v>1</v>
      </c>
      <c r="E74" s="52" t="s">
        <v>139</v>
      </c>
      <c r="F74" s="52" t="s">
        <v>138</v>
      </c>
      <c r="G74" s="52">
        <v>368</v>
      </c>
      <c r="H74" s="52" t="s">
        <v>140</v>
      </c>
      <c r="I74" s="52" t="s">
        <v>309</v>
      </c>
      <c r="J74" s="52" t="s">
        <v>335</v>
      </c>
      <c r="K74" s="52">
        <v>4</v>
      </c>
      <c r="L74" s="54" t="s">
        <v>76</v>
      </c>
      <c r="M74" s="60"/>
      <c r="N74" s="55">
        <v>171.46</v>
      </c>
      <c r="O74" s="55">
        <f t="shared" si="13"/>
        <v>685.84</v>
      </c>
      <c r="P74" s="56"/>
      <c r="Q74" s="59">
        <v>14030655</v>
      </c>
      <c r="R74" s="58"/>
      <c r="S74" s="52"/>
      <c r="T74" s="59"/>
      <c r="U74" s="54"/>
      <c r="V74" s="99">
        <v>260</v>
      </c>
      <c r="W74" s="61">
        <f t="shared" si="9"/>
        <v>1040</v>
      </c>
      <c r="X74" s="56"/>
      <c r="Y74" s="63">
        <v>1.28</v>
      </c>
      <c r="Z74" s="229">
        <f t="shared" si="14"/>
        <v>1.1846786422489211</v>
      </c>
      <c r="AA74" s="350"/>
      <c r="AB74" s="181" t="s">
        <v>39</v>
      </c>
      <c r="AC74" s="60"/>
      <c r="AD74" s="172"/>
      <c r="AE74" s="64"/>
      <c r="AF74" s="60"/>
    </row>
    <row r="75" spans="1:32" s="21" customFormat="1" ht="43.5" customHeight="1">
      <c r="A75" s="52">
        <f t="shared" si="15"/>
        <v>73</v>
      </c>
      <c r="B75" s="53" t="s">
        <v>387</v>
      </c>
      <c r="C75" s="52">
        <v>1286</v>
      </c>
      <c r="D75" s="52">
        <v>1</v>
      </c>
      <c r="E75" s="52" t="s">
        <v>79</v>
      </c>
      <c r="F75" s="52" t="s">
        <v>369</v>
      </c>
      <c r="G75" s="52">
        <v>379</v>
      </c>
      <c r="H75" s="52" t="s">
        <v>77</v>
      </c>
      <c r="I75" s="52" t="s">
        <v>363</v>
      </c>
      <c r="J75" s="52" t="s">
        <v>364</v>
      </c>
      <c r="K75" s="52">
        <v>3</v>
      </c>
      <c r="L75" s="54" t="s">
        <v>76</v>
      </c>
      <c r="M75" s="60"/>
      <c r="N75" s="55">
        <v>80</v>
      </c>
      <c r="O75" s="55">
        <f t="shared" si="13"/>
        <v>240</v>
      </c>
      <c r="P75" s="119" t="s">
        <v>365</v>
      </c>
      <c r="Q75" s="59" t="s">
        <v>380</v>
      </c>
      <c r="R75" s="58">
        <v>45587</v>
      </c>
      <c r="S75" s="52" t="s">
        <v>366</v>
      </c>
      <c r="T75" s="59" t="s">
        <v>85</v>
      </c>
      <c r="U75" s="54"/>
      <c r="V75" s="99">
        <v>470</v>
      </c>
      <c r="W75" s="61">
        <f t="shared" si="9"/>
        <v>1410</v>
      </c>
      <c r="X75" s="62"/>
      <c r="Y75" s="63">
        <v>1.28</v>
      </c>
      <c r="Z75" s="229">
        <f t="shared" si="14"/>
        <v>4.58984375</v>
      </c>
      <c r="AA75" s="350">
        <v>91</v>
      </c>
      <c r="AB75" s="181" t="s">
        <v>39</v>
      </c>
      <c r="AC75" s="60" t="s">
        <v>524</v>
      </c>
      <c r="AD75" s="172"/>
      <c r="AE75" s="64"/>
      <c r="AF75" s="60"/>
    </row>
    <row r="76" spans="1:32" s="21" customFormat="1" ht="43.5" customHeight="1">
      <c r="A76" s="185">
        <f t="shared" si="15"/>
        <v>74</v>
      </c>
      <c r="B76" s="247" t="s">
        <v>332</v>
      </c>
      <c r="C76" s="185">
        <v>1287</v>
      </c>
      <c r="D76" s="185">
        <v>1</v>
      </c>
      <c r="E76" s="185" t="s">
        <v>79</v>
      </c>
      <c r="F76" s="185" t="s">
        <v>332</v>
      </c>
      <c r="G76" s="185">
        <v>367</v>
      </c>
      <c r="H76" s="185" t="s">
        <v>77</v>
      </c>
      <c r="I76" s="185" t="s">
        <v>518</v>
      </c>
      <c r="J76" s="185" t="s">
        <v>379</v>
      </c>
      <c r="K76" s="185">
        <v>1</v>
      </c>
      <c r="L76" s="186" t="s">
        <v>76</v>
      </c>
      <c r="M76" s="248"/>
      <c r="N76" s="187">
        <v>2456.9</v>
      </c>
      <c r="O76" s="187">
        <f t="shared" si="13"/>
        <v>2456.9</v>
      </c>
      <c r="P76" s="183"/>
      <c r="Q76" s="218" t="s">
        <v>372</v>
      </c>
      <c r="R76" s="191">
        <v>45584</v>
      </c>
      <c r="S76" s="185" t="s">
        <v>373</v>
      </c>
      <c r="T76" s="218" t="s">
        <v>85</v>
      </c>
      <c r="U76" s="186"/>
      <c r="V76" s="239">
        <v>4740</v>
      </c>
      <c r="W76" s="228">
        <f t="shared" si="9"/>
        <v>4740</v>
      </c>
      <c r="X76" s="242"/>
      <c r="Y76" s="63"/>
      <c r="Z76" s="229" t="e">
        <f t="shared" si="14"/>
        <v>#DIV/0!</v>
      </c>
      <c r="AA76" s="351">
        <v>97</v>
      </c>
      <c r="AB76" s="192" t="s">
        <v>631</v>
      </c>
      <c r="AC76" s="254" t="s">
        <v>646</v>
      </c>
      <c r="AD76" s="254"/>
      <c r="AE76" s="251"/>
      <c r="AF76" s="254"/>
    </row>
    <row r="77" spans="1:32" s="21" customFormat="1" ht="43.5" customHeight="1">
      <c r="A77" s="185">
        <f t="shared" si="15"/>
        <v>75</v>
      </c>
      <c r="B77" s="247" t="s">
        <v>630</v>
      </c>
      <c r="C77" s="185">
        <v>1533</v>
      </c>
      <c r="D77" s="185">
        <v>1</v>
      </c>
      <c r="E77" s="185" t="s">
        <v>79</v>
      </c>
      <c r="F77" s="185" t="s">
        <v>640</v>
      </c>
      <c r="G77" s="185">
        <v>367</v>
      </c>
      <c r="H77" s="185" t="s">
        <v>77</v>
      </c>
      <c r="I77" s="185" t="s">
        <v>648</v>
      </c>
      <c r="J77" s="185" t="s">
        <v>379</v>
      </c>
      <c r="K77" s="185">
        <v>2</v>
      </c>
      <c r="L77" s="186" t="s">
        <v>76</v>
      </c>
      <c r="M77" s="248"/>
      <c r="N77" s="187">
        <v>2932.5</v>
      </c>
      <c r="O77" s="187">
        <f t="shared" si="13"/>
        <v>5865</v>
      </c>
      <c r="P77" s="183"/>
      <c r="Q77" s="218" t="s">
        <v>372</v>
      </c>
      <c r="R77" s="191">
        <v>45584</v>
      </c>
      <c r="S77" s="185" t="s">
        <v>373</v>
      </c>
      <c r="T77" s="218" t="s">
        <v>85</v>
      </c>
      <c r="U77" s="186" t="s">
        <v>374</v>
      </c>
      <c r="V77" s="239">
        <v>4740</v>
      </c>
      <c r="W77" s="228">
        <f t="shared" ref="W77:W88" si="16">V77*K77</f>
        <v>9480</v>
      </c>
      <c r="X77" s="242"/>
      <c r="Y77" s="63"/>
      <c r="Z77" s="229" t="e">
        <f t="shared" si="14"/>
        <v>#DIV/0!</v>
      </c>
      <c r="AA77" s="248">
        <v>142</v>
      </c>
      <c r="AB77" s="217" t="s">
        <v>16</v>
      </c>
      <c r="AC77" s="255" t="s">
        <v>647</v>
      </c>
      <c r="AD77" s="255"/>
      <c r="AE77" s="251"/>
      <c r="AF77" s="255"/>
    </row>
    <row r="78" spans="1:32" s="21" customFormat="1" ht="43.5" customHeight="1">
      <c r="A78" s="52">
        <f t="shared" si="15"/>
        <v>76</v>
      </c>
      <c r="B78" s="53" t="s">
        <v>387</v>
      </c>
      <c r="C78" s="52">
        <v>1288</v>
      </c>
      <c r="D78" s="52">
        <v>1</v>
      </c>
      <c r="E78" s="52" t="s">
        <v>79</v>
      </c>
      <c r="F78" s="52" t="s">
        <v>138</v>
      </c>
      <c r="G78" s="52">
        <v>367</v>
      </c>
      <c r="H78" s="52" t="s">
        <v>77</v>
      </c>
      <c r="I78" s="52" t="s">
        <v>375</v>
      </c>
      <c r="J78" s="52" t="s">
        <v>378</v>
      </c>
      <c r="K78" s="52">
        <v>5</v>
      </c>
      <c r="L78" s="54" t="s">
        <v>76</v>
      </c>
      <c r="M78" s="60"/>
      <c r="N78" s="55">
        <v>179.35</v>
      </c>
      <c r="O78" s="55">
        <f t="shared" si="13"/>
        <v>896.75</v>
      </c>
      <c r="P78" s="56"/>
      <c r="Q78" s="59" t="s">
        <v>376</v>
      </c>
      <c r="R78" s="58">
        <v>45584</v>
      </c>
      <c r="S78" s="52" t="s">
        <v>377</v>
      </c>
      <c r="T78" s="59" t="s">
        <v>81</v>
      </c>
      <c r="U78" s="54"/>
      <c r="V78" s="99">
        <v>350</v>
      </c>
      <c r="W78" s="61">
        <f t="shared" si="16"/>
        <v>1750</v>
      </c>
      <c r="X78" s="62"/>
      <c r="Y78" s="63"/>
      <c r="Z78" s="229" t="e">
        <f t="shared" si="14"/>
        <v>#DIV/0!</v>
      </c>
      <c r="AA78" s="350">
        <v>97</v>
      </c>
      <c r="AB78" s="181" t="s">
        <v>39</v>
      </c>
      <c r="AC78" s="60"/>
      <c r="AD78" s="172"/>
      <c r="AE78" s="64"/>
      <c r="AF78" s="60"/>
    </row>
    <row r="79" spans="1:32" s="21" customFormat="1" ht="43.5" customHeight="1">
      <c r="A79" s="185">
        <f t="shared" si="15"/>
        <v>77</v>
      </c>
      <c r="B79" s="247" t="s">
        <v>332</v>
      </c>
      <c r="C79" s="185">
        <v>1291</v>
      </c>
      <c r="D79" s="185">
        <v>1</v>
      </c>
      <c r="E79" s="185" t="s">
        <v>79</v>
      </c>
      <c r="F79" s="185" t="s">
        <v>641</v>
      </c>
      <c r="G79" s="218">
        <v>348</v>
      </c>
      <c r="H79" s="185" t="s">
        <v>116</v>
      </c>
      <c r="I79" s="185">
        <v>856000056</v>
      </c>
      <c r="J79" s="185" t="s">
        <v>133</v>
      </c>
      <c r="K79" s="185">
        <v>4</v>
      </c>
      <c r="L79" s="186" t="s">
        <v>76</v>
      </c>
      <c r="M79" s="248"/>
      <c r="N79" s="256"/>
      <c r="O79" s="187">
        <f t="shared" si="13"/>
        <v>0</v>
      </c>
      <c r="P79" s="183"/>
      <c r="Q79" s="218" t="s">
        <v>383</v>
      </c>
      <c r="R79" s="191">
        <v>45542</v>
      </c>
      <c r="S79" s="185" t="s">
        <v>384</v>
      </c>
      <c r="T79" s="218" t="s">
        <v>96</v>
      </c>
      <c r="U79" s="186"/>
      <c r="V79" s="239">
        <v>280</v>
      </c>
      <c r="W79" s="228">
        <f t="shared" si="16"/>
        <v>1120</v>
      </c>
      <c r="X79" s="242"/>
      <c r="Y79" s="63"/>
      <c r="Z79" s="229" t="e">
        <f t="shared" si="14"/>
        <v>#DIV/0!</v>
      </c>
      <c r="AA79" s="248"/>
      <c r="AB79" s="236" t="s">
        <v>34</v>
      </c>
      <c r="AC79" s="205" t="s">
        <v>20</v>
      </c>
      <c r="AD79" s="205"/>
      <c r="AE79" s="251"/>
      <c r="AF79" s="205"/>
    </row>
    <row r="80" spans="1:32" s="21" customFormat="1" ht="43.5" customHeight="1">
      <c r="A80" s="185">
        <f t="shared" si="15"/>
        <v>78</v>
      </c>
      <c r="B80" s="247" t="s">
        <v>332</v>
      </c>
      <c r="C80" s="185">
        <v>1292</v>
      </c>
      <c r="D80" s="185">
        <v>2</v>
      </c>
      <c r="E80" s="185" t="s">
        <v>79</v>
      </c>
      <c r="F80" s="185" t="s">
        <v>388</v>
      </c>
      <c r="G80" s="185">
        <v>348</v>
      </c>
      <c r="H80" s="185" t="s">
        <v>116</v>
      </c>
      <c r="I80" s="185">
        <v>857002008</v>
      </c>
      <c r="J80" s="185" t="s">
        <v>135</v>
      </c>
      <c r="K80" s="185">
        <v>4</v>
      </c>
      <c r="L80" s="186" t="s">
        <v>76</v>
      </c>
      <c r="M80" s="248"/>
      <c r="N80" s="256"/>
      <c r="O80" s="187">
        <f t="shared" si="13"/>
        <v>0</v>
      </c>
      <c r="P80" s="183"/>
      <c r="Q80" s="218" t="s">
        <v>383</v>
      </c>
      <c r="R80" s="191">
        <v>45542</v>
      </c>
      <c r="S80" s="185" t="s">
        <v>384</v>
      </c>
      <c r="T80" s="218" t="s">
        <v>96</v>
      </c>
      <c r="U80" s="186"/>
      <c r="V80" s="239">
        <v>280</v>
      </c>
      <c r="W80" s="228">
        <f t="shared" si="16"/>
        <v>1120</v>
      </c>
      <c r="X80" s="242"/>
      <c r="Y80" s="63"/>
      <c r="Z80" s="229" t="e">
        <f t="shared" si="14"/>
        <v>#DIV/0!</v>
      </c>
      <c r="AA80" s="248"/>
      <c r="AB80" s="236" t="s">
        <v>34</v>
      </c>
      <c r="AC80" s="205" t="s">
        <v>20</v>
      </c>
      <c r="AD80" s="205"/>
      <c r="AE80" s="251"/>
      <c r="AF80" s="205"/>
    </row>
    <row r="81" spans="1:32" s="21" customFormat="1" ht="43.5" customHeight="1">
      <c r="A81" s="52">
        <f t="shared" si="15"/>
        <v>79</v>
      </c>
      <c r="B81" s="53" t="s">
        <v>407</v>
      </c>
      <c r="C81" s="52">
        <v>1307</v>
      </c>
      <c r="D81" s="52">
        <v>1</v>
      </c>
      <c r="E81" s="52" t="s">
        <v>79</v>
      </c>
      <c r="F81" s="52" t="s">
        <v>409</v>
      </c>
      <c r="G81" s="52">
        <v>325</v>
      </c>
      <c r="H81" s="52" t="s">
        <v>140</v>
      </c>
      <c r="I81" s="52" t="s">
        <v>389</v>
      </c>
      <c r="J81" s="52" t="s">
        <v>390</v>
      </c>
      <c r="K81" s="52">
        <v>2</v>
      </c>
      <c r="L81" s="54" t="s">
        <v>76</v>
      </c>
      <c r="M81" s="60"/>
      <c r="N81" s="55">
        <f>552.94*1.05</f>
        <v>580.5870000000001</v>
      </c>
      <c r="O81" s="55">
        <f t="shared" si="13"/>
        <v>1161.1740000000002</v>
      </c>
      <c r="P81" s="56"/>
      <c r="Q81" s="59" t="s">
        <v>391</v>
      </c>
      <c r="R81" s="58">
        <v>45441</v>
      </c>
      <c r="S81" s="52" t="s">
        <v>392</v>
      </c>
      <c r="T81" s="59" t="s">
        <v>85</v>
      </c>
      <c r="U81" s="54"/>
      <c r="V81" s="99">
        <v>850</v>
      </c>
      <c r="W81" s="61">
        <f t="shared" si="16"/>
        <v>1700</v>
      </c>
      <c r="X81" s="62"/>
      <c r="Y81" s="63"/>
      <c r="Z81" s="229" t="e">
        <f t="shared" si="14"/>
        <v>#DIV/0!</v>
      </c>
      <c r="AA81" s="350"/>
      <c r="AB81" s="181" t="s">
        <v>39</v>
      </c>
      <c r="AC81" s="60" t="s">
        <v>403</v>
      </c>
      <c r="AD81" s="172"/>
      <c r="AE81" s="64"/>
      <c r="AF81" s="60"/>
    </row>
    <row r="82" spans="1:32" s="21" customFormat="1" ht="43.5" customHeight="1">
      <c r="A82" s="52">
        <f t="shared" si="15"/>
        <v>80</v>
      </c>
      <c r="B82" s="53" t="s">
        <v>140</v>
      </c>
      <c r="C82" s="52">
        <v>1308</v>
      </c>
      <c r="D82" s="52">
        <v>1</v>
      </c>
      <c r="E82" s="52" t="s">
        <v>79</v>
      </c>
      <c r="F82" s="52" t="s">
        <v>204</v>
      </c>
      <c r="G82" s="52">
        <v>379</v>
      </c>
      <c r="H82" s="52" t="s">
        <v>77</v>
      </c>
      <c r="I82" s="52" t="s">
        <v>394</v>
      </c>
      <c r="J82" s="52" t="s">
        <v>246</v>
      </c>
      <c r="K82" s="115">
        <v>98</v>
      </c>
      <c r="L82" s="54" t="s">
        <v>76</v>
      </c>
      <c r="M82" s="52">
        <v>96</v>
      </c>
      <c r="N82" s="55">
        <v>98.1</v>
      </c>
      <c r="O82" s="55">
        <f t="shared" si="13"/>
        <v>9613.7999999999993</v>
      </c>
      <c r="P82" s="56"/>
      <c r="Q82" s="59" t="s">
        <v>397</v>
      </c>
      <c r="R82" s="58">
        <v>45591</v>
      </c>
      <c r="S82" s="52" t="s">
        <v>396</v>
      </c>
      <c r="T82" s="59" t="s">
        <v>85</v>
      </c>
      <c r="U82" s="54"/>
      <c r="V82" s="99">
        <v>160</v>
      </c>
      <c r="W82" s="61">
        <f t="shared" si="16"/>
        <v>15680</v>
      </c>
      <c r="X82" s="62"/>
      <c r="Y82" s="63"/>
      <c r="Z82" s="229" t="e">
        <f t="shared" si="14"/>
        <v>#DIV/0!</v>
      </c>
      <c r="AA82" s="350">
        <v>97</v>
      </c>
      <c r="AB82" s="181" t="s">
        <v>39</v>
      </c>
      <c r="AC82" s="60" t="s">
        <v>166</v>
      </c>
      <c r="AD82" s="172"/>
      <c r="AE82" s="64"/>
      <c r="AF82" s="60"/>
    </row>
    <row r="83" spans="1:32" s="21" customFormat="1" ht="43.5" customHeight="1">
      <c r="A83" s="52">
        <f t="shared" si="15"/>
        <v>81</v>
      </c>
      <c r="B83" s="53" t="s">
        <v>387</v>
      </c>
      <c r="C83" s="52">
        <v>1309</v>
      </c>
      <c r="D83" s="52">
        <v>2</v>
      </c>
      <c r="E83" s="52" t="s">
        <v>79</v>
      </c>
      <c r="F83" s="52" t="s">
        <v>182</v>
      </c>
      <c r="G83" s="52">
        <v>379</v>
      </c>
      <c r="H83" s="52" t="s">
        <v>77</v>
      </c>
      <c r="I83" s="52" t="s">
        <v>395</v>
      </c>
      <c r="J83" s="52" t="s">
        <v>162</v>
      </c>
      <c r="K83" s="52">
        <v>20</v>
      </c>
      <c r="L83" s="54" t="s">
        <v>76</v>
      </c>
      <c r="M83" s="60"/>
      <c r="N83" s="55">
        <v>1.47</v>
      </c>
      <c r="O83" s="55">
        <f t="shared" si="13"/>
        <v>29.4</v>
      </c>
      <c r="P83" s="56"/>
      <c r="Q83" s="59" t="s">
        <v>397</v>
      </c>
      <c r="R83" s="58">
        <v>45591</v>
      </c>
      <c r="S83" s="52" t="s">
        <v>396</v>
      </c>
      <c r="T83" s="59" t="s">
        <v>85</v>
      </c>
      <c r="U83" s="54"/>
      <c r="V83" s="99">
        <v>15</v>
      </c>
      <c r="W83" s="61">
        <f t="shared" si="16"/>
        <v>300</v>
      </c>
      <c r="X83" s="62"/>
      <c r="Y83" s="63"/>
      <c r="Z83" s="229" t="e">
        <f t="shared" si="14"/>
        <v>#DIV/0!</v>
      </c>
      <c r="AA83" s="350">
        <v>97</v>
      </c>
      <c r="AB83" s="181" t="s">
        <v>39</v>
      </c>
      <c r="AC83" s="60" t="s">
        <v>166</v>
      </c>
      <c r="AD83" s="172"/>
      <c r="AE83" s="64"/>
      <c r="AF83" s="60"/>
    </row>
    <row r="84" spans="1:32" s="21" customFormat="1" ht="43.5" customHeight="1">
      <c r="A84" s="52">
        <f t="shared" si="15"/>
        <v>82</v>
      </c>
      <c r="B84" s="53" t="s">
        <v>387</v>
      </c>
      <c r="C84" s="52">
        <v>1310</v>
      </c>
      <c r="D84" s="52">
        <v>1</v>
      </c>
      <c r="E84" s="52" t="s">
        <v>79</v>
      </c>
      <c r="F84" s="52" t="s">
        <v>402</v>
      </c>
      <c r="G84" s="52">
        <v>379</v>
      </c>
      <c r="H84" s="52" t="s">
        <v>116</v>
      </c>
      <c r="I84" s="52" t="s">
        <v>398</v>
      </c>
      <c r="J84" s="52" t="s">
        <v>399</v>
      </c>
      <c r="K84" s="52">
        <v>1</v>
      </c>
      <c r="L84" s="54" t="s">
        <v>125</v>
      </c>
      <c r="M84" s="60"/>
      <c r="N84" s="55">
        <v>2000</v>
      </c>
      <c r="O84" s="55">
        <f t="shared" si="13"/>
        <v>2000</v>
      </c>
      <c r="P84" s="56"/>
      <c r="Q84" s="59" t="s">
        <v>401</v>
      </c>
      <c r="R84" s="58">
        <v>45591</v>
      </c>
      <c r="S84" s="52" t="s">
        <v>400</v>
      </c>
      <c r="T84" s="59" t="s">
        <v>81</v>
      </c>
      <c r="U84" s="54"/>
      <c r="V84" s="99">
        <v>3700</v>
      </c>
      <c r="W84" s="61">
        <f t="shared" si="16"/>
        <v>3700</v>
      </c>
      <c r="X84" s="62"/>
      <c r="Y84" s="63"/>
      <c r="Z84" s="229" t="e">
        <f t="shared" si="14"/>
        <v>#DIV/0!</v>
      </c>
      <c r="AA84" s="350"/>
      <c r="AB84" s="181" t="s">
        <v>39</v>
      </c>
      <c r="AC84" s="60"/>
      <c r="AD84" s="172"/>
      <c r="AE84" s="64"/>
      <c r="AF84" s="60"/>
    </row>
    <row r="85" spans="1:32" s="21" customFormat="1" ht="43.5" customHeight="1">
      <c r="A85" s="52">
        <f t="shared" si="15"/>
        <v>83</v>
      </c>
      <c r="B85" s="53" t="s">
        <v>387</v>
      </c>
      <c r="C85" s="52">
        <v>1325</v>
      </c>
      <c r="D85" s="52">
        <v>15</v>
      </c>
      <c r="E85" s="52" t="s">
        <v>209</v>
      </c>
      <c r="F85" s="52" t="s">
        <v>196</v>
      </c>
      <c r="G85" s="52">
        <v>381</v>
      </c>
      <c r="H85" s="52" t="s">
        <v>140</v>
      </c>
      <c r="I85" s="52" t="s">
        <v>412</v>
      </c>
      <c r="J85" s="121" t="s">
        <v>413</v>
      </c>
      <c r="K85" s="52">
        <v>5</v>
      </c>
      <c r="L85" s="54" t="s">
        <v>219</v>
      </c>
      <c r="M85" s="60"/>
      <c r="N85" s="55">
        <v>90</v>
      </c>
      <c r="O85" s="55">
        <f t="shared" si="13"/>
        <v>450</v>
      </c>
      <c r="P85" s="56"/>
      <c r="Q85" s="121" t="s">
        <v>425</v>
      </c>
      <c r="R85" s="58"/>
      <c r="S85" s="52"/>
      <c r="T85" s="59"/>
      <c r="U85" s="54"/>
      <c r="V85" s="99">
        <v>124.5</v>
      </c>
      <c r="W85" s="61">
        <f t="shared" si="16"/>
        <v>622.5</v>
      </c>
      <c r="X85" s="62"/>
      <c r="Y85" s="63"/>
      <c r="Z85" s="229" t="e">
        <f t="shared" si="14"/>
        <v>#DIV/0!</v>
      </c>
      <c r="AA85" s="350"/>
      <c r="AB85" s="181" t="s">
        <v>39</v>
      </c>
      <c r="AC85" s="60" t="s">
        <v>456</v>
      </c>
      <c r="AD85" s="172"/>
      <c r="AE85" s="64"/>
      <c r="AF85" s="60"/>
    </row>
    <row r="86" spans="1:32" s="21" customFormat="1" ht="43.5" customHeight="1">
      <c r="A86" s="52">
        <f t="shared" si="15"/>
        <v>84</v>
      </c>
      <c r="B86" s="53"/>
      <c r="C86" s="216">
        <v>1325</v>
      </c>
      <c r="D86" s="52">
        <v>15</v>
      </c>
      <c r="E86" s="52" t="s">
        <v>209</v>
      </c>
      <c r="F86" s="52" t="s">
        <v>597</v>
      </c>
      <c r="G86" s="52">
        <v>381</v>
      </c>
      <c r="H86" s="52" t="s">
        <v>140</v>
      </c>
      <c r="I86" s="52" t="s">
        <v>412</v>
      </c>
      <c r="J86" s="52" t="s">
        <v>413</v>
      </c>
      <c r="K86" s="52">
        <v>5</v>
      </c>
      <c r="L86" s="54" t="s">
        <v>219</v>
      </c>
      <c r="M86" s="60"/>
      <c r="N86" s="55">
        <v>48.56</v>
      </c>
      <c r="O86" s="55">
        <f t="shared" si="13"/>
        <v>242.8</v>
      </c>
      <c r="P86" s="56"/>
      <c r="Q86" s="121" t="s">
        <v>425</v>
      </c>
      <c r="S86" s="52">
        <f>N86*1.18*1.1</f>
        <v>63.03088000000001</v>
      </c>
      <c r="T86" s="59"/>
      <c r="U86" s="54"/>
      <c r="V86" s="99">
        <v>100</v>
      </c>
      <c r="W86" s="61">
        <f t="shared" si="16"/>
        <v>500</v>
      </c>
      <c r="X86" s="62"/>
      <c r="Y86" s="63"/>
      <c r="Z86" s="229" t="e">
        <f t="shared" si="14"/>
        <v>#DIV/0!</v>
      </c>
      <c r="AA86" s="350"/>
      <c r="AB86" s="181" t="s">
        <v>39</v>
      </c>
      <c r="AC86" s="60" t="s">
        <v>456</v>
      </c>
      <c r="AD86" s="172"/>
      <c r="AE86" s="64"/>
      <c r="AF86" s="60"/>
    </row>
    <row r="87" spans="1:32" s="21" customFormat="1" ht="43.5" customHeight="1">
      <c r="A87" s="52">
        <f t="shared" si="15"/>
        <v>85</v>
      </c>
      <c r="B87" s="53" t="s">
        <v>490</v>
      </c>
      <c r="C87" s="52">
        <v>1326</v>
      </c>
      <c r="D87" s="52">
        <v>17</v>
      </c>
      <c r="E87" s="52" t="s">
        <v>209</v>
      </c>
      <c r="F87" s="52" t="s">
        <v>417</v>
      </c>
      <c r="G87" s="52">
        <v>381</v>
      </c>
      <c r="H87" s="52" t="s">
        <v>140</v>
      </c>
      <c r="I87" s="52" t="s">
        <v>414</v>
      </c>
      <c r="J87" s="52" t="s">
        <v>415</v>
      </c>
      <c r="K87" s="52">
        <v>4</v>
      </c>
      <c r="L87" s="54" t="s">
        <v>219</v>
      </c>
      <c r="M87" s="60"/>
      <c r="N87" s="55">
        <v>0</v>
      </c>
      <c r="O87" s="55">
        <f t="shared" si="13"/>
        <v>0</v>
      </c>
      <c r="P87" s="100"/>
      <c r="Q87" s="121" t="s">
        <v>425</v>
      </c>
      <c r="R87" s="58"/>
      <c r="S87" s="52"/>
      <c r="T87" s="59"/>
      <c r="U87" s="54"/>
      <c r="V87" s="99">
        <v>0</v>
      </c>
      <c r="W87" s="61">
        <f t="shared" si="16"/>
        <v>0</v>
      </c>
      <c r="X87" s="62"/>
      <c r="Y87" s="63"/>
      <c r="Z87" s="229" t="e">
        <f t="shared" si="14"/>
        <v>#DIV/0!</v>
      </c>
      <c r="AA87" s="349"/>
      <c r="AB87" s="205" t="s">
        <v>20</v>
      </c>
      <c r="AC87" s="53" t="s">
        <v>505</v>
      </c>
      <c r="AD87" s="174"/>
      <c r="AE87" s="64"/>
      <c r="AF87" s="53"/>
    </row>
    <row r="88" spans="1:32" s="21" customFormat="1" ht="43.5" customHeight="1">
      <c r="A88" s="52">
        <f t="shared" si="15"/>
        <v>86</v>
      </c>
      <c r="B88" s="53" t="s">
        <v>490</v>
      </c>
      <c r="C88" s="52">
        <v>1327</v>
      </c>
      <c r="D88" s="52">
        <v>19</v>
      </c>
      <c r="E88" s="52" t="s">
        <v>209</v>
      </c>
      <c r="F88" s="52" t="s">
        <v>458</v>
      </c>
      <c r="G88" s="52">
        <v>381</v>
      </c>
      <c r="H88" s="52" t="s">
        <v>140</v>
      </c>
      <c r="I88" s="52" t="s">
        <v>416</v>
      </c>
      <c r="J88" s="52" t="s">
        <v>415</v>
      </c>
      <c r="K88" s="52">
        <v>1</v>
      </c>
      <c r="L88" s="54" t="s">
        <v>219</v>
      </c>
      <c r="M88" s="60"/>
      <c r="N88" s="55">
        <v>5475</v>
      </c>
      <c r="O88" s="55">
        <f t="shared" si="13"/>
        <v>5475</v>
      </c>
      <c r="P88" s="56"/>
      <c r="Q88" s="121" t="s">
        <v>425</v>
      </c>
      <c r="R88" s="58"/>
      <c r="S88" s="52"/>
      <c r="T88" s="59"/>
      <c r="U88" s="54"/>
      <c r="V88" s="99">
        <v>7910</v>
      </c>
      <c r="W88" s="225">
        <f t="shared" si="16"/>
        <v>7910</v>
      </c>
      <c r="X88" s="62"/>
      <c r="Y88" s="63"/>
      <c r="Z88" s="229" t="e">
        <f t="shared" si="14"/>
        <v>#DIV/0!</v>
      </c>
      <c r="AA88" s="350"/>
      <c r="AB88" s="181" t="s">
        <v>39</v>
      </c>
      <c r="AC88" s="60"/>
      <c r="AD88" s="172"/>
      <c r="AE88" s="64"/>
      <c r="AF88" s="60"/>
    </row>
    <row r="89" spans="1:32" s="21" customFormat="1" ht="43.5" customHeight="1">
      <c r="A89" s="52">
        <f t="shared" ref="A89:A121" si="17">A88+1</f>
        <v>87</v>
      </c>
      <c r="B89" s="53"/>
      <c r="C89" s="52">
        <v>1460</v>
      </c>
      <c r="D89" s="52">
        <v>38</v>
      </c>
      <c r="E89" s="52" t="s">
        <v>209</v>
      </c>
      <c r="F89" s="52" t="s">
        <v>597</v>
      </c>
      <c r="G89" s="52">
        <v>381</v>
      </c>
      <c r="H89" s="52" t="s">
        <v>140</v>
      </c>
      <c r="I89" s="52" t="s">
        <v>530</v>
      </c>
      <c r="J89" s="52" t="s">
        <v>531</v>
      </c>
      <c r="K89" s="54">
        <v>5</v>
      </c>
      <c r="L89" s="55" t="s">
        <v>219</v>
      </c>
      <c r="M89" s="60"/>
      <c r="N89" s="55">
        <v>34.58</v>
      </c>
      <c r="O89" s="55">
        <f t="shared" ref="O89:O121" si="18">N89*K89</f>
        <v>172.89999999999998</v>
      </c>
      <c r="P89" s="56"/>
      <c r="Q89" s="121" t="s">
        <v>425</v>
      </c>
      <c r="R89" s="58"/>
      <c r="S89" s="52"/>
      <c r="T89" s="59"/>
      <c r="U89" s="54"/>
      <c r="V89" s="55">
        <v>90</v>
      </c>
      <c r="W89" s="228">
        <f t="shared" ref="W89:W121" si="19">V89*K89</f>
        <v>450</v>
      </c>
      <c r="X89" s="62"/>
      <c r="Y89" s="63"/>
      <c r="Z89" s="229" t="e">
        <f t="shared" ref="Z89:Z121" si="20">W89/O89/Y89</f>
        <v>#DIV/0!</v>
      </c>
      <c r="AA89" s="350">
        <v>139</v>
      </c>
      <c r="AB89" s="181" t="s">
        <v>39</v>
      </c>
      <c r="AC89" s="60"/>
      <c r="AD89" s="172"/>
      <c r="AE89" s="64"/>
      <c r="AF89" s="60"/>
    </row>
    <row r="90" spans="1:32" s="21" customFormat="1" ht="43.5" customHeight="1">
      <c r="A90" s="52">
        <f t="shared" si="17"/>
        <v>88</v>
      </c>
      <c r="B90" s="53" t="s">
        <v>490</v>
      </c>
      <c r="C90" s="52">
        <v>1328</v>
      </c>
      <c r="D90" s="52">
        <v>15</v>
      </c>
      <c r="E90" s="52" t="s">
        <v>209</v>
      </c>
      <c r="F90" s="52" t="s">
        <v>424</v>
      </c>
      <c r="G90" s="52">
        <v>381</v>
      </c>
      <c r="H90" s="52" t="s">
        <v>140</v>
      </c>
      <c r="I90" s="52" t="s">
        <v>418</v>
      </c>
      <c r="J90" s="52" t="s">
        <v>220</v>
      </c>
      <c r="K90" s="52">
        <v>20</v>
      </c>
      <c r="L90" s="54" t="s">
        <v>219</v>
      </c>
      <c r="M90" s="60"/>
      <c r="N90" s="55">
        <v>61.75</v>
      </c>
      <c r="O90" s="55">
        <f t="shared" si="18"/>
        <v>1235</v>
      </c>
      <c r="P90" s="56"/>
      <c r="Q90" s="120" t="s">
        <v>426</v>
      </c>
      <c r="R90" s="58"/>
      <c r="S90" s="52"/>
      <c r="T90" s="59"/>
      <c r="U90" s="54"/>
      <c r="V90" s="99">
        <v>84</v>
      </c>
      <c r="W90" s="227">
        <f t="shared" si="19"/>
        <v>1680</v>
      </c>
      <c r="X90" s="62"/>
      <c r="Y90" s="63"/>
      <c r="Z90" s="229" t="e">
        <f t="shared" si="20"/>
        <v>#DIV/0!</v>
      </c>
      <c r="AA90" s="350"/>
      <c r="AB90" s="181" t="s">
        <v>39</v>
      </c>
      <c r="AC90" s="60"/>
      <c r="AD90" s="172"/>
      <c r="AE90" s="64"/>
      <c r="AF90" s="60"/>
    </row>
    <row r="91" spans="1:32" s="21" customFormat="1" ht="43.5" customHeight="1">
      <c r="A91" s="52">
        <f t="shared" si="17"/>
        <v>89</v>
      </c>
      <c r="B91" s="53" t="s">
        <v>490</v>
      </c>
      <c r="C91" s="52">
        <v>1329</v>
      </c>
      <c r="D91" s="52">
        <v>17</v>
      </c>
      <c r="E91" s="52" t="s">
        <v>209</v>
      </c>
      <c r="F91" s="52" t="s">
        <v>520</v>
      </c>
      <c r="G91" s="52">
        <v>381</v>
      </c>
      <c r="H91" s="52" t="s">
        <v>140</v>
      </c>
      <c r="I91" s="52" t="s">
        <v>419</v>
      </c>
      <c r="J91" s="52" t="s">
        <v>704</v>
      </c>
      <c r="K91" s="52">
        <v>13</v>
      </c>
      <c r="L91" s="54" t="s">
        <v>219</v>
      </c>
      <c r="M91" s="60"/>
      <c r="N91" s="55">
        <v>25</v>
      </c>
      <c r="O91" s="55">
        <f t="shared" si="18"/>
        <v>325</v>
      </c>
      <c r="P91" s="56"/>
      <c r="Q91" s="120" t="s">
        <v>426</v>
      </c>
      <c r="R91" s="58"/>
      <c r="S91" s="52"/>
      <c r="T91" s="59"/>
      <c r="U91" s="54"/>
      <c r="V91" s="99">
        <v>34</v>
      </c>
      <c r="W91" s="61">
        <f t="shared" si="19"/>
        <v>442</v>
      </c>
      <c r="X91" s="62"/>
      <c r="Y91" s="63"/>
      <c r="Z91" s="229" t="e">
        <f t="shared" si="20"/>
        <v>#DIV/0!</v>
      </c>
      <c r="AA91" s="350">
        <v>131</v>
      </c>
      <c r="AB91" s="181" t="s">
        <v>39</v>
      </c>
      <c r="AC91" s="60" t="s">
        <v>456</v>
      </c>
      <c r="AD91" s="172" t="s">
        <v>705</v>
      </c>
      <c r="AE91" s="64"/>
      <c r="AF91" s="60"/>
    </row>
    <row r="92" spans="1:32" s="21" customFormat="1" ht="43.5" customHeight="1">
      <c r="A92" s="185">
        <f t="shared" si="17"/>
        <v>90</v>
      </c>
      <c r="B92" s="257" t="s">
        <v>490</v>
      </c>
      <c r="C92" s="218">
        <v>1702</v>
      </c>
      <c r="D92" s="185">
        <v>17</v>
      </c>
      <c r="E92" s="185" t="s">
        <v>209</v>
      </c>
      <c r="F92" s="207" t="s">
        <v>781</v>
      </c>
      <c r="G92" s="185">
        <v>381</v>
      </c>
      <c r="H92" s="185" t="s">
        <v>140</v>
      </c>
      <c r="I92" s="185" t="s">
        <v>419</v>
      </c>
      <c r="J92" s="185" t="s">
        <v>220</v>
      </c>
      <c r="K92" s="185">
        <v>37</v>
      </c>
      <c r="L92" s="186" t="s">
        <v>219</v>
      </c>
      <c r="M92" s="248"/>
      <c r="N92" s="187">
        <v>81</v>
      </c>
      <c r="O92" s="187">
        <f t="shared" si="18"/>
        <v>2997</v>
      </c>
      <c r="P92" s="183"/>
      <c r="Q92" s="258" t="s">
        <v>426</v>
      </c>
      <c r="R92" s="191"/>
      <c r="S92" s="185"/>
      <c r="T92" s="218"/>
      <c r="U92" s="186"/>
      <c r="V92" s="239">
        <v>34</v>
      </c>
      <c r="W92" s="228">
        <f t="shared" si="19"/>
        <v>1258</v>
      </c>
      <c r="X92" s="242"/>
      <c r="Y92" s="63"/>
      <c r="Z92" s="229" t="e">
        <f t="shared" si="20"/>
        <v>#DIV/0!</v>
      </c>
      <c r="AA92" s="248"/>
      <c r="AB92" s="385" t="s">
        <v>15</v>
      </c>
      <c r="AC92" s="248" t="s">
        <v>456</v>
      </c>
      <c r="AD92" s="248" t="s">
        <v>705</v>
      </c>
      <c r="AE92" s="251"/>
      <c r="AF92" s="248"/>
    </row>
    <row r="93" spans="1:32" s="21" customFormat="1" ht="43.5" customHeight="1">
      <c r="A93" s="52">
        <f t="shared" si="17"/>
        <v>91</v>
      </c>
      <c r="C93" s="52">
        <v>1330</v>
      </c>
      <c r="D93" s="52">
        <v>19</v>
      </c>
      <c r="E93" s="52" t="s">
        <v>209</v>
      </c>
      <c r="F93" s="52" t="s">
        <v>138</v>
      </c>
      <c r="G93" s="52">
        <v>381</v>
      </c>
      <c r="H93" s="52" t="s">
        <v>140</v>
      </c>
      <c r="I93" s="121" t="s">
        <v>519</v>
      </c>
      <c r="J93" s="52" t="s">
        <v>422</v>
      </c>
      <c r="K93" s="52">
        <v>40</v>
      </c>
      <c r="L93" s="54" t="s">
        <v>219</v>
      </c>
      <c r="M93" s="52" t="s">
        <v>420</v>
      </c>
      <c r="N93" s="55">
        <v>6.64</v>
      </c>
      <c r="O93" s="55">
        <f t="shared" si="18"/>
        <v>265.59999999999997</v>
      </c>
      <c r="P93" s="56"/>
      <c r="Q93" s="120" t="s">
        <v>426</v>
      </c>
      <c r="R93" s="58"/>
      <c r="S93" s="52"/>
      <c r="T93" s="59"/>
      <c r="U93" s="54"/>
      <c r="V93" s="99">
        <v>117</v>
      </c>
      <c r="W93" s="228">
        <f t="shared" si="19"/>
        <v>4680</v>
      </c>
      <c r="X93" s="62"/>
      <c r="Y93" s="63"/>
      <c r="Z93" s="229" t="e">
        <f t="shared" si="20"/>
        <v>#DIV/0!</v>
      </c>
      <c r="AA93" s="350">
        <v>139</v>
      </c>
      <c r="AB93" s="181" t="s">
        <v>39</v>
      </c>
      <c r="AC93" s="60" t="s">
        <v>456</v>
      </c>
      <c r="AD93" s="172"/>
      <c r="AE93" s="64"/>
      <c r="AF93" s="60"/>
    </row>
    <row r="94" spans="1:32" s="21" customFormat="1" ht="43.5" customHeight="1">
      <c r="A94" s="185">
        <f t="shared" si="17"/>
        <v>92</v>
      </c>
      <c r="B94" s="247"/>
      <c r="C94" s="185">
        <v>1331</v>
      </c>
      <c r="D94" s="185">
        <v>29</v>
      </c>
      <c r="E94" s="185" t="s">
        <v>209</v>
      </c>
      <c r="F94" s="207" t="s">
        <v>794</v>
      </c>
      <c r="G94" s="185">
        <v>381</v>
      </c>
      <c r="H94" s="185" t="s">
        <v>140</v>
      </c>
      <c r="I94" s="185" t="s">
        <v>421</v>
      </c>
      <c r="J94" s="185" t="s">
        <v>423</v>
      </c>
      <c r="K94" s="185">
        <v>10</v>
      </c>
      <c r="L94" s="186" t="s">
        <v>219</v>
      </c>
      <c r="M94" s="260">
        <v>20</v>
      </c>
      <c r="N94" s="187">
        <v>128</v>
      </c>
      <c r="O94" s="187">
        <f t="shared" si="18"/>
        <v>1280</v>
      </c>
      <c r="P94" s="183"/>
      <c r="Q94" s="258" t="s">
        <v>426</v>
      </c>
      <c r="R94" s="191"/>
      <c r="S94" s="185"/>
      <c r="T94" s="218"/>
      <c r="U94" s="186"/>
      <c r="V94" s="239">
        <v>200</v>
      </c>
      <c r="W94" s="228">
        <f t="shared" si="19"/>
        <v>2000</v>
      </c>
      <c r="X94" s="242"/>
      <c r="Y94" s="63"/>
      <c r="Z94" s="229" t="e">
        <f t="shared" si="20"/>
        <v>#DIV/0!</v>
      </c>
      <c r="AA94" s="248"/>
      <c r="AB94" s="386" t="s">
        <v>913</v>
      </c>
      <c r="AC94" s="248" t="s">
        <v>456</v>
      </c>
      <c r="AD94" s="260" t="s">
        <v>745</v>
      </c>
      <c r="AE94" s="251"/>
      <c r="AF94" s="248"/>
    </row>
    <row r="95" spans="1:32" s="21" customFormat="1" ht="43.5" customHeight="1">
      <c r="A95" s="185">
        <f>A94+1</f>
        <v>93</v>
      </c>
      <c r="B95" s="247"/>
      <c r="C95" s="185">
        <v>1331</v>
      </c>
      <c r="D95" s="185">
        <v>29</v>
      </c>
      <c r="E95" s="185" t="s">
        <v>209</v>
      </c>
      <c r="F95" s="207" t="s">
        <v>909</v>
      </c>
      <c r="G95" s="185">
        <v>381</v>
      </c>
      <c r="H95" s="185" t="s">
        <v>140</v>
      </c>
      <c r="I95" s="185" t="s">
        <v>421</v>
      </c>
      <c r="J95" s="185" t="s">
        <v>423</v>
      </c>
      <c r="K95" s="185">
        <v>10</v>
      </c>
      <c r="L95" s="186" t="s">
        <v>219</v>
      </c>
      <c r="M95" s="260">
        <v>20</v>
      </c>
      <c r="N95" s="187">
        <v>128</v>
      </c>
      <c r="O95" s="187">
        <f t="shared" ref="O95" si="21">N95*K95</f>
        <v>1280</v>
      </c>
      <c r="P95" s="183"/>
      <c r="Q95" s="258" t="s">
        <v>426</v>
      </c>
      <c r="R95" s="191"/>
      <c r="S95" s="185"/>
      <c r="T95" s="218"/>
      <c r="U95" s="186"/>
      <c r="V95" s="239">
        <v>200</v>
      </c>
      <c r="W95" s="228">
        <f t="shared" ref="W95" si="22">V95*K95</f>
        <v>2000</v>
      </c>
      <c r="X95" s="242"/>
      <c r="Y95" s="63"/>
      <c r="Z95" s="229" t="e">
        <f t="shared" ref="Z95" si="23">W95/O95/Y95</f>
        <v>#DIV/0!</v>
      </c>
      <c r="AA95" s="248"/>
      <c r="AB95" s="204" t="s">
        <v>11</v>
      </c>
      <c r="AC95" s="248" t="s">
        <v>456</v>
      </c>
      <c r="AD95" s="260" t="s">
        <v>745</v>
      </c>
      <c r="AE95" s="251"/>
      <c r="AF95" s="248"/>
    </row>
    <row r="96" spans="1:32" s="21" customFormat="1" ht="43.5" customHeight="1">
      <c r="A96" s="185">
        <f t="shared" si="17"/>
        <v>94</v>
      </c>
      <c r="B96" s="247" t="s">
        <v>490</v>
      </c>
      <c r="C96" s="185">
        <v>1332</v>
      </c>
      <c r="D96" s="185">
        <v>1</v>
      </c>
      <c r="E96" s="185" t="s">
        <v>209</v>
      </c>
      <c r="F96" s="185" t="s">
        <v>455</v>
      </c>
      <c r="G96" s="185">
        <v>381</v>
      </c>
      <c r="H96" s="185" t="s">
        <v>140</v>
      </c>
      <c r="I96" s="185" t="s">
        <v>427</v>
      </c>
      <c r="J96" s="185" t="s">
        <v>442</v>
      </c>
      <c r="K96" s="185">
        <v>1</v>
      </c>
      <c r="L96" s="186" t="s">
        <v>76</v>
      </c>
      <c r="M96" s="248"/>
      <c r="N96" s="187">
        <v>418</v>
      </c>
      <c r="O96" s="187">
        <f t="shared" si="18"/>
        <v>418</v>
      </c>
      <c r="P96" s="183"/>
      <c r="Q96" s="259" t="s">
        <v>457</v>
      </c>
      <c r="R96" s="191"/>
      <c r="S96" s="185"/>
      <c r="T96" s="218"/>
      <c r="U96" s="186"/>
      <c r="V96" s="239">
        <v>570</v>
      </c>
      <c r="W96" s="228">
        <f t="shared" si="19"/>
        <v>570</v>
      </c>
      <c r="X96" s="242"/>
      <c r="Y96" s="63"/>
      <c r="Z96" s="229" t="e">
        <f t="shared" si="20"/>
        <v>#DIV/0!</v>
      </c>
      <c r="AA96" s="248"/>
      <c r="AB96" s="202" t="s">
        <v>15</v>
      </c>
      <c r="AC96" s="248" t="s">
        <v>456</v>
      </c>
      <c r="AD96" s="248"/>
      <c r="AE96" s="251"/>
      <c r="AF96" s="248"/>
    </row>
    <row r="97" spans="1:32" s="21" customFormat="1" ht="43.5" customHeight="1">
      <c r="A97" s="185">
        <f t="shared" si="17"/>
        <v>95</v>
      </c>
      <c r="B97" s="53" t="s">
        <v>490</v>
      </c>
      <c r="C97" s="52">
        <v>1333</v>
      </c>
      <c r="D97" s="52">
        <v>2</v>
      </c>
      <c r="E97" s="52" t="s">
        <v>209</v>
      </c>
      <c r="F97" s="52" t="s">
        <v>503</v>
      </c>
      <c r="G97" s="52">
        <v>381</v>
      </c>
      <c r="H97" s="52" t="s">
        <v>140</v>
      </c>
      <c r="I97" s="52" t="s">
        <v>428</v>
      </c>
      <c r="J97" s="52" t="s">
        <v>443</v>
      </c>
      <c r="K97" s="52">
        <v>4</v>
      </c>
      <c r="L97" s="54" t="s">
        <v>76</v>
      </c>
      <c r="M97" s="60"/>
      <c r="N97" s="55">
        <v>94.85</v>
      </c>
      <c r="O97" s="55">
        <f t="shared" si="18"/>
        <v>379.4</v>
      </c>
      <c r="P97" s="56">
        <v>95.22</v>
      </c>
      <c r="Q97" s="57" t="s">
        <v>457</v>
      </c>
      <c r="R97" s="58"/>
      <c r="S97" s="52"/>
      <c r="T97" s="59"/>
      <c r="U97" s="54"/>
      <c r="V97" s="99">
        <v>130</v>
      </c>
      <c r="W97" s="61">
        <f t="shared" si="19"/>
        <v>520</v>
      </c>
      <c r="X97" s="62"/>
      <c r="Y97" s="63"/>
      <c r="Z97" s="229" t="e">
        <f t="shared" si="20"/>
        <v>#DIV/0!</v>
      </c>
      <c r="AA97" s="350"/>
      <c r="AB97" s="181" t="s">
        <v>39</v>
      </c>
      <c r="AC97" s="60" t="s">
        <v>456</v>
      </c>
      <c r="AD97" s="172"/>
      <c r="AE97" s="64"/>
      <c r="AF97" s="60"/>
    </row>
    <row r="98" spans="1:32" s="21" customFormat="1" ht="43.5" customHeight="1">
      <c r="A98" s="52">
        <f t="shared" si="17"/>
        <v>96</v>
      </c>
      <c r="B98" s="53" t="s">
        <v>490</v>
      </c>
      <c r="C98" s="52">
        <v>1334</v>
      </c>
      <c r="D98" s="52">
        <v>4</v>
      </c>
      <c r="E98" s="52" t="s">
        <v>209</v>
      </c>
      <c r="F98" s="52" t="s">
        <v>206</v>
      </c>
      <c r="G98" s="52">
        <v>381</v>
      </c>
      <c r="H98" s="52" t="s">
        <v>140</v>
      </c>
      <c r="I98" s="52" t="s">
        <v>429</v>
      </c>
      <c r="J98" s="52" t="s">
        <v>444</v>
      </c>
      <c r="K98" s="52">
        <v>2</v>
      </c>
      <c r="L98" s="54" t="s">
        <v>76</v>
      </c>
      <c r="M98" s="60"/>
      <c r="N98" s="55">
        <v>60</v>
      </c>
      <c r="O98" s="55">
        <f t="shared" si="18"/>
        <v>120</v>
      </c>
      <c r="P98" s="56"/>
      <c r="Q98" s="57" t="s">
        <v>457</v>
      </c>
      <c r="R98" s="58"/>
      <c r="S98" s="52"/>
      <c r="T98" s="59"/>
      <c r="U98" s="54"/>
      <c r="V98" s="99">
        <v>100</v>
      </c>
      <c r="W98" s="61">
        <f t="shared" si="19"/>
        <v>200</v>
      </c>
      <c r="X98" s="62"/>
      <c r="Y98" s="63"/>
      <c r="Z98" s="229" t="e">
        <f t="shared" si="20"/>
        <v>#DIV/0!</v>
      </c>
      <c r="AA98" s="350"/>
      <c r="AB98" s="181" t="s">
        <v>39</v>
      </c>
      <c r="AC98" s="60" t="s">
        <v>456</v>
      </c>
      <c r="AD98" s="172"/>
      <c r="AE98" s="64"/>
      <c r="AF98" s="60"/>
    </row>
    <row r="99" spans="1:32" s="21" customFormat="1" ht="43.5" customHeight="1">
      <c r="A99" s="52">
        <f t="shared" si="17"/>
        <v>97</v>
      </c>
      <c r="B99" s="53" t="s">
        <v>490</v>
      </c>
      <c r="C99" s="52">
        <v>1335</v>
      </c>
      <c r="D99" s="52">
        <v>5</v>
      </c>
      <c r="E99" s="52" t="s">
        <v>209</v>
      </c>
      <c r="F99" s="52" t="s">
        <v>504</v>
      </c>
      <c r="G99" s="52">
        <v>381</v>
      </c>
      <c r="H99" s="52" t="s">
        <v>140</v>
      </c>
      <c r="I99" s="52" t="s">
        <v>430</v>
      </c>
      <c r="J99" s="52" t="s">
        <v>445</v>
      </c>
      <c r="K99" s="52">
        <v>1</v>
      </c>
      <c r="L99" s="54" t="s">
        <v>76</v>
      </c>
      <c r="M99" s="60"/>
      <c r="N99" s="55">
        <v>276</v>
      </c>
      <c r="O99" s="55">
        <f t="shared" si="18"/>
        <v>276</v>
      </c>
      <c r="P99" s="56">
        <v>332.97</v>
      </c>
      <c r="Q99" s="57" t="s">
        <v>457</v>
      </c>
      <c r="R99" s="58"/>
      <c r="S99" s="52"/>
      <c r="T99" s="59"/>
      <c r="U99" s="54"/>
      <c r="V99" s="99">
        <v>377</v>
      </c>
      <c r="W99" s="61">
        <f t="shared" si="19"/>
        <v>377</v>
      </c>
      <c r="X99" s="62"/>
      <c r="Y99" s="63"/>
      <c r="Z99" s="229" t="e">
        <f t="shared" si="20"/>
        <v>#DIV/0!</v>
      </c>
      <c r="AA99" s="350"/>
      <c r="AB99" s="181" t="s">
        <v>39</v>
      </c>
      <c r="AC99" s="60" t="s">
        <v>456</v>
      </c>
      <c r="AD99" s="172"/>
      <c r="AE99" s="64"/>
      <c r="AF99" s="60"/>
    </row>
    <row r="100" spans="1:32" s="21" customFormat="1" ht="43.5" customHeight="1">
      <c r="A100" s="52">
        <f t="shared" si="17"/>
        <v>98</v>
      </c>
      <c r="B100" s="53" t="s">
        <v>490</v>
      </c>
      <c r="C100" s="52">
        <v>1336</v>
      </c>
      <c r="D100" s="52">
        <v>6</v>
      </c>
      <c r="E100" s="52" t="s">
        <v>209</v>
      </c>
      <c r="F100" s="52" t="s">
        <v>504</v>
      </c>
      <c r="G100" s="52">
        <v>381</v>
      </c>
      <c r="H100" s="52" t="s">
        <v>140</v>
      </c>
      <c r="I100" s="52" t="s">
        <v>431</v>
      </c>
      <c r="J100" s="52" t="s">
        <v>446</v>
      </c>
      <c r="K100" s="52">
        <v>1</v>
      </c>
      <c r="L100" s="54" t="s">
        <v>76</v>
      </c>
      <c r="M100" s="60"/>
      <c r="N100" s="55">
        <v>331.5</v>
      </c>
      <c r="O100" s="55">
        <f t="shared" si="18"/>
        <v>331.5</v>
      </c>
      <c r="P100" s="56">
        <v>369.16</v>
      </c>
      <c r="Q100" s="57" t="s">
        <v>457</v>
      </c>
      <c r="R100" s="58"/>
      <c r="S100" s="52"/>
      <c r="T100" s="59"/>
      <c r="U100" s="54"/>
      <c r="V100" s="99">
        <v>452</v>
      </c>
      <c r="W100" s="61">
        <f t="shared" si="19"/>
        <v>452</v>
      </c>
      <c r="X100" s="62"/>
      <c r="Y100" s="63"/>
      <c r="Z100" s="229" t="e">
        <f t="shared" si="20"/>
        <v>#DIV/0!</v>
      </c>
      <c r="AA100" s="350"/>
      <c r="AB100" s="181" t="s">
        <v>39</v>
      </c>
      <c r="AC100" s="60" t="s">
        <v>456</v>
      </c>
      <c r="AD100" s="172"/>
      <c r="AE100" s="64"/>
      <c r="AF100" s="60"/>
    </row>
    <row r="101" spans="1:32" s="21" customFormat="1" ht="43.5" customHeight="1">
      <c r="A101" s="52">
        <f t="shared" si="17"/>
        <v>99</v>
      </c>
      <c r="B101" s="53" t="s">
        <v>490</v>
      </c>
      <c r="C101" s="52">
        <v>1337</v>
      </c>
      <c r="D101" s="52">
        <v>7</v>
      </c>
      <c r="E101" s="52" t="s">
        <v>209</v>
      </c>
      <c r="F101" s="52" t="s">
        <v>504</v>
      </c>
      <c r="G101" s="52">
        <v>381</v>
      </c>
      <c r="H101" s="52" t="s">
        <v>140</v>
      </c>
      <c r="I101" s="52" t="s">
        <v>432</v>
      </c>
      <c r="J101" s="52" t="s">
        <v>447</v>
      </c>
      <c r="K101" s="52">
        <v>1</v>
      </c>
      <c r="L101" s="54" t="s">
        <v>76</v>
      </c>
      <c r="M101" s="60"/>
      <c r="N101" s="55">
        <v>331.5</v>
      </c>
      <c r="O101" s="55">
        <f t="shared" si="18"/>
        <v>331.5</v>
      </c>
      <c r="P101" s="56">
        <v>369.16</v>
      </c>
      <c r="Q101" s="57" t="s">
        <v>457</v>
      </c>
      <c r="R101" s="58"/>
      <c r="S101" s="52"/>
      <c r="T101" s="59"/>
      <c r="U101" s="54"/>
      <c r="V101" s="99">
        <v>452</v>
      </c>
      <c r="W101" s="61">
        <f t="shared" si="19"/>
        <v>452</v>
      </c>
      <c r="X101" s="62"/>
      <c r="Y101" s="63"/>
      <c r="Z101" s="229" t="e">
        <f t="shared" si="20"/>
        <v>#DIV/0!</v>
      </c>
      <c r="AA101" s="350"/>
      <c r="AB101" s="181" t="s">
        <v>39</v>
      </c>
      <c r="AC101" s="60" t="s">
        <v>456</v>
      </c>
      <c r="AD101" s="172"/>
      <c r="AE101" s="64"/>
      <c r="AF101" s="60"/>
    </row>
    <row r="102" spans="1:32" s="21" customFormat="1" ht="43.5" customHeight="1">
      <c r="A102" s="52">
        <f t="shared" si="17"/>
        <v>100</v>
      </c>
      <c r="B102" s="53" t="s">
        <v>490</v>
      </c>
      <c r="C102" s="52">
        <v>1338</v>
      </c>
      <c r="D102" s="115">
        <v>11</v>
      </c>
      <c r="E102" s="52" t="s">
        <v>209</v>
      </c>
      <c r="F102" s="52" t="s">
        <v>455</v>
      </c>
      <c r="G102" s="52">
        <v>381</v>
      </c>
      <c r="H102" s="52" t="s">
        <v>140</v>
      </c>
      <c r="I102" s="121" t="s">
        <v>433</v>
      </c>
      <c r="J102" s="52" t="s">
        <v>448</v>
      </c>
      <c r="K102" s="52">
        <v>1</v>
      </c>
      <c r="L102" s="54" t="s">
        <v>76</v>
      </c>
      <c r="M102" s="60"/>
      <c r="N102" s="55">
        <v>315</v>
      </c>
      <c r="O102" s="55">
        <f t="shared" si="18"/>
        <v>315</v>
      </c>
      <c r="P102" s="56"/>
      <c r="Q102" s="57" t="s">
        <v>457</v>
      </c>
      <c r="R102" s="58"/>
      <c r="S102" s="52"/>
      <c r="T102" s="59"/>
      <c r="U102" s="54"/>
      <c r="V102" s="99">
        <v>430</v>
      </c>
      <c r="W102" s="61">
        <f t="shared" si="19"/>
        <v>430</v>
      </c>
      <c r="X102" s="62"/>
      <c r="Y102" s="63"/>
      <c r="Z102" s="229" t="e">
        <f t="shared" si="20"/>
        <v>#DIV/0!</v>
      </c>
      <c r="AA102" s="350">
        <v>121</v>
      </c>
      <c r="AB102" s="181" t="s">
        <v>39</v>
      </c>
      <c r="AC102" s="60" t="s">
        <v>456</v>
      </c>
      <c r="AD102" s="172"/>
      <c r="AE102" s="64"/>
      <c r="AF102" s="60"/>
    </row>
    <row r="103" spans="1:32" s="21" customFormat="1" ht="43.5" customHeight="1">
      <c r="A103" s="52">
        <f t="shared" si="17"/>
        <v>101</v>
      </c>
      <c r="B103" s="53" t="s">
        <v>490</v>
      </c>
      <c r="C103" s="52">
        <v>1339</v>
      </c>
      <c r="D103" s="52">
        <v>12</v>
      </c>
      <c r="E103" s="52" t="s">
        <v>209</v>
      </c>
      <c r="F103" s="52" t="s">
        <v>503</v>
      </c>
      <c r="G103" s="52">
        <v>381</v>
      </c>
      <c r="H103" s="52" t="s">
        <v>140</v>
      </c>
      <c r="I103" s="52" t="s">
        <v>434</v>
      </c>
      <c r="J103" s="52" t="s">
        <v>443</v>
      </c>
      <c r="K103" s="52">
        <v>2</v>
      </c>
      <c r="L103" s="54" t="s">
        <v>76</v>
      </c>
      <c r="M103" s="60"/>
      <c r="N103" s="55">
        <v>94.65</v>
      </c>
      <c r="O103" s="55">
        <f t="shared" si="18"/>
        <v>189.3</v>
      </c>
      <c r="P103" s="56">
        <v>95.22</v>
      </c>
      <c r="Q103" s="57" t="s">
        <v>457</v>
      </c>
      <c r="R103" s="58"/>
      <c r="S103" s="52"/>
      <c r="T103" s="59"/>
      <c r="U103" s="54"/>
      <c r="V103" s="99">
        <v>130</v>
      </c>
      <c r="W103" s="61">
        <f t="shared" si="19"/>
        <v>260</v>
      </c>
      <c r="X103" s="62"/>
      <c r="Y103" s="63"/>
      <c r="Z103" s="229" t="e">
        <f t="shared" si="20"/>
        <v>#DIV/0!</v>
      </c>
      <c r="AA103" s="350"/>
      <c r="AB103" s="181" t="s">
        <v>39</v>
      </c>
      <c r="AC103" s="60" t="s">
        <v>456</v>
      </c>
      <c r="AD103" s="172"/>
      <c r="AE103" s="64"/>
      <c r="AF103" s="60"/>
    </row>
    <row r="104" spans="1:32" s="21" customFormat="1" ht="43.5" customHeight="1">
      <c r="A104" s="52">
        <f t="shared" si="17"/>
        <v>102</v>
      </c>
      <c r="B104" s="53" t="s">
        <v>490</v>
      </c>
      <c r="C104" s="52">
        <v>1340</v>
      </c>
      <c r="D104" s="115">
        <v>13</v>
      </c>
      <c r="E104" s="52" t="s">
        <v>209</v>
      </c>
      <c r="F104" s="52" t="s">
        <v>503</v>
      </c>
      <c r="G104" s="52">
        <v>381</v>
      </c>
      <c r="H104" s="52" t="s">
        <v>140</v>
      </c>
      <c r="I104" s="121" t="s">
        <v>435</v>
      </c>
      <c r="J104" s="52" t="s">
        <v>443</v>
      </c>
      <c r="K104" s="52">
        <v>2</v>
      </c>
      <c r="L104" s="54" t="s">
        <v>76</v>
      </c>
      <c r="M104" s="60"/>
      <c r="N104" s="55">
        <v>119.75</v>
      </c>
      <c r="O104" s="55">
        <f t="shared" si="18"/>
        <v>239.5</v>
      </c>
      <c r="P104" s="56">
        <v>119.31</v>
      </c>
      <c r="Q104" s="57" t="s">
        <v>457</v>
      </c>
      <c r="R104" s="58"/>
      <c r="S104" s="52"/>
      <c r="T104" s="59"/>
      <c r="U104" s="54"/>
      <c r="V104" s="99">
        <v>165</v>
      </c>
      <c r="W104" s="61">
        <f t="shared" si="19"/>
        <v>330</v>
      </c>
      <c r="X104" s="62"/>
      <c r="Y104" s="63"/>
      <c r="Z104" s="229" t="e">
        <f t="shared" si="20"/>
        <v>#DIV/0!</v>
      </c>
      <c r="AA104" s="350"/>
      <c r="AB104" s="181" t="s">
        <v>39</v>
      </c>
      <c r="AC104" s="60" t="s">
        <v>456</v>
      </c>
      <c r="AD104" s="172"/>
      <c r="AE104" s="64"/>
      <c r="AF104" s="60"/>
    </row>
    <row r="105" spans="1:32" s="21" customFormat="1" ht="43.5" customHeight="1">
      <c r="A105" s="52">
        <f t="shared" si="17"/>
        <v>103</v>
      </c>
      <c r="B105" s="53" t="s">
        <v>490</v>
      </c>
      <c r="C105" s="52">
        <v>1341</v>
      </c>
      <c r="D105" s="115">
        <v>14</v>
      </c>
      <c r="E105" s="52" t="s">
        <v>209</v>
      </c>
      <c r="F105" s="52" t="s">
        <v>455</v>
      </c>
      <c r="G105" s="52">
        <v>381</v>
      </c>
      <c r="H105" s="52" t="s">
        <v>140</v>
      </c>
      <c r="I105" s="121" t="s">
        <v>436</v>
      </c>
      <c r="J105" s="52" t="s">
        <v>449</v>
      </c>
      <c r="K105" s="52">
        <v>2</v>
      </c>
      <c r="L105" s="54" t="s">
        <v>76</v>
      </c>
      <c r="M105" s="60"/>
      <c r="N105" s="56">
        <v>119</v>
      </c>
      <c r="O105" s="55">
        <f t="shared" si="18"/>
        <v>238</v>
      </c>
      <c r="P105" s="56"/>
      <c r="Q105" s="57" t="s">
        <v>457</v>
      </c>
      <c r="R105" s="58"/>
      <c r="S105" s="52"/>
      <c r="T105" s="59"/>
      <c r="U105" s="54"/>
      <c r="V105" s="99">
        <v>165</v>
      </c>
      <c r="W105" s="61">
        <f t="shared" si="19"/>
        <v>330</v>
      </c>
      <c r="X105" s="62"/>
      <c r="Y105" s="63"/>
      <c r="Z105" s="229" t="e">
        <f t="shared" si="20"/>
        <v>#DIV/0!</v>
      </c>
      <c r="AA105" s="350">
        <v>121</v>
      </c>
      <c r="AB105" s="181" t="s">
        <v>39</v>
      </c>
      <c r="AC105" s="60" t="s">
        <v>456</v>
      </c>
      <c r="AD105" s="172"/>
      <c r="AE105" s="64"/>
      <c r="AF105" s="60"/>
    </row>
    <row r="106" spans="1:32" s="21" customFormat="1" ht="43.5" customHeight="1">
      <c r="A106" s="52">
        <f t="shared" si="17"/>
        <v>104</v>
      </c>
      <c r="B106" s="53" t="s">
        <v>490</v>
      </c>
      <c r="C106" s="52">
        <v>1342</v>
      </c>
      <c r="D106" s="115">
        <v>15</v>
      </c>
      <c r="E106" s="52" t="s">
        <v>209</v>
      </c>
      <c r="F106" s="52" t="s">
        <v>503</v>
      </c>
      <c r="G106" s="52">
        <v>381</v>
      </c>
      <c r="H106" s="52" t="s">
        <v>140</v>
      </c>
      <c r="I106" s="209" t="s">
        <v>437</v>
      </c>
      <c r="J106" s="52" t="s">
        <v>450</v>
      </c>
      <c r="K106" s="52">
        <v>2</v>
      </c>
      <c r="L106" s="54" t="s">
        <v>76</v>
      </c>
      <c r="M106" s="60"/>
      <c r="N106" s="55">
        <v>137.75</v>
      </c>
      <c r="O106" s="55">
        <f t="shared" si="18"/>
        <v>275.5</v>
      </c>
      <c r="P106" s="56">
        <v>146.62</v>
      </c>
      <c r="Q106" s="57" t="s">
        <v>457</v>
      </c>
      <c r="R106" s="58"/>
      <c r="S106" s="52"/>
      <c r="T106" s="59"/>
      <c r="U106" s="54"/>
      <c r="V106" s="99">
        <v>190</v>
      </c>
      <c r="W106" s="61">
        <f t="shared" si="19"/>
        <v>380</v>
      </c>
      <c r="X106" s="62"/>
      <c r="Y106" s="63"/>
      <c r="Z106" s="229" t="e">
        <f t="shared" si="20"/>
        <v>#DIV/0!</v>
      </c>
      <c r="AA106" s="350"/>
      <c r="AB106" s="181" t="s">
        <v>39</v>
      </c>
      <c r="AC106" s="60" t="s">
        <v>456</v>
      </c>
      <c r="AD106" s="172"/>
      <c r="AE106" s="64"/>
      <c r="AF106" s="60"/>
    </row>
    <row r="107" spans="1:32" s="21" customFormat="1" ht="43.5" customHeight="1">
      <c r="A107" s="52">
        <f t="shared" si="17"/>
        <v>105</v>
      </c>
      <c r="B107" s="53" t="s">
        <v>490</v>
      </c>
      <c r="C107" s="52">
        <v>1343</v>
      </c>
      <c r="D107" s="115">
        <v>16</v>
      </c>
      <c r="E107" s="52" t="s">
        <v>209</v>
      </c>
      <c r="F107" s="52" t="s">
        <v>455</v>
      </c>
      <c r="G107" s="52">
        <v>381</v>
      </c>
      <c r="H107" s="52" t="s">
        <v>140</v>
      </c>
      <c r="I107" s="121" t="s">
        <v>438</v>
      </c>
      <c r="J107" s="52" t="s">
        <v>451</v>
      </c>
      <c r="K107" s="52">
        <v>3</v>
      </c>
      <c r="L107" s="54" t="s">
        <v>76</v>
      </c>
      <c r="M107" s="60"/>
      <c r="N107" s="55">
        <v>119</v>
      </c>
      <c r="O107" s="55">
        <f t="shared" si="18"/>
        <v>357</v>
      </c>
      <c r="P107" s="56"/>
      <c r="Q107" s="57" t="s">
        <v>457</v>
      </c>
      <c r="R107" s="58"/>
      <c r="S107" s="52"/>
      <c r="T107" s="59"/>
      <c r="U107" s="54"/>
      <c r="V107" s="99">
        <v>165</v>
      </c>
      <c r="W107" s="61">
        <f t="shared" si="19"/>
        <v>495</v>
      </c>
      <c r="X107" s="62"/>
      <c r="Y107" s="63"/>
      <c r="Z107" s="229" t="e">
        <f t="shared" si="20"/>
        <v>#DIV/0!</v>
      </c>
      <c r="AA107" s="350">
        <v>121</v>
      </c>
      <c r="AB107" s="181" t="s">
        <v>39</v>
      </c>
      <c r="AC107" s="60" t="s">
        <v>456</v>
      </c>
      <c r="AD107" s="172"/>
      <c r="AE107" s="64"/>
      <c r="AF107" s="60"/>
    </row>
    <row r="108" spans="1:32" s="21" customFormat="1" ht="43.5" customHeight="1">
      <c r="A108" s="52">
        <f t="shared" si="17"/>
        <v>106</v>
      </c>
      <c r="B108" s="53" t="s">
        <v>490</v>
      </c>
      <c r="C108" s="52">
        <v>1344</v>
      </c>
      <c r="D108" s="115">
        <v>17</v>
      </c>
      <c r="E108" s="52" t="s">
        <v>209</v>
      </c>
      <c r="F108" s="52" t="s">
        <v>455</v>
      </c>
      <c r="G108" s="52">
        <v>381</v>
      </c>
      <c r="H108" s="52" t="s">
        <v>140</v>
      </c>
      <c r="I108" s="121" t="s">
        <v>439</v>
      </c>
      <c r="J108" s="52" t="s">
        <v>452</v>
      </c>
      <c r="K108" s="52">
        <v>5</v>
      </c>
      <c r="L108" s="54" t="s">
        <v>76</v>
      </c>
      <c r="M108" s="60"/>
      <c r="N108" s="55">
        <v>120</v>
      </c>
      <c r="O108" s="55">
        <f t="shared" si="18"/>
        <v>600</v>
      </c>
      <c r="P108" s="56"/>
      <c r="Q108" s="57" t="s">
        <v>457</v>
      </c>
      <c r="R108" s="58"/>
      <c r="S108" s="52"/>
      <c r="T108" s="59"/>
      <c r="U108" s="54"/>
      <c r="V108" s="99">
        <v>165</v>
      </c>
      <c r="W108" s="61">
        <f t="shared" si="19"/>
        <v>825</v>
      </c>
      <c r="X108" s="62"/>
      <c r="Y108" s="63"/>
      <c r="Z108" s="229" t="e">
        <f t="shared" si="20"/>
        <v>#DIV/0!</v>
      </c>
      <c r="AA108" s="350">
        <v>121</v>
      </c>
      <c r="AB108" s="181" t="s">
        <v>39</v>
      </c>
      <c r="AC108" s="60" t="s">
        <v>456</v>
      </c>
      <c r="AD108" s="172"/>
      <c r="AE108" s="64"/>
      <c r="AF108" s="60"/>
    </row>
    <row r="109" spans="1:32" s="21" customFormat="1" ht="43.5" customHeight="1">
      <c r="A109" s="52">
        <f t="shared" si="17"/>
        <v>107</v>
      </c>
      <c r="B109" s="53" t="s">
        <v>490</v>
      </c>
      <c r="C109" s="52">
        <v>1345</v>
      </c>
      <c r="D109" s="52">
        <v>18</v>
      </c>
      <c r="E109" s="52" t="s">
        <v>209</v>
      </c>
      <c r="F109" s="52" t="s">
        <v>503</v>
      </c>
      <c r="G109" s="52">
        <v>381</v>
      </c>
      <c r="H109" s="52" t="s">
        <v>140</v>
      </c>
      <c r="I109" s="52" t="s">
        <v>440</v>
      </c>
      <c r="J109" s="52" t="s">
        <v>453</v>
      </c>
      <c r="K109" s="52">
        <v>3</v>
      </c>
      <c r="L109" s="54" t="s">
        <v>76</v>
      </c>
      <c r="M109" s="60"/>
      <c r="N109" s="55">
        <v>228</v>
      </c>
      <c r="O109" s="55">
        <f t="shared" si="18"/>
        <v>684</v>
      </c>
      <c r="P109" s="56">
        <v>291.11</v>
      </c>
      <c r="Q109" s="57" t="s">
        <v>457</v>
      </c>
      <c r="R109" s="58"/>
      <c r="S109" s="52"/>
      <c r="T109" s="59"/>
      <c r="U109" s="54"/>
      <c r="V109" s="99">
        <v>311</v>
      </c>
      <c r="W109" s="61">
        <f t="shared" si="19"/>
        <v>933</v>
      </c>
      <c r="X109" s="62"/>
      <c r="Y109" s="63"/>
      <c r="Z109" s="229" t="e">
        <f t="shared" si="20"/>
        <v>#DIV/0!</v>
      </c>
      <c r="AA109" s="350"/>
      <c r="AB109" s="181" t="s">
        <v>39</v>
      </c>
      <c r="AC109" s="60" t="s">
        <v>456</v>
      </c>
      <c r="AD109" s="172"/>
      <c r="AE109" s="64"/>
      <c r="AF109" s="60"/>
    </row>
    <row r="110" spans="1:32" s="21" customFormat="1" ht="43.5" customHeight="1">
      <c r="A110" s="52">
        <f t="shared" si="17"/>
        <v>108</v>
      </c>
      <c r="B110" s="53" t="s">
        <v>490</v>
      </c>
      <c r="C110" s="52">
        <v>1346</v>
      </c>
      <c r="D110" s="115">
        <v>19</v>
      </c>
      <c r="E110" s="52" t="s">
        <v>209</v>
      </c>
      <c r="F110" s="52" t="s">
        <v>455</v>
      </c>
      <c r="G110" s="52">
        <v>381</v>
      </c>
      <c r="H110" s="52" t="s">
        <v>140</v>
      </c>
      <c r="I110" s="121" t="s">
        <v>441</v>
      </c>
      <c r="J110" s="52" t="s">
        <v>454</v>
      </c>
      <c r="K110" s="52">
        <v>5</v>
      </c>
      <c r="L110" s="54" t="s">
        <v>76</v>
      </c>
      <c r="M110" s="60"/>
      <c r="N110" s="55">
        <v>120</v>
      </c>
      <c r="O110" s="55">
        <f t="shared" si="18"/>
        <v>600</v>
      </c>
      <c r="P110" s="56"/>
      <c r="Q110" s="57" t="s">
        <v>457</v>
      </c>
      <c r="R110" s="58"/>
      <c r="S110" s="52"/>
      <c r="T110" s="59"/>
      <c r="U110" s="54"/>
      <c r="V110" s="99">
        <v>165</v>
      </c>
      <c r="W110" s="61">
        <f t="shared" si="19"/>
        <v>825</v>
      </c>
      <c r="X110" s="62"/>
      <c r="Y110" s="63"/>
      <c r="Z110" s="229" t="e">
        <f t="shared" si="20"/>
        <v>#DIV/0!</v>
      </c>
      <c r="AA110" s="350">
        <v>121</v>
      </c>
      <c r="AB110" s="181" t="s">
        <v>39</v>
      </c>
      <c r="AC110" s="60" t="s">
        <v>456</v>
      </c>
      <c r="AD110" s="172"/>
      <c r="AE110" s="64"/>
      <c r="AF110" s="60"/>
    </row>
    <row r="111" spans="1:32" s="21" customFormat="1" ht="43.5" customHeight="1">
      <c r="A111" s="185">
        <f t="shared" si="17"/>
        <v>109</v>
      </c>
      <c r="B111" s="247"/>
      <c r="C111" s="185">
        <v>1520</v>
      </c>
      <c r="D111" s="185">
        <v>20</v>
      </c>
      <c r="E111" s="185" t="s">
        <v>209</v>
      </c>
      <c r="F111" s="185" t="s">
        <v>747</v>
      </c>
      <c r="G111" s="185">
        <v>381</v>
      </c>
      <c r="H111" s="185" t="s">
        <v>140</v>
      </c>
      <c r="I111" s="185" t="s">
        <v>573</v>
      </c>
      <c r="J111" s="185" t="s">
        <v>574</v>
      </c>
      <c r="K111" s="185">
        <v>1</v>
      </c>
      <c r="L111" s="186" t="s">
        <v>76</v>
      </c>
      <c r="M111" s="248"/>
      <c r="N111" s="187">
        <v>508.01</v>
      </c>
      <c r="O111" s="187">
        <f t="shared" si="18"/>
        <v>508.01</v>
      </c>
      <c r="P111" s="183"/>
      <c r="Q111" s="259" t="s">
        <v>457</v>
      </c>
      <c r="R111" s="191"/>
      <c r="S111" s="185"/>
      <c r="T111" s="218"/>
      <c r="U111" s="186"/>
      <c r="V111" s="239">
        <v>730</v>
      </c>
      <c r="W111" s="228">
        <f t="shared" si="19"/>
        <v>730</v>
      </c>
      <c r="X111" s="242"/>
      <c r="Y111" s="133"/>
      <c r="Z111" s="229" t="e">
        <f t="shared" si="20"/>
        <v>#DIV/0!</v>
      </c>
      <c r="AA111" s="248"/>
      <c r="AB111" s="195" t="s">
        <v>22</v>
      </c>
      <c r="AC111" s="248"/>
      <c r="AD111" s="248"/>
      <c r="AE111" s="251"/>
      <c r="AF111" s="248"/>
    </row>
    <row r="112" spans="1:32" s="21" customFormat="1" ht="43.5" customHeight="1">
      <c r="A112" s="185">
        <f t="shared" si="17"/>
        <v>110</v>
      </c>
      <c r="B112" s="247"/>
      <c r="C112" s="185">
        <v>1521</v>
      </c>
      <c r="D112" s="185">
        <v>21</v>
      </c>
      <c r="E112" s="185" t="s">
        <v>209</v>
      </c>
      <c r="F112" s="185" t="s">
        <v>747</v>
      </c>
      <c r="G112" s="185">
        <v>381</v>
      </c>
      <c r="H112" s="185" t="s">
        <v>140</v>
      </c>
      <c r="I112" s="185" t="s">
        <v>575</v>
      </c>
      <c r="J112" s="185" t="s">
        <v>576</v>
      </c>
      <c r="K112" s="185">
        <v>2</v>
      </c>
      <c r="L112" s="186" t="s">
        <v>76</v>
      </c>
      <c r="M112" s="248"/>
      <c r="N112" s="187">
        <v>317.17</v>
      </c>
      <c r="O112" s="187">
        <f t="shared" si="18"/>
        <v>634.34</v>
      </c>
      <c r="P112" s="183"/>
      <c r="Q112" s="259" t="s">
        <v>457</v>
      </c>
      <c r="R112" s="191"/>
      <c r="S112" s="185"/>
      <c r="T112" s="218"/>
      <c r="U112" s="186"/>
      <c r="V112" s="239">
        <v>425</v>
      </c>
      <c r="W112" s="228">
        <f t="shared" si="19"/>
        <v>850</v>
      </c>
      <c r="X112" s="242"/>
      <c r="Y112" s="133"/>
      <c r="Z112" s="229" t="e">
        <f t="shared" si="20"/>
        <v>#DIV/0!</v>
      </c>
      <c r="AA112" s="248"/>
      <c r="AB112" s="195" t="s">
        <v>22</v>
      </c>
      <c r="AC112" s="248"/>
      <c r="AD112" s="248"/>
      <c r="AE112" s="251"/>
      <c r="AF112" s="248"/>
    </row>
    <row r="113" spans="1:32" s="21" customFormat="1" ht="43.5" customHeight="1">
      <c r="A113" s="185">
        <f t="shared" si="17"/>
        <v>111</v>
      </c>
      <c r="B113" s="247" t="s">
        <v>632</v>
      </c>
      <c r="C113" s="185">
        <v>1347</v>
      </c>
      <c r="D113" s="185">
        <v>1</v>
      </c>
      <c r="E113" s="185" t="s">
        <v>79</v>
      </c>
      <c r="F113" s="185" t="s">
        <v>642</v>
      </c>
      <c r="G113" s="185">
        <v>379</v>
      </c>
      <c r="H113" s="185" t="s">
        <v>77</v>
      </c>
      <c r="I113" s="185" t="s">
        <v>459</v>
      </c>
      <c r="J113" s="185" t="s">
        <v>462</v>
      </c>
      <c r="K113" s="185">
        <v>1</v>
      </c>
      <c r="L113" s="186" t="s">
        <v>122</v>
      </c>
      <c r="M113" s="248"/>
      <c r="N113" s="199">
        <v>2800</v>
      </c>
      <c r="O113" s="187">
        <f t="shared" si="18"/>
        <v>2800</v>
      </c>
      <c r="P113" s="183"/>
      <c r="Q113" s="218" t="s">
        <v>463</v>
      </c>
      <c r="R113" s="191">
        <v>45605</v>
      </c>
      <c r="S113" s="185" t="s">
        <v>464</v>
      </c>
      <c r="T113" s="218" t="s">
        <v>193</v>
      </c>
      <c r="U113" s="186"/>
      <c r="V113" s="239">
        <v>4150</v>
      </c>
      <c r="W113" s="228">
        <f t="shared" si="19"/>
        <v>4150</v>
      </c>
      <c r="X113" s="242"/>
      <c r="Y113" s="157">
        <v>1.28</v>
      </c>
      <c r="Z113" s="229">
        <f t="shared" si="20"/>
        <v>1.1579241071428572</v>
      </c>
      <c r="AA113" s="248"/>
      <c r="AB113" s="203" t="s">
        <v>17</v>
      </c>
      <c r="AC113" s="247" t="s">
        <v>674</v>
      </c>
      <c r="AD113" s="247"/>
      <c r="AE113" s="251"/>
      <c r="AF113" s="247"/>
    </row>
    <row r="114" spans="1:32" s="21" customFormat="1" ht="43.5" customHeight="1">
      <c r="A114" s="52">
        <f t="shared" si="17"/>
        <v>112</v>
      </c>
      <c r="B114" s="53" t="s">
        <v>387</v>
      </c>
      <c r="C114" s="52">
        <v>1348</v>
      </c>
      <c r="D114" s="52">
        <v>2</v>
      </c>
      <c r="E114" s="52" t="s">
        <v>79</v>
      </c>
      <c r="F114" s="52" t="s">
        <v>369</v>
      </c>
      <c r="G114" s="52">
        <v>379</v>
      </c>
      <c r="H114" s="52" t="s">
        <v>77</v>
      </c>
      <c r="I114" s="52" t="s">
        <v>460</v>
      </c>
      <c r="J114" s="52" t="s">
        <v>268</v>
      </c>
      <c r="K114" s="52">
        <v>100</v>
      </c>
      <c r="L114" s="54" t="s">
        <v>76</v>
      </c>
      <c r="M114" s="60"/>
      <c r="N114" s="55">
        <v>4.5999999999999996</v>
      </c>
      <c r="O114" s="55">
        <f t="shared" si="18"/>
        <v>459.99999999999994</v>
      </c>
      <c r="P114" s="56"/>
      <c r="Q114" s="59" t="s">
        <v>463</v>
      </c>
      <c r="R114" s="58">
        <v>45605</v>
      </c>
      <c r="S114" s="52" t="s">
        <v>464</v>
      </c>
      <c r="T114" s="59" t="s">
        <v>85</v>
      </c>
      <c r="U114" s="54"/>
      <c r="V114" s="99">
        <v>9</v>
      </c>
      <c r="W114" s="61">
        <f t="shared" si="19"/>
        <v>900</v>
      </c>
      <c r="X114" s="62"/>
      <c r="Y114" s="63">
        <v>1.28</v>
      </c>
      <c r="Z114" s="229">
        <f t="shared" si="20"/>
        <v>1.5285326086956523</v>
      </c>
      <c r="AA114" s="350">
        <v>91</v>
      </c>
      <c r="AB114" s="181" t="s">
        <v>39</v>
      </c>
      <c r="AC114" s="60"/>
      <c r="AD114" s="172"/>
      <c r="AE114" s="64"/>
      <c r="AF114" s="60"/>
    </row>
    <row r="115" spans="1:32" s="21" customFormat="1" ht="43.5" customHeight="1">
      <c r="A115" s="52">
        <f t="shared" si="17"/>
        <v>113</v>
      </c>
      <c r="B115" s="53" t="s">
        <v>387</v>
      </c>
      <c r="C115" s="52">
        <v>1349</v>
      </c>
      <c r="D115" s="52">
        <v>3</v>
      </c>
      <c r="E115" s="52" t="s">
        <v>79</v>
      </c>
      <c r="F115" s="52" t="s">
        <v>472</v>
      </c>
      <c r="G115" s="52">
        <v>379</v>
      </c>
      <c r="H115" s="52" t="s">
        <v>77</v>
      </c>
      <c r="I115" s="52" t="s">
        <v>461</v>
      </c>
      <c r="J115" s="52" t="s">
        <v>245</v>
      </c>
      <c r="K115" s="52">
        <v>3</v>
      </c>
      <c r="L115" s="54" t="s">
        <v>76</v>
      </c>
      <c r="M115" s="60"/>
      <c r="N115" s="55">
        <v>750</v>
      </c>
      <c r="O115" s="55">
        <f t="shared" si="18"/>
        <v>2250</v>
      </c>
      <c r="P115" s="56"/>
      <c r="Q115" s="59" t="s">
        <v>463</v>
      </c>
      <c r="R115" s="58">
        <v>45605</v>
      </c>
      <c r="S115" s="52" t="s">
        <v>464</v>
      </c>
      <c r="T115" s="59" t="s">
        <v>85</v>
      </c>
      <c r="U115" s="54"/>
      <c r="V115" s="99">
        <v>1480</v>
      </c>
      <c r="W115" s="61">
        <f t="shared" si="19"/>
        <v>4440</v>
      </c>
      <c r="X115" s="62"/>
      <c r="Y115" s="63"/>
      <c r="Z115" s="229" t="e">
        <f t="shared" si="20"/>
        <v>#DIV/0!</v>
      </c>
      <c r="AA115" s="350">
        <v>97</v>
      </c>
      <c r="AB115" s="181" t="s">
        <v>39</v>
      </c>
      <c r="AC115" s="60"/>
      <c r="AD115" s="172"/>
      <c r="AE115" s="64"/>
      <c r="AF115" s="60"/>
    </row>
    <row r="116" spans="1:32" s="21" customFormat="1" ht="43.5" customHeight="1">
      <c r="A116" s="52">
        <f t="shared" si="17"/>
        <v>114</v>
      </c>
      <c r="B116" s="53" t="s">
        <v>387</v>
      </c>
      <c r="C116" s="122">
        <v>1379</v>
      </c>
      <c r="D116" s="52">
        <v>1</v>
      </c>
      <c r="E116" s="52" t="s">
        <v>79</v>
      </c>
      <c r="F116" s="52" t="s">
        <v>292</v>
      </c>
      <c r="G116" s="52">
        <v>379</v>
      </c>
      <c r="H116" s="52" t="s">
        <v>77</v>
      </c>
      <c r="I116" s="52" t="s">
        <v>495</v>
      </c>
      <c r="J116" s="52" t="s">
        <v>496</v>
      </c>
      <c r="K116" s="52">
        <v>1</v>
      </c>
      <c r="L116" s="54" t="s">
        <v>497</v>
      </c>
      <c r="M116" s="60"/>
      <c r="N116" s="55">
        <v>200</v>
      </c>
      <c r="O116" s="55">
        <f t="shared" si="18"/>
        <v>200</v>
      </c>
      <c r="P116" s="56"/>
      <c r="Q116" s="59" t="s">
        <v>501</v>
      </c>
      <c r="R116" s="58">
        <v>45615</v>
      </c>
      <c r="S116" s="52" t="s">
        <v>500</v>
      </c>
      <c r="T116" s="59" t="s">
        <v>85</v>
      </c>
      <c r="U116" s="54"/>
      <c r="V116" s="99">
        <v>760</v>
      </c>
      <c r="W116" s="61">
        <f t="shared" si="19"/>
        <v>760</v>
      </c>
      <c r="X116" s="62"/>
      <c r="Y116" s="63"/>
      <c r="Z116" s="229" t="e">
        <f t="shared" si="20"/>
        <v>#DIV/0!</v>
      </c>
      <c r="AA116" s="350"/>
      <c r="AB116" s="181" t="s">
        <v>39</v>
      </c>
      <c r="AC116" s="60"/>
      <c r="AD116" s="172"/>
      <c r="AE116" s="64"/>
      <c r="AF116" s="60"/>
    </row>
    <row r="117" spans="1:32" s="21" customFormat="1" ht="43.5" customHeight="1">
      <c r="A117" s="52">
        <f t="shared" si="17"/>
        <v>115</v>
      </c>
      <c r="B117" s="53" t="s">
        <v>387</v>
      </c>
      <c r="C117" s="122">
        <v>1380</v>
      </c>
      <c r="D117" s="52">
        <v>2</v>
      </c>
      <c r="E117" s="52" t="s">
        <v>79</v>
      </c>
      <c r="F117" s="52" t="s">
        <v>514</v>
      </c>
      <c r="G117" s="52">
        <v>379</v>
      </c>
      <c r="H117" s="52" t="s">
        <v>77</v>
      </c>
      <c r="I117" s="52" t="s">
        <v>498</v>
      </c>
      <c r="J117" s="52" t="s">
        <v>499</v>
      </c>
      <c r="K117" s="52">
        <v>1</v>
      </c>
      <c r="L117" s="54" t="s">
        <v>125</v>
      </c>
      <c r="M117" s="60"/>
      <c r="N117" s="55">
        <v>44000</v>
      </c>
      <c r="O117" s="55">
        <f t="shared" si="18"/>
        <v>44000</v>
      </c>
      <c r="P117" s="56"/>
      <c r="Q117" s="59" t="s">
        <v>501</v>
      </c>
      <c r="R117" s="58">
        <v>45615</v>
      </c>
      <c r="S117" s="52" t="s">
        <v>500</v>
      </c>
      <c r="T117" s="59" t="s">
        <v>85</v>
      </c>
      <c r="U117" s="54"/>
      <c r="V117" s="99">
        <v>79460</v>
      </c>
      <c r="W117" s="61">
        <f t="shared" si="19"/>
        <v>79460</v>
      </c>
      <c r="X117" s="62"/>
      <c r="Y117" s="63"/>
      <c r="Z117" s="229" t="e">
        <f t="shared" si="20"/>
        <v>#DIV/0!</v>
      </c>
      <c r="AA117" s="350">
        <v>117</v>
      </c>
      <c r="AB117" s="181" t="s">
        <v>39</v>
      </c>
      <c r="AC117" s="60"/>
      <c r="AD117" s="172"/>
      <c r="AE117" s="166">
        <f>O117*900/($O$53+$O$60+$O$61+$O$62+$O$64+$O$72+$O$117)</f>
        <v>734.9393118295535</v>
      </c>
      <c r="AF117" s="60" t="s">
        <v>669</v>
      </c>
    </row>
    <row r="118" spans="1:32" s="21" customFormat="1" ht="43.5" customHeight="1">
      <c r="A118" s="52">
        <f t="shared" si="17"/>
        <v>116</v>
      </c>
      <c r="B118" s="53" t="s">
        <v>387</v>
      </c>
      <c r="C118" s="122">
        <v>1381</v>
      </c>
      <c r="D118" s="52">
        <v>3</v>
      </c>
      <c r="E118" s="52" t="s">
        <v>79</v>
      </c>
      <c r="F118" s="52" t="s">
        <v>103</v>
      </c>
      <c r="G118" s="52">
        <v>379</v>
      </c>
      <c r="H118" s="52" t="s">
        <v>77</v>
      </c>
      <c r="I118" s="52" t="s">
        <v>254</v>
      </c>
      <c r="J118" s="52" t="s">
        <v>162</v>
      </c>
      <c r="K118" s="52">
        <v>50</v>
      </c>
      <c r="L118" s="54" t="s">
        <v>76</v>
      </c>
      <c r="M118" s="60"/>
      <c r="N118" s="55">
        <v>17.309999999999999</v>
      </c>
      <c r="O118" s="55">
        <f t="shared" si="18"/>
        <v>865.49999999999989</v>
      </c>
      <c r="P118" s="56"/>
      <c r="Q118" s="59" t="s">
        <v>501</v>
      </c>
      <c r="R118" s="58">
        <v>45615</v>
      </c>
      <c r="S118" s="52" t="s">
        <v>500</v>
      </c>
      <c r="T118" s="59" t="s">
        <v>85</v>
      </c>
      <c r="U118" s="54"/>
      <c r="V118" s="99">
        <v>42</v>
      </c>
      <c r="W118" s="61">
        <f t="shared" si="19"/>
        <v>2100</v>
      </c>
      <c r="X118" s="62"/>
      <c r="Y118" s="63"/>
      <c r="Z118" s="229" t="e">
        <f t="shared" si="20"/>
        <v>#DIV/0!</v>
      </c>
      <c r="AA118" s="350">
        <v>131</v>
      </c>
      <c r="AB118" s="181" t="s">
        <v>39</v>
      </c>
      <c r="AC118" s="132">
        <v>45667</v>
      </c>
      <c r="AD118" s="177"/>
      <c r="AE118" s="64"/>
      <c r="AF118" s="132"/>
    </row>
    <row r="119" spans="1:32" s="21" customFormat="1" ht="43.5" customHeight="1">
      <c r="A119" s="52">
        <f t="shared" si="17"/>
        <v>117</v>
      </c>
      <c r="B119" s="53" t="s">
        <v>140</v>
      </c>
      <c r="C119" s="122">
        <v>1398</v>
      </c>
      <c r="D119" s="52">
        <v>1</v>
      </c>
      <c r="E119" s="52" t="s">
        <v>139</v>
      </c>
      <c r="F119" s="52" t="s">
        <v>511</v>
      </c>
      <c r="G119" s="52">
        <v>391</v>
      </c>
      <c r="H119" s="52" t="s">
        <v>140</v>
      </c>
      <c r="I119" s="52" t="s">
        <v>506</v>
      </c>
      <c r="J119" s="52" t="s">
        <v>507</v>
      </c>
      <c r="K119" s="52">
        <v>60</v>
      </c>
      <c r="L119" s="54" t="s">
        <v>76</v>
      </c>
      <c r="M119" s="60"/>
      <c r="N119" s="55">
        <v>150</v>
      </c>
      <c r="O119" s="55">
        <f t="shared" si="18"/>
        <v>9000</v>
      </c>
      <c r="P119" s="56"/>
      <c r="Q119" s="59" t="s">
        <v>508</v>
      </c>
      <c r="R119" s="58">
        <v>45621</v>
      </c>
      <c r="S119" s="52" t="s">
        <v>509</v>
      </c>
      <c r="T119" s="59" t="s">
        <v>510</v>
      </c>
      <c r="U119" s="54"/>
      <c r="V119" s="99">
        <v>275</v>
      </c>
      <c r="W119" s="61">
        <f t="shared" si="19"/>
        <v>16500</v>
      </c>
      <c r="X119" s="62"/>
      <c r="Y119" s="63"/>
      <c r="Z119" s="229" t="e">
        <f t="shared" si="20"/>
        <v>#DIV/0!</v>
      </c>
      <c r="AA119" s="350">
        <v>121</v>
      </c>
      <c r="AB119" s="181" t="s">
        <v>39</v>
      </c>
      <c r="AC119" s="60"/>
      <c r="AD119" s="172"/>
      <c r="AE119" s="64"/>
      <c r="AF119" s="60"/>
    </row>
    <row r="120" spans="1:32" s="21" customFormat="1" ht="43.5" customHeight="1">
      <c r="A120" s="52">
        <f t="shared" si="17"/>
        <v>118</v>
      </c>
      <c r="B120" s="123">
        <v>509</v>
      </c>
      <c r="C120" s="123">
        <v>1397</v>
      </c>
      <c r="D120" s="60"/>
      <c r="E120" s="123" t="s">
        <v>194</v>
      </c>
      <c r="F120" s="123" t="s">
        <v>196</v>
      </c>
      <c r="G120" s="123">
        <v>329</v>
      </c>
      <c r="H120" s="123" t="s">
        <v>140</v>
      </c>
      <c r="I120" s="123" t="s">
        <v>218</v>
      </c>
      <c r="J120" s="123" t="s">
        <v>133</v>
      </c>
      <c r="K120" s="116">
        <v>10</v>
      </c>
      <c r="L120" s="124" t="s">
        <v>91</v>
      </c>
      <c r="M120" s="126">
        <v>25</v>
      </c>
      <c r="N120" s="125">
        <v>44.62</v>
      </c>
      <c r="O120" s="125">
        <f t="shared" si="18"/>
        <v>446.2</v>
      </c>
      <c r="P120" s="60"/>
      <c r="Q120" s="123">
        <v>55400</v>
      </c>
      <c r="R120" s="58"/>
      <c r="S120" s="123"/>
      <c r="T120" s="59" t="s">
        <v>510</v>
      </c>
      <c r="U120" s="124"/>
      <c r="V120" s="99">
        <v>60</v>
      </c>
      <c r="W120" s="127">
        <f t="shared" si="19"/>
        <v>600</v>
      </c>
      <c r="X120" s="128"/>
      <c r="Y120" s="129">
        <v>1.23</v>
      </c>
      <c r="Z120" s="230">
        <f t="shared" si="20"/>
        <v>1.0932426670748108</v>
      </c>
      <c r="AA120" s="350"/>
      <c r="AB120" s="181" t="s">
        <v>39</v>
      </c>
      <c r="AC120" s="130"/>
      <c r="AD120" s="178"/>
      <c r="AE120" s="60"/>
      <c r="AF120" s="130"/>
    </row>
    <row r="121" spans="1:32" s="21" customFormat="1" ht="43.5" customHeight="1">
      <c r="A121" s="52">
        <f t="shared" si="17"/>
        <v>119</v>
      </c>
      <c r="B121" s="53" t="s">
        <v>140</v>
      </c>
      <c r="C121" s="52">
        <v>1462</v>
      </c>
      <c r="D121" s="52">
        <v>1</v>
      </c>
      <c r="E121" s="52" t="s">
        <v>139</v>
      </c>
      <c r="F121" s="123" t="s">
        <v>599</v>
      </c>
      <c r="G121" s="123">
        <v>391</v>
      </c>
      <c r="H121" s="52" t="s">
        <v>140</v>
      </c>
      <c r="I121" s="52" t="s">
        <v>525</v>
      </c>
      <c r="J121" s="52" t="s">
        <v>526</v>
      </c>
      <c r="K121" s="52">
        <v>1</v>
      </c>
      <c r="L121" s="54" t="s">
        <v>91</v>
      </c>
      <c r="M121" s="60"/>
      <c r="N121" s="55">
        <v>750</v>
      </c>
      <c r="O121" s="55">
        <f t="shared" si="18"/>
        <v>750</v>
      </c>
      <c r="P121" s="56"/>
      <c r="Q121" s="59" t="s">
        <v>527</v>
      </c>
      <c r="R121" s="58">
        <v>45636</v>
      </c>
      <c r="S121" s="52"/>
      <c r="T121" s="59" t="s">
        <v>142</v>
      </c>
      <c r="U121" s="54"/>
      <c r="V121" s="99">
        <v>2240</v>
      </c>
      <c r="W121" s="61">
        <f t="shared" si="19"/>
        <v>2240</v>
      </c>
      <c r="X121" s="62"/>
      <c r="Y121" s="129">
        <v>1.23</v>
      </c>
      <c r="Z121" s="229">
        <f t="shared" si="20"/>
        <v>2.4281842818428188</v>
      </c>
      <c r="AA121" s="350">
        <v>121</v>
      </c>
      <c r="AB121" s="181" t="s">
        <v>39</v>
      </c>
      <c r="AC121" s="60" t="s">
        <v>547</v>
      </c>
      <c r="AD121" s="172"/>
      <c r="AE121" s="64"/>
      <c r="AF121" s="60"/>
    </row>
    <row r="122" spans="1:32" s="21" customFormat="1" ht="43.5" customHeight="1">
      <c r="A122" s="52">
        <f t="shared" ref="A122:A153" si="24">A121+1</f>
        <v>120</v>
      </c>
      <c r="B122" s="53" t="s">
        <v>387</v>
      </c>
      <c r="C122" s="52">
        <v>1463</v>
      </c>
      <c r="D122" s="52">
        <v>1</v>
      </c>
      <c r="E122" s="52" t="s">
        <v>79</v>
      </c>
      <c r="F122" s="59" t="s">
        <v>539</v>
      </c>
      <c r="G122" s="52">
        <v>379</v>
      </c>
      <c r="H122" s="52" t="s">
        <v>77</v>
      </c>
      <c r="I122" s="52" t="s">
        <v>532</v>
      </c>
      <c r="J122" s="52" t="s">
        <v>533</v>
      </c>
      <c r="K122" s="52">
        <v>2</v>
      </c>
      <c r="L122" s="54" t="s">
        <v>125</v>
      </c>
      <c r="M122" s="60"/>
      <c r="N122" s="55">
        <v>280</v>
      </c>
      <c r="O122" s="55">
        <f t="shared" ref="O122:O153" si="25">N122*K122</f>
        <v>560</v>
      </c>
      <c r="P122" s="56"/>
      <c r="Q122" s="59" t="s">
        <v>537</v>
      </c>
      <c r="R122" s="58">
        <v>45622</v>
      </c>
      <c r="S122" s="52" t="s">
        <v>538</v>
      </c>
      <c r="T122" s="59" t="s">
        <v>670</v>
      </c>
      <c r="U122" s="54"/>
      <c r="V122" s="99">
        <v>610</v>
      </c>
      <c r="W122" s="61">
        <f t="shared" ref="W122:W153" si="26">V122*K122</f>
        <v>1220</v>
      </c>
      <c r="X122" s="62"/>
      <c r="Y122" s="63"/>
      <c r="Z122" s="229" t="e">
        <f t="shared" ref="Z122:Z153" si="27">W122/O122/Y122</f>
        <v>#DIV/0!</v>
      </c>
      <c r="AA122" s="350">
        <v>129</v>
      </c>
      <c r="AB122" s="181" t="s">
        <v>39</v>
      </c>
      <c r="AC122" s="147" t="s">
        <v>166</v>
      </c>
      <c r="AD122" s="179"/>
      <c r="AE122" s="64"/>
      <c r="AF122" s="147"/>
    </row>
    <row r="123" spans="1:32" s="21" customFormat="1" ht="43.5" customHeight="1">
      <c r="A123" s="52">
        <f t="shared" si="24"/>
        <v>121</v>
      </c>
      <c r="B123" s="53"/>
      <c r="C123" s="52">
        <v>1464</v>
      </c>
      <c r="D123" s="52">
        <v>2</v>
      </c>
      <c r="E123" s="52" t="s">
        <v>79</v>
      </c>
      <c r="F123" s="59" t="s">
        <v>589</v>
      </c>
      <c r="G123" s="52">
        <v>379</v>
      </c>
      <c r="H123" s="52" t="s">
        <v>77</v>
      </c>
      <c r="I123" s="52" t="s">
        <v>534</v>
      </c>
      <c r="J123" s="52" t="s">
        <v>133</v>
      </c>
      <c r="K123" s="52">
        <v>150</v>
      </c>
      <c r="L123" s="54" t="s">
        <v>76</v>
      </c>
      <c r="M123" s="60"/>
      <c r="N123" s="55">
        <v>5.8</v>
      </c>
      <c r="O123" s="55">
        <f t="shared" si="25"/>
        <v>870</v>
      </c>
      <c r="P123" s="56"/>
      <c r="Q123" s="59" t="s">
        <v>537</v>
      </c>
      <c r="R123" s="58">
        <v>45622</v>
      </c>
      <c r="S123" s="52" t="s">
        <v>538</v>
      </c>
      <c r="T123" s="59" t="s">
        <v>654</v>
      </c>
      <c r="U123" s="54"/>
      <c r="V123" s="99">
        <v>12</v>
      </c>
      <c r="W123" s="61">
        <f t="shared" si="26"/>
        <v>1800</v>
      </c>
      <c r="X123" s="62"/>
      <c r="Y123" s="63"/>
      <c r="Z123" s="229" t="e">
        <f t="shared" si="27"/>
        <v>#DIV/0!</v>
      </c>
      <c r="AA123" s="350">
        <v>134</v>
      </c>
      <c r="AB123" s="181" t="s">
        <v>39</v>
      </c>
      <c r="AC123" s="119" t="s">
        <v>663</v>
      </c>
      <c r="AD123" s="180"/>
      <c r="AE123" s="64"/>
      <c r="AF123" s="119"/>
    </row>
    <row r="124" spans="1:32" s="21" customFormat="1" ht="43.5" customHeight="1">
      <c r="A124" s="185">
        <f t="shared" si="24"/>
        <v>122</v>
      </c>
      <c r="B124" s="247"/>
      <c r="C124" s="185">
        <v>1465</v>
      </c>
      <c r="D124" s="185">
        <v>3</v>
      </c>
      <c r="E124" s="185" t="s">
        <v>79</v>
      </c>
      <c r="F124" s="207" t="s">
        <v>138</v>
      </c>
      <c r="G124" s="185">
        <v>379</v>
      </c>
      <c r="H124" s="185" t="s">
        <v>77</v>
      </c>
      <c r="I124" s="185" t="s">
        <v>535</v>
      </c>
      <c r="J124" s="185" t="s">
        <v>536</v>
      </c>
      <c r="K124" s="185">
        <v>3</v>
      </c>
      <c r="L124" s="186" t="s">
        <v>76</v>
      </c>
      <c r="M124" s="248"/>
      <c r="N124" s="187">
        <v>87.66</v>
      </c>
      <c r="O124" s="187">
        <f t="shared" si="25"/>
        <v>262.98</v>
      </c>
      <c r="P124" s="183"/>
      <c r="Q124" s="218" t="s">
        <v>537</v>
      </c>
      <c r="R124" s="191">
        <v>45622</v>
      </c>
      <c r="S124" s="185" t="s">
        <v>538</v>
      </c>
      <c r="T124" s="218" t="s">
        <v>85</v>
      </c>
      <c r="U124" s="186"/>
      <c r="V124" s="239">
        <v>220</v>
      </c>
      <c r="W124" s="228">
        <f t="shared" si="26"/>
        <v>660</v>
      </c>
      <c r="X124" s="242"/>
      <c r="Y124" s="63"/>
      <c r="Z124" s="229" t="e">
        <f t="shared" si="27"/>
        <v>#DIV/0!</v>
      </c>
      <c r="AA124" s="248"/>
      <c r="AB124" s="200" t="s">
        <v>25</v>
      </c>
      <c r="AC124" s="182" t="s">
        <v>166</v>
      </c>
      <c r="AD124" s="182"/>
      <c r="AE124" s="251"/>
      <c r="AF124" s="182"/>
    </row>
    <row r="125" spans="1:32" s="21" customFormat="1" ht="43.5" customHeight="1">
      <c r="A125" s="185">
        <f t="shared" si="24"/>
        <v>123</v>
      </c>
      <c r="B125" s="247"/>
      <c r="C125" s="185">
        <v>1485</v>
      </c>
      <c r="D125" s="185">
        <v>1</v>
      </c>
      <c r="E125" s="185" t="s">
        <v>79</v>
      </c>
      <c r="F125" s="207"/>
      <c r="G125" s="185">
        <v>379</v>
      </c>
      <c r="H125" s="185" t="s">
        <v>77</v>
      </c>
      <c r="I125" s="185" t="s">
        <v>540</v>
      </c>
      <c r="J125" s="185" t="s">
        <v>135</v>
      </c>
      <c r="K125" s="185">
        <v>50</v>
      </c>
      <c r="L125" s="186" t="s">
        <v>91</v>
      </c>
      <c r="M125" s="248"/>
      <c r="N125" s="187">
        <v>38.85</v>
      </c>
      <c r="O125" s="187">
        <f t="shared" si="25"/>
        <v>1942.5</v>
      </c>
      <c r="P125" s="183"/>
      <c r="Q125" s="218" t="s">
        <v>544</v>
      </c>
      <c r="R125" s="191">
        <v>45643</v>
      </c>
      <c r="S125" s="185" t="s">
        <v>545</v>
      </c>
      <c r="T125" s="218" t="s">
        <v>81</v>
      </c>
      <c r="U125" s="186"/>
      <c r="V125" s="239">
        <v>68</v>
      </c>
      <c r="W125" s="228">
        <f t="shared" si="26"/>
        <v>3400</v>
      </c>
      <c r="X125" s="242"/>
      <c r="Y125" s="63"/>
      <c r="Z125" s="229" t="e">
        <f t="shared" si="27"/>
        <v>#DIV/0!</v>
      </c>
      <c r="AA125" s="248"/>
      <c r="AB125" s="204" t="s">
        <v>11</v>
      </c>
      <c r="AC125" s="247" t="s">
        <v>627</v>
      </c>
      <c r="AD125" s="247"/>
      <c r="AE125" s="251"/>
      <c r="AF125" s="247"/>
    </row>
    <row r="126" spans="1:32" s="21" customFormat="1" ht="43.5" customHeight="1">
      <c r="A126" s="185">
        <f t="shared" si="24"/>
        <v>124</v>
      </c>
      <c r="B126" s="247"/>
      <c r="C126" s="185">
        <v>1486</v>
      </c>
      <c r="D126" s="185">
        <v>2</v>
      </c>
      <c r="E126" s="185" t="s">
        <v>79</v>
      </c>
      <c r="F126" s="207"/>
      <c r="G126" s="185">
        <v>379</v>
      </c>
      <c r="H126" s="185" t="s">
        <v>77</v>
      </c>
      <c r="I126" s="185" t="s">
        <v>541</v>
      </c>
      <c r="J126" s="185" t="s">
        <v>133</v>
      </c>
      <c r="K126" s="185">
        <v>9</v>
      </c>
      <c r="L126" s="186" t="s">
        <v>91</v>
      </c>
      <c r="M126" s="248"/>
      <c r="N126" s="187">
        <v>76</v>
      </c>
      <c r="O126" s="187">
        <f t="shared" si="25"/>
        <v>684</v>
      </c>
      <c r="P126" s="183"/>
      <c r="Q126" s="218" t="s">
        <v>544</v>
      </c>
      <c r="R126" s="191">
        <v>45643</v>
      </c>
      <c r="S126" s="185" t="s">
        <v>545</v>
      </c>
      <c r="T126" s="218" t="s">
        <v>81</v>
      </c>
      <c r="U126" s="186"/>
      <c r="V126" s="239">
        <v>140</v>
      </c>
      <c r="W126" s="228">
        <f t="shared" si="26"/>
        <v>1260</v>
      </c>
      <c r="X126" s="242"/>
      <c r="Y126" s="63"/>
      <c r="Z126" s="229" t="e">
        <f t="shared" si="27"/>
        <v>#DIV/0!</v>
      </c>
      <c r="AA126" s="248"/>
      <c r="AB126" s="204" t="s">
        <v>11</v>
      </c>
      <c r="AC126" s="248" t="s">
        <v>547</v>
      </c>
      <c r="AD126" s="248"/>
      <c r="AE126" s="251"/>
      <c r="AF126" s="248"/>
    </row>
    <row r="127" spans="1:32" s="21" customFormat="1" ht="43.5" customHeight="1">
      <c r="A127" s="52">
        <f t="shared" si="24"/>
        <v>125</v>
      </c>
      <c r="B127" s="53" t="s">
        <v>143</v>
      </c>
      <c r="C127" s="52">
        <v>1487</v>
      </c>
      <c r="D127" s="52">
        <v>3</v>
      </c>
      <c r="E127" s="52" t="s">
        <v>79</v>
      </c>
      <c r="F127" s="59" t="s">
        <v>558</v>
      </c>
      <c r="G127" s="52">
        <v>379</v>
      </c>
      <c r="H127" s="52" t="s">
        <v>77</v>
      </c>
      <c r="I127" s="52" t="s">
        <v>542</v>
      </c>
      <c r="J127" s="52" t="s">
        <v>133</v>
      </c>
      <c r="K127" s="52">
        <v>80</v>
      </c>
      <c r="L127" s="54" t="s">
        <v>91</v>
      </c>
      <c r="M127" s="60"/>
      <c r="N127" s="55">
        <f>1.05*100</f>
        <v>105</v>
      </c>
      <c r="O127" s="55">
        <f t="shared" si="25"/>
        <v>8400</v>
      </c>
      <c r="P127" s="56"/>
      <c r="Q127" s="59" t="s">
        <v>544</v>
      </c>
      <c r="R127" s="58">
        <v>45643</v>
      </c>
      <c r="S127" s="52" t="s">
        <v>545</v>
      </c>
      <c r="T127" s="59" t="s">
        <v>81</v>
      </c>
      <c r="U127" s="54"/>
      <c r="V127" s="99">
        <v>165</v>
      </c>
      <c r="W127" s="61">
        <f t="shared" si="26"/>
        <v>13200</v>
      </c>
      <c r="X127" s="62"/>
      <c r="Y127" s="63"/>
      <c r="Z127" s="229" t="e">
        <f t="shared" si="27"/>
        <v>#DIV/0!</v>
      </c>
      <c r="AA127" s="350">
        <v>134</v>
      </c>
      <c r="AB127" s="181" t="s">
        <v>39</v>
      </c>
      <c r="AC127" s="60"/>
      <c r="AD127" s="172"/>
      <c r="AE127" s="64"/>
      <c r="AF127" s="60"/>
    </row>
    <row r="128" spans="1:32" s="21" customFormat="1" ht="43.5" customHeight="1">
      <c r="A128" s="52">
        <f t="shared" si="24"/>
        <v>126</v>
      </c>
      <c r="B128" s="53" t="s">
        <v>143</v>
      </c>
      <c r="C128" s="52">
        <v>1488</v>
      </c>
      <c r="D128" s="52">
        <v>4</v>
      </c>
      <c r="E128" s="52" t="s">
        <v>79</v>
      </c>
      <c r="F128" s="59" t="s">
        <v>559</v>
      </c>
      <c r="G128" s="52">
        <v>379</v>
      </c>
      <c r="H128" s="52" t="s">
        <v>77</v>
      </c>
      <c r="I128" s="52" t="s">
        <v>543</v>
      </c>
      <c r="J128" s="52" t="s">
        <v>268</v>
      </c>
      <c r="K128" s="52">
        <v>24</v>
      </c>
      <c r="L128" s="54" t="s">
        <v>76</v>
      </c>
      <c r="M128" s="60"/>
      <c r="N128" s="55">
        <f>1.05*150</f>
        <v>157.5</v>
      </c>
      <c r="O128" s="55">
        <f t="shared" si="25"/>
        <v>3780</v>
      </c>
      <c r="P128" s="56"/>
      <c r="Q128" s="59" t="s">
        <v>544</v>
      </c>
      <c r="R128" s="58">
        <v>45643</v>
      </c>
      <c r="S128" s="52" t="s">
        <v>545</v>
      </c>
      <c r="T128" s="59" t="s">
        <v>81</v>
      </c>
      <c r="U128" s="54"/>
      <c r="V128" s="99">
        <v>280</v>
      </c>
      <c r="W128" s="61">
        <f t="shared" si="26"/>
        <v>6720</v>
      </c>
      <c r="X128" s="62"/>
      <c r="Y128" s="63"/>
      <c r="Z128" s="229" t="e">
        <f t="shared" si="27"/>
        <v>#DIV/0!</v>
      </c>
      <c r="AA128" s="350">
        <v>134</v>
      </c>
      <c r="AB128" s="181" t="s">
        <v>39</v>
      </c>
      <c r="AC128" s="60"/>
      <c r="AD128" s="172"/>
      <c r="AE128" s="64"/>
      <c r="AF128" s="60"/>
    </row>
    <row r="129" spans="1:32" s="21" customFormat="1" ht="43.5" customHeight="1">
      <c r="A129" s="185">
        <f t="shared" si="24"/>
        <v>127</v>
      </c>
      <c r="B129" s="247"/>
      <c r="C129" s="185">
        <v>1489</v>
      </c>
      <c r="D129" s="185">
        <v>1</v>
      </c>
      <c r="E129" s="185" t="s">
        <v>79</v>
      </c>
      <c r="F129" s="185" t="s">
        <v>182</v>
      </c>
      <c r="G129" s="185">
        <v>399</v>
      </c>
      <c r="H129" s="185" t="s">
        <v>77</v>
      </c>
      <c r="I129" s="185" t="s">
        <v>548</v>
      </c>
      <c r="J129" s="185" t="s">
        <v>267</v>
      </c>
      <c r="K129" s="185">
        <v>100</v>
      </c>
      <c r="L129" s="186" t="s">
        <v>76</v>
      </c>
      <c r="M129" s="248"/>
      <c r="N129" s="187">
        <v>0.76</v>
      </c>
      <c r="O129" s="187">
        <f t="shared" si="25"/>
        <v>76</v>
      </c>
      <c r="P129" s="183"/>
      <c r="Q129" s="218" t="s">
        <v>549</v>
      </c>
      <c r="R129" s="191">
        <v>45647</v>
      </c>
      <c r="S129" s="185" t="s">
        <v>550</v>
      </c>
      <c r="T129" s="207" t="s">
        <v>85</v>
      </c>
      <c r="U129" s="186"/>
      <c r="V129" s="239">
        <v>5</v>
      </c>
      <c r="W129" s="228">
        <f t="shared" si="26"/>
        <v>500</v>
      </c>
      <c r="X129" s="242"/>
      <c r="Y129" s="63"/>
      <c r="Z129" s="229" t="e">
        <f t="shared" si="27"/>
        <v>#DIV/0!</v>
      </c>
      <c r="AA129" s="248"/>
      <c r="AB129" s="203" t="s">
        <v>17</v>
      </c>
      <c r="AC129" s="248"/>
      <c r="AD129" s="248"/>
      <c r="AE129" s="251"/>
      <c r="AF129" s="248"/>
    </row>
    <row r="130" spans="1:32" s="21" customFormat="1" ht="43.5" customHeight="1">
      <c r="A130" s="52">
        <f t="shared" si="24"/>
        <v>128</v>
      </c>
      <c r="B130" s="53"/>
      <c r="C130" s="52">
        <v>1490</v>
      </c>
      <c r="D130" s="52">
        <v>1</v>
      </c>
      <c r="E130" s="52" t="s">
        <v>79</v>
      </c>
      <c r="F130" s="59" t="s">
        <v>589</v>
      </c>
      <c r="G130" s="52">
        <v>399</v>
      </c>
      <c r="H130" s="52" t="s">
        <v>77</v>
      </c>
      <c r="I130" s="52" t="s">
        <v>551</v>
      </c>
      <c r="J130" s="52" t="s">
        <v>553</v>
      </c>
      <c r="K130" s="52">
        <v>2</v>
      </c>
      <c r="L130" s="54" t="s">
        <v>76</v>
      </c>
      <c r="M130" s="60"/>
      <c r="N130" s="55">
        <v>124</v>
      </c>
      <c r="O130" s="55">
        <f t="shared" si="25"/>
        <v>248</v>
      </c>
      <c r="P130" s="56"/>
      <c r="Q130" s="59" t="s">
        <v>555</v>
      </c>
      <c r="R130" s="58">
        <v>45647</v>
      </c>
      <c r="S130" s="131" t="s">
        <v>556</v>
      </c>
      <c r="T130" s="59" t="s">
        <v>85</v>
      </c>
      <c r="U130" s="54"/>
      <c r="V130" s="99">
        <v>387</v>
      </c>
      <c r="W130" s="61">
        <f t="shared" si="26"/>
        <v>774</v>
      </c>
      <c r="X130" s="62"/>
      <c r="Y130" s="63"/>
      <c r="Z130" s="229" t="e">
        <f t="shared" si="27"/>
        <v>#DIV/0!</v>
      </c>
      <c r="AA130" s="350">
        <v>134</v>
      </c>
      <c r="AB130" s="181" t="s">
        <v>39</v>
      </c>
      <c r="AC130" s="60"/>
      <c r="AD130" s="172"/>
      <c r="AE130" s="64"/>
      <c r="AF130" s="60"/>
    </row>
    <row r="131" spans="1:32" s="21" customFormat="1" ht="43.5" customHeight="1">
      <c r="A131" s="52">
        <f t="shared" si="24"/>
        <v>129</v>
      </c>
      <c r="B131" s="53"/>
      <c r="C131" s="59">
        <v>1491</v>
      </c>
      <c r="D131" s="52">
        <v>2</v>
      </c>
      <c r="E131" s="52" t="s">
        <v>79</v>
      </c>
      <c r="F131" s="170" t="s">
        <v>626</v>
      </c>
      <c r="G131" s="52">
        <v>399</v>
      </c>
      <c r="H131" s="52" t="s">
        <v>77</v>
      </c>
      <c r="I131" s="52" t="s">
        <v>552</v>
      </c>
      <c r="J131" s="52" t="s">
        <v>554</v>
      </c>
      <c r="K131" s="52">
        <v>1</v>
      </c>
      <c r="L131" s="54" t="s">
        <v>76</v>
      </c>
      <c r="M131" s="60"/>
      <c r="N131" s="55">
        <v>730</v>
      </c>
      <c r="O131" s="55">
        <f t="shared" si="25"/>
        <v>730</v>
      </c>
      <c r="P131" s="56"/>
      <c r="Q131" s="59" t="s">
        <v>555</v>
      </c>
      <c r="R131" s="58">
        <v>45647</v>
      </c>
      <c r="S131" s="131" t="s">
        <v>556</v>
      </c>
      <c r="T131" s="59" t="s">
        <v>85</v>
      </c>
      <c r="U131" s="54"/>
      <c r="V131" s="99">
        <v>1265</v>
      </c>
      <c r="W131" s="61">
        <f t="shared" si="26"/>
        <v>1265</v>
      </c>
      <c r="X131" s="62"/>
      <c r="Y131" s="63"/>
      <c r="Z131" s="229" t="e">
        <f t="shared" si="27"/>
        <v>#DIV/0!</v>
      </c>
      <c r="AA131" s="350">
        <v>126</v>
      </c>
      <c r="AB131" s="181" t="s">
        <v>39</v>
      </c>
      <c r="AC131" s="60" t="s">
        <v>625</v>
      </c>
      <c r="AD131" s="172"/>
      <c r="AE131" s="64"/>
      <c r="AF131" s="60"/>
    </row>
    <row r="132" spans="1:32" s="21" customFormat="1" ht="43.5" customHeight="1">
      <c r="A132" s="52">
        <f t="shared" si="24"/>
        <v>130</v>
      </c>
      <c r="B132" s="53"/>
      <c r="C132" s="52">
        <v>1497</v>
      </c>
      <c r="D132" s="52">
        <v>1</v>
      </c>
      <c r="E132" s="52" t="s">
        <v>79</v>
      </c>
      <c r="F132" s="59" t="s">
        <v>681</v>
      </c>
      <c r="G132" s="52">
        <v>399</v>
      </c>
      <c r="H132" s="52" t="s">
        <v>77</v>
      </c>
      <c r="I132" s="52" t="s">
        <v>532</v>
      </c>
      <c r="J132" s="52" t="s">
        <v>533</v>
      </c>
      <c r="K132" s="52">
        <v>6</v>
      </c>
      <c r="L132" s="54" t="s">
        <v>76</v>
      </c>
      <c r="M132" s="60" t="s">
        <v>142</v>
      </c>
      <c r="N132" s="169">
        <v>1233</v>
      </c>
      <c r="O132" s="55">
        <f t="shared" si="25"/>
        <v>7398</v>
      </c>
      <c r="P132" s="56"/>
      <c r="Q132" s="59" t="s">
        <v>564</v>
      </c>
      <c r="R132" s="58">
        <v>45654</v>
      </c>
      <c r="S132" s="52" t="s">
        <v>565</v>
      </c>
      <c r="T132" s="59" t="s">
        <v>670</v>
      </c>
      <c r="U132" s="54"/>
      <c r="V132" s="99">
        <v>2020</v>
      </c>
      <c r="W132" s="61">
        <f t="shared" si="26"/>
        <v>12120</v>
      </c>
      <c r="X132" s="62"/>
      <c r="Y132" s="63"/>
      <c r="Z132" s="229" t="e">
        <f t="shared" si="27"/>
        <v>#DIV/0!</v>
      </c>
      <c r="AA132" s="350">
        <v>129</v>
      </c>
      <c r="AB132" s="181" t="s">
        <v>39</v>
      </c>
      <c r="AC132" s="60"/>
      <c r="AD132" s="172"/>
      <c r="AE132" s="64"/>
      <c r="AF132" s="60"/>
    </row>
    <row r="133" spans="1:32" s="21" customFormat="1" ht="43.5" customHeight="1">
      <c r="A133" s="52">
        <f t="shared" si="24"/>
        <v>131</v>
      </c>
      <c r="B133" s="53"/>
      <c r="C133" s="52">
        <v>1498</v>
      </c>
      <c r="D133" s="52">
        <v>2</v>
      </c>
      <c r="E133" s="52" t="s">
        <v>79</v>
      </c>
      <c r="F133" s="59" t="s">
        <v>589</v>
      </c>
      <c r="G133" s="52">
        <v>399</v>
      </c>
      <c r="H133" s="52" t="s">
        <v>77</v>
      </c>
      <c r="I133" s="52" t="s">
        <v>561</v>
      </c>
      <c r="J133" s="52" t="s">
        <v>562</v>
      </c>
      <c r="K133" s="52">
        <v>8</v>
      </c>
      <c r="L133" s="54" t="s">
        <v>76</v>
      </c>
      <c r="M133" s="60"/>
      <c r="N133" s="55">
        <v>2140</v>
      </c>
      <c r="O133" s="55">
        <f t="shared" si="25"/>
        <v>17120</v>
      </c>
      <c r="P133" s="56"/>
      <c r="Q133" s="59" t="s">
        <v>564</v>
      </c>
      <c r="R133" s="58">
        <v>45654</v>
      </c>
      <c r="S133" s="52" t="s">
        <v>565</v>
      </c>
      <c r="T133" s="59" t="s">
        <v>654</v>
      </c>
      <c r="U133" s="54"/>
      <c r="V133" s="99">
        <v>3250</v>
      </c>
      <c r="W133" s="61">
        <f t="shared" si="26"/>
        <v>26000</v>
      </c>
      <c r="X133" s="62"/>
      <c r="Y133" s="63"/>
      <c r="Z133" s="229" t="e">
        <f t="shared" si="27"/>
        <v>#DIV/0!</v>
      </c>
      <c r="AA133" s="350">
        <v>134</v>
      </c>
      <c r="AB133" s="181" t="s">
        <v>39</v>
      </c>
      <c r="AC133" s="60" t="s">
        <v>665</v>
      </c>
      <c r="AD133" s="172"/>
      <c r="AE133" s="64"/>
      <c r="AF133" s="60"/>
    </row>
    <row r="134" spans="1:32" s="21" customFormat="1" ht="43.5" customHeight="1">
      <c r="A134" s="160">
        <f t="shared" si="24"/>
        <v>132</v>
      </c>
      <c r="B134" s="161"/>
      <c r="C134" s="160">
        <v>1499</v>
      </c>
      <c r="D134" s="160">
        <v>3</v>
      </c>
      <c r="E134" s="160" t="s">
        <v>79</v>
      </c>
      <c r="F134" s="162" t="s">
        <v>204</v>
      </c>
      <c r="G134" s="160">
        <v>399</v>
      </c>
      <c r="H134" s="160" t="s">
        <v>77</v>
      </c>
      <c r="I134" s="160" t="s">
        <v>563</v>
      </c>
      <c r="J134" s="160" t="s">
        <v>562</v>
      </c>
      <c r="K134" s="52">
        <v>4</v>
      </c>
      <c r="L134" s="54" t="s">
        <v>76</v>
      </c>
      <c r="M134" s="60" t="s">
        <v>142</v>
      </c>
      <c r="N134" s="55">
        <v>763.4</v>
      </c>
      <c r="O134" s="55">
        <f t="shared" si="25"/>
        <v>3053.6</v>
      </c>
      <c r="P134" s="56"/>
      <c r="Q134" s="59" t="s">
        <v>564</v>
      </c>
      <c r="R134" s="58">
        <v>45654</v>
      </c>
      <c r="S134" s="52" t="s">
        <v>565</v>
      </c>
      <c r="T134" s="59" t="s">
        <v>85</v>
      </c>
      <c r="U134" s="54"/>
      <c r="V134" s="99">
        <v>1310</v>
      </c>
      <c r="W134" s="61">
        <f t="shared" si="26"/>
        <v>5240</v>
      </c>
      <c r="X134" s="62"/>
      <c r="Y134" s="63"/>
      <c r="Z134" s="229" t="e">
        <f t="shared" si="27"/>
        <v>#DIV/0!</v>
      </c>
      <c r="AA134" s="350">
        <v>129</v>
      </c>
      <c r="AB134" s="181" t="s">
        <v>39</v>
      </c>
      <c r="AC134" s="60"/>
      <c r="AD134" s="172"/>
      <c r="AE134" s="64"/>
      <c r="AF134" s="60"/>
    </row>
    <row r="135" spans="1:32" s="21" customFormat="1" ht="43.5" customHeight="1">
      <c r="A135" s="160">
        <f t="shared" si="24"/>
        <v>133</v>
      </c>
      <c r="B135" s="161"/>
      <c r="C135" s="160">
        <v>1500</v>
      </c>
      <c r="D135" s="160">
        <v>1</v>
      </c>
      <c r="E135" s="160" t="s">
        <v>79</v>
      </c>
      <c r="F135" s="162" t="s">
        <v>204</v>
      </c>
      <c r="G135" s="160">
        <v>399</v>
      </c>
      <c r="H135" s="160" t="s">
        <v>77</v>
      </c>
      <c r="I135" s="160" t="s">
        <v>566</v>
      </c>
      <c r="J135" s="160" t="s">
        <v>567</v>
      </c>
      <c r="K135" s="52">
        <v>120</v>
      </c>
      <c r="L135" s="54" t="s">
        <v>76</v>
      </c>
      <c r="M135" s="60" t="s">
        <v>142</v>
      </c>
      <c r="N135" s="55">
        <v>76</v>
      </c>
      <c r="O135" s="55">
        <f t="shared" si="25"/>
        <v>9120</v>
      </c>
      <c r="P135" s="56"/>
      <c r="Q135" s="59" t="s">
        <v>571</v>
      </c>
      <c r="R135" s="58">
        <v>45654</v>
      </c>
      <c r="S135" s="52" t="s">
        <v>572</v>
      </c>
      <c r="T135" s="59" t="s">
        <v>85</v>
      </c>
      <c r="U135" s="54"/>
      <c r="V135" s="99">
        <v>130</v>
      </c>
      <c r="W135" s="61">
        <f t="shared" si="26"/>
        <v>15600</v>
      </c>
      <c r="X135" s="62"/>
      <c r="Y135" s="63"/>
      <c r="Z135" s="229" t="e">
        <f t="shared" si="27"/>
        <v>#DIV/0!</v>
      </c>
      <c r="AA135" s="350">
        <v>129</v>
      </c>
      <c r="AB135" s="181" t="s">
        <v>39</v>
      </c>
      <c r="AC135" s="60"/>
      <c r="AD135" s="172"/>
      <c r="AE135" s="64"/>
      <c r="AF135" s="60"/>
    </row>
    <row r="136" spans="1:32" s="21" customFormat="1" ht="43.5" customHeight="1">
      <c r="A136" s="160">
        <f t="shared" si="24"/>
        <v>134</v>
      </c>
      <c r="B136" s="161"/>
      <c r="C136" s="160">
        <v>1501</v>
      </c>
      <c r="D136" s="160">
        <v>2</v>
      </c>
      <c r="E136" s="160" t="s">
        <v>79</v>
      </c>
      <c r="F136" s="162" t="s">
        <v>204</v>
      </c>
      <c r="G136" s="160">
        <v>399</v>
      </c>
      <c r="H136" s="160" t="s">
        <v>77</v>
      </c>
      <c r="I136" s="160" t="s">
        <v>568</v>
      </c>
      <c r="J136" s="160" t="s">
        <v>188</v>
      </c>
      <c r="K136" s="52">
        <v>52</v>
      </c>
      <c r="L136" s="54" t="s">
        <v>76</v>
      </c>
      <c r="M136" s="60"/>
      <c r="N136" s="55">
        <v>83</v>
      </c>
      <c r="O136" s="55">
        <f t="shared" si="25"/>
        <v>4316</v>
      </c>
      <c r="P136" s="56"/>
      <c r="Q136" s="59" t="s">
        <v>571</v>
      </c>
      <c r="R136" s="58">
        <v>45654</v>
      </c>
      <c r="S136" s="52" t="s">
        <v>572</v>
      </c>
      <c r="T136" s="59" t="s">
        <v>85</v>
      </c>
      <c r="U136" s="54"/>
      <c r="V136" s="99">
        <v>140</v>
      </c>
      <c r="W136" s="61">
        <f t="shared" si="26"/>
        <v>7280</v>
      </c>
      <c r="X136" s="62"/>
      <c r="Y136" s="63"/>
      <c r="Z136" s="229" t="e">
        <f t="shared" si="27"/>
        <v>#DIV/0!</v>
      </c>
      <c r="AA136" s="350">
        <v>129</v>
      </c>
      <c r="AB136" s="181" t="s">
        <v>39</v>
      </c>
      <c r="AC136" s="60"/>
      <c r="AD136" s="172"/>
      <c r="AE136" s="64"/>
      <c r="AF136" s="60"/>
    </row>
    <row r="137" spans="1:32" s="21" customFormat="1" ht="43.5" customHeight="1">
      <c r="A137" s="160">
        <f t="shared" si="24"/>
        <v>135</v>
      </c>
      <c r="B137" s="161"/>
      <c r="C137" s="160">
        <v>1502</v>
      </c>
      <c r="D137" s="160">
        <v>3</v>
      </c>
      <c r="E137" s="160" t="s">
        <v>79</v>
      </c>
      <c r="F137" s="162" t="s">
        <v>204</v>
      </c>
      <c r="G137" s="160">
        <v>399</v>
      </c>
      <c r="H137" s="160" t="s">
        <v>77</v>
      </c>
      <c r="I137" s="160" t="s">
        <v>569</v>
      </c>
      <c r="J137" s="160" t="s">
        <v>570</v>
      </c>
      <c r="K137" s="52">
        <v>40</v>
      </c>
      <c r="L137" s="54" t="s">
        <v>76</v>
      </c>
      <c r="M137" s="60"/>
      <c r="N137" s="55">
        <v>88.4</v>
      </c>
      <c r="O137" s="55">
        <f t="shared" si="25"/>
        <v>3536</v>
      </c>
      <c r="P137" s="56"/>
      <c r="Q137" s="59" t="s">
        <v>571</v>
      </c>
      <c r="R137" s="58">
        <v>45654</v>
      </c>
      <c r="S137" s="52" t="s">
        <v>572</v>
      </c>
      <c r="T137" s="59" t="s">
        <v>85</v>
      </c>
      <c r="U137" s="54"/>
      <c r="V137" s="99">
        <v>150</v>
      </c>
      <c r="W137" s="61">
        <f t="shared" si="26"/>
        <v>6000</v>
      </c>
      <c r="X137" s="62"/>
      <c r="Y137" s="63"/>
      <c r="Z137" s="229" t="e">
        <f t="shared" si="27"/>
        <v>#DIV/0!</v>
      </c>
      <c r="AA137" s="350">
        <v>129</v>
      </c>
      <c r="AB137" s="181" t="s">
        <v>39</v>
      </c>
      <c r="AC137" s="60"/>
      <c r="AD137" s="172"/>
      <c r="AE137" s="64"/>
      <c r="AF137" s="60"/>
    </row>
    <row r="138" spans="1:32" s="21" customFormat="1" ht="43.5" customHeight="1">
      <c r="A138" s="52">
        <f t="shared" si="24"/>
        <v>136</v>
      </c>
      <c r="B138" s="53"/>
      <c r="C138" s="52">
        <v>1505</v>
      </c>
      <c r="D138" s="52">
        <v>1</v>
      </c>
      <c r="E138" s="52" t="s">
        <v>184</v>
      </c>
      <c r="F138" s="59" t="s">
        <v>590</v>
      </c>
      <c r="G138" s="52">
        <v>400</v>
      </c>
      <c r="H138" s="52" t="s">
        <v>140</v>
      </c>
      <c r="I138" s="52" t="s">
        <v>577</v>
      </c>
      <c r="J138" s="52" t="s">
        <v>578</v>
      </c>
      <c r="K138" s="52">
        <v>1</v>
      </c>
      <c r="L138" s="54" t="s">
        <v>125</v>
      </c>
      <c r="M138" s="60"/>
      <c r="N138" s="55">
        <v>3500</v>
      </c>
      <c r="O138" s="55">
        <f t="shared" si="25"/>
        <v>3500</v>
      </c>
      <c r="P138" s="56"/>
      <c r="Q138" s="59" t="s">
        <v>579</v>
      </c>
      <c r="R138" s="58">
        <v>45657</v>
      </c>
      <c r="S138" s="52"/>
      <c r="T138" s="59" t="s">
        <v>142</v>
      </c>
      <c r="U138" s="54"/>
      <c r="V138" s="99">
        <v>6150</v>
      </c>
      <c r="W138" s="61">
        <f t="shared" si="26"/>
        <v>6150</v>
      </c>
      <c r="X138" s="62"/>
      <c r="Y138" s="63"/>
      <c r="Z138" s="229" t="e">
        <f t="shared" si="27"/>
        <v>#DIV/0!</v>
      </c>
      <c r="AA138" s="350"/>
      <c r="AB138" s="181" t="s">
        <v>39</v>
      </c>
      <c r="AC138" s="60"/>
      <c r="AD138" s="172"/>
      <c r="AE138" s="64"/>
      <c r="AF138" s="60"/>
    </row>
    <row r="139" spans="1:32" s="21" customFormat="1" ht="43.5" customHeight="1">
      <c r="A139" s="185">
        <f t="shared" si="24"/>
        <v>137</v>
      </c>
      <c r="B139" s="247"/>
      <c r="C139" s="185">
        <v>1506</v>
      </c>
      <c r="D139" s="185">
        <v>2</v>
      </c>
      <c r="E139" s="185" t="s">
        <v>184</v>
      </c>
      <c r="F139" s="218" t="s">
        <v>623</v>
      </c>
      <c r="G139" s="185">
        <v>400</v>
      </c>
      <c r="H139" s="185" t="s">
        <v>77</v>
      </c>
      <c r="I139" s="185" t="s">
        <v>580</v>
      </c>
      <c r="J139" s="185" t="s">
        <v>581</v>
      </c>
      <c r="K139" s="185">
        <v>1</v>
      </c>
      <c r="L139" s="186" t="s">
        <v>122</v>
      </c>
      <c r="M139" s="248"/>
      <c r="N139" s="187">
        <v>850</v>
      </c>
      <c r="O139" s="187">
        <f t="shared" si="25"/>
        <v>850</v>
      </c>
      <c r="P139" s="183"/>
      <c r="Q139" s="218" t="s">
        <v>579</v>
      </c>
      <c r="R139" s="191">
        <v>45657</v>
      </c>
      <c r="S139" s="185"/>
      <c r="T139" s="218" t="s">
        <v>142</v>
      </c>
      <c r="U139" s="186"/>
      <c r="V139" s="239">
        <v>3280</v>
      </c>
      <c r="W139" s="228">
        <f t="shared" si="26"/>
        <v>3280</v>
      </c>
      <c r="X139" s="242"/>
      <c r="Y139" s="63"/>
      <c r="Z139" s="229" t="e">
        <f t="shared" si="27"/>
        <v>#DIV/0!</v>
      </c>
      <c r="AA139" s="248">
        <v>142</v>
      </c>
      <c r="AB139" s="203" t="s">
        <v>17</v>
      </c>
      <c r="AC139" s="248" t="s">
        <v>166</v>
      </c>
      <c r="AD139" s="248"/>
      <c r="AE139" s="251"/>
      <c r="AF139" s="248"/>
    </row>
    <row r="140" spans="1:32" s="21" customFormat="1" ht="43.5" customHeight="1">
      <c r="A140" s="52">
        <f t="shared" si="24"/>
        <v>138</v>
      </c>
      <c r="B140" s="53"/>
      <c r="C140" s="52">
        <v>1531</v>
      </c>
      <c r="D140" s="52">
        <v>2</v>
      </c>
      <c r="E140" s="52" t="s">
        <v>184</v>
      </c>
      <c r="F140" s="59" t="s">
        <v>196</v>
      </c>
      <c r="G140" s="52">
        <v>400</v>
      </c>
      <c r="H140" s="52" t="s">
        <v>77</v>
      </c>
      <c r="I140" s="52" t="s">
        <v>580</v>
      </c>
      <c r="J140" s="52" t="s">
        <v>581</v>
      </c>
      <c r="K140" s="52">
        <v>1</v>
      </c>
      <c r="L140" s="54" t="s">
        <v>122</v>
      </c>
      <c r="M140" s="60"/>
      <c r="N140" s="55">
        <v>850</v>
      </c>
      <c r="O140" s="55">
        <f t="shared" si="25"/>
        <v>850</v>
      </c>
      <c r="P140" s="56"/>
      <c r="Q140" s="59" t="s">
        <v>579</v>
      </c>
      <c r="R140" s="58">
        <v>45657</v>
      </c>
      <c r="S140" s="52"/>
      <c r="T140" s="59" t="s">
        <v>142</v>
      </c>
      <c r="U140" s="54"/>
      <c r="V140" s="99">
        <v>3280</v>
      </c>
      <c r="W140" s="61">
        <f t="shared" si="26"/>
        <v>3280</v>
      </c>
      <c r="X140" s="62"/>
      <c r="Y140" s="63"/>
      <c r="Z140" s="229" t="e">
        <f t="shared" si="27"/>
        <v>#DIV/0!</v>
      </c>
      <c r="AA140" s="350"/>
      <c r="AB140" s="181" t="s">
        <v>39</v>
      </c>
      <c r="AC140" s="60" t="s">
        <v>166</v>
      </c>
      <c r="AD140" s="172"/>
      <c r="AE140" s="64"/>
      <c r="AF140" s="60"/>
    </row>
    <row r="141" spans="1:32" s="21" customFormat="1" ht="43.5" customHeight="1">
      <c r="A141" s="52">
        <f t="shared" si="24"/>
        <v>139</v>
      </c>
      <c r="B141" s="53"/>
      <c r="C141" s="52">
        <v>1534</v>
      </c>
      <c r="D141" s="52">
        <v>2</v>
      </c>
      <c r="E141" s="52" t="s">
        <v>184</v>
      </c>
      <c r="F141" s="59" t="s">
        <v>680</v>
      </c>
      <c r="G141" s="52">
        <v>400</v>
      </c>
      <c r="H141" s="52" t="s">
        <v>77</v>
      </c>
      <c r="I141" s="52" t="s">
        <v>580</v>
      </c>
      <c r="J141" s="52" t="s">
        <v>581</v>
      </c>
      <c r="K141" s="52">
        <v>1</v>
      </c>
      <c r="L141" s="54" t="s">
        <v>122</v>
      </c>
      <c r="M141" s="60"/>
      <c r="N141" s="55">
        <v>1000</v>
      </c>
      <c r="O141" s="55">
        <f t="shared" si="25"/>
        <v>1000</v>
      </c>
      <c r="P141" s="56"/>
      <c r="Q141" s="59" t="s">
        <v>579</v>
      </c>
      <c r="R141" s="58">
        <v>45657</v>
      </c>
      <c r="S141" s="52"/>
      <c r="T141" s="59" t="s">
        <v>142</v>
      </c>
      <c r="U141" s="54"/>
      <c r="V141" s="99">
        <v>3280</v>
      </c>
      <c r="W141" s="61">
        <f t="shared" si="26"/>
        <v>3280</v>
      </c>
      <c r="X141" s="62"/>
      <c r="Y141" s="63"/>
      <c r="Z141" s="229" t="e">
        <f t="shared" si="27"/>
        <v>#DIV/0!</v>
      </c>
      <c r="AA141" s="350">
        <v>131</v>
      </c>
      <c r="AB141" s="181" t="s">
        <v>39</v>
      </c>
      <c r="AC141" s="60" t="s">
        <v>166</v>
      </c>
      <c r="AD141" s="172"/>
      <c r="AE141" s="64"/>
      <c r="AF141" s="60"/>
    </row>
    <row r="142" spans="1:32" s="21" customFormat="1" ht="43.5" customHeight="1">
      <c r="A142" s="52">
        <f t="shared" si="24"/>
        <v>140</v>
      </c>
      <c r="B142" s="53"/>
      <c r="C142" s="52">
        <v>1507</v>
      </c>
      <c r="D142" s="52">
        <v>3</v>
      </c>
      <c r="E142" s="52" t="s">
        <v>184</v>
      </c>
      <c r="F142" s="59" t="s">
        <v>622</v>
      </c>
      <c r="G142" s="52">
        <v>400</v>
      </c>
      <c r="H142" s="52" t="s">
        <v>77</v>
      </c>
      <c r="I142" s="52" t="s">
        <v>583</v>
      </c>
      <c r="J142" s="52" t="s">
        <v>584</v>
      </c>
      <c r="K142" s="52">
        <v>1</v>
      </c>
      <c r="L142" s="54" t="s">
        <v>125</v>
      </c>
      <c r="M142" s="60"/>
      <c r="N142" s="55">
        <v>32000</v>
      </c>
      <c r="O142" s="55">
        <f t="shared" si="25"/>
        <v>32000</v>
      </c>
      <c r="P142" s="56"/>
      <c r="Q142" s="59" t="s">
        <v>579</v>
      </c>
      <c r="R142" s="58">
        <v>45657</v>
      </c>
      <c r="S142" s="52"/>
      <c r="T142" s="59" t="s">
        <v>142</v>
      </c>
      <c r="U142" s="54"/>
      <c r="V142" s="99">
        <v>67700</v>
      </c>
      <c r="W142" s="61">
        <f t="shared" si="26"/>
        <v>67700</v>
      </c>
      <c r="X142" s="62"/>
      <c r="Y142" s="63"/>
      <c r="Z142" s="229" t="e">
        <f t="shared" si="27"/>
        <v>#DIV/0!</v>
      </c>
      <c r="AA142" s="350">
        <v>129</v>
      </c>
      <c r="AB142" s="181" t="s">
        <v>39</v>
      </c>
      <c r="AC142" s="147" t="s">
        <v>147</v>
      </c>
      <c r="AD142" s="179"/>
      <c r="AE142" s="64"/>
      <c r="AF142" s="147"/>
    </row>
    <row r="143" spans="1:32" s="21" customFormat="1" ht="43.5" customHeight="1">
      <c r="A143" s="185">
        <f t="shared" si="24"/>
        <v>141</v>
      </c>
      <c r="B143" s="247" t="s">
        <v>662</v>
      </c>
      <c r="C143" s="185">
        <v>1508</v>
      </c>
      <c r="D143" s="185">
        <v>4</v>
      </c>
      <c r="E143" s="185" t="s">
        <v>184</v>
      </c>
      <c r="F143" s="218" t="s">
        <v>661</v>
      </c>
      <c r="G143" s="185">
        <v>400</v>
      </c>
      <c r="H143" s="185" t="s">
        <v>77</v>
      </c>
      <c r="I143" s="185" t="s">
        <v>585</v>
      </c>
      <c r="J143" s="185" t="s">
        <v>586</v>
      </c>
      <c r="K143" s="185">
        <v>1</v>
      </c>
      <c r="L143" s="186" t="s">
        <v>122</v>
      </c>
      <c r="M143" s="248"/>
      <c r="N143" s="199">
        <v>1950</v>
      </c>
      <c r="O143" s="187">
        <f t="shared" si="25"/>
        <v>1950</v>
      </c>
      <c r="P143" s="183"/>
      <c r="Q143" s="218" t="s">
        <v>579</v>
      </c>
      <c r="R143" s="191">
        <v>45657</v>
      </c>
      <c r="S143" s="185"/>
      <c r="T143" s="218" t="s">
        <v>142</v>
      </c>
      <c r="U143" s="186"/>
      <c r="V143" s="239">
        <v>7130</v>
      </c>
      <c r="W143" s="228">
        <f t="shared" si="26"/>
        <v>7130</v>
      </c>
      <c r="X143" s="242"/>
      <c r="Y143" s="63"/>
      <c r="Z143" s="229" t="e">
        <f t="shared" si="27"/>
        <v>#DIV/0!</v>
      </c>
      <c r="AA143" s="248"/>
      <c r="AB143" s="194" t="s">
        <v>62</v>
      </c>
      <c r="AC143" s="248" t="s">
        <v>166</v>
      </c>
      <c r="AD143" s="248"/>
      <c r="AE143" s="251"/>
      <c r="AF143" s="248"/>
    </row>
    <row r="144" spans="1:32" s="21" customFormat="1" ht="43.5" customHeight="1">
      <c r="A144" s="185">
        <f t="shared" si="24"/>
        <v>142</v>
      </c>
      <c r="B144" s="247" t="s">
        <v>662</v>
      </c>
      <c r="C144" s="185">
        <v>1586</v>
      </c>
      <c r="D144" s="185">
        <v>4</v>
      </c>
      <c r="E144" s="185" t="s">
        <v>184</v>
      </c>
      <c r="F144" s="218" t="s">
        <v>661</v>
      </c>
      <c r="G144" s="185">
        <v>400</v>
      </c>
      <c r="H144" s="185" t="s">
        <v>77</v>
      </c>
      <c r="I144" s="185" t="s">
        <v>585</v>
      </c>
      <c r="J144" s="185" t="s">
        <v>586</v>
      </c>
      <c r="K144" s="185">
        <v>1</v>
      </c>
      <c r="L144" s="186" t="s">
        <v>122</v>
      </c>
      <c r="M144" s="248"/>
      <c r="N144" s="199">
        <v>1950</v>
      </c>
      <c r="O144" s="187">
        <f t="shared" si="25"/>
        <v>1950</v>
      </c>
      <c r="P144" s="183"/>
      <c r="Q144" s="218" t="s">
        <v>579</v>
      </c>
      <c r="R144" s="191">
        <v>45657</v>
      </c>
      <c r="S144" s="185"/>
      <c r="T144" s="218" t="s">
        <v>142</v>
      </c>
      <c r="U144" s="186"/>
      <c r="V144" s="239">
        <v>7130</v>
      </c>
      <c r="W144" s="228">
        <f t="shared" si="26"/>
        <v>7130</v>
      </c>
      <c r="X144" s="242"/>
      <c r="Y144" s="63"/>
      <c r="Z144" s="229" t="e">
        <f t="shared" si="27"/>
        <v>#DIV/0!</v>
      </c>
      <c r="AA144" s="248"/>
      <c r="AB144" s="194" t="s">
        <v>62</v>
      </c>
      <c r="AC144" s="248" t="s">
        <v>166</v>
      </c>
      <c r="AD144" s="248"/>
      <c r="AE144" s="251"/>
      <c r="AF144" s="248"/>
    </row>
    <row r="145" spans="1:32" s="21" customFormat="1" ht="43.5" customHeight="1">
      <c r="A145" s="52">
        <f t="shared" si="24"/>
        <v>143</v>
      </c>
      <c r="B145" s="53" t="s">
        <v>662</v>
      </c>
      <c r="C145" s="52">
        <v>1587</v>
      </c>
      <c r="D145" s="52">
        <v>4</v>
      </c>
      <c r="E145" s="52" t="s">
        <v>184</v>
      </c>
      <c r="F145" s="59" t="s">
        <v>660</v>
      </c>
      <c r="G145" s="52">
        <v>400</v>
      </c>
      <c r="H145" s="52" t="s">
        <v>77</v>
      </c>
      <c r="I145" s="52" t="s">
        <v>585</v>
      </c>
      <c r="J145" s="52" t="s">
        <v>586</v>
      </c>
      <c r="K145" s="52">
        <v>1</v>
      </c>
      <c r="L145" s="54" t="s">
        <v>122</v>
      </c>
      <c r="M145" s="60"/>
      <c r="N145" s="103">
        <v>3250</v>
      </c>
      <c r="O145" s="55">
        <f t="shared" si="25"/>
        <v>3250</v>
      </c>
      <c r="P145" s="56"/>
      <c r="Q145" s="59" t="s">
        <v>579</v>
      </c>
      <c r="R145" s="58">
        <v>45657</v>
      </c>
      <c r="S145" s="52"/>
      <c r="T145" s="59" t="s">
        <v>142</v>
      </c>
      <c r="U145" s="54"/>
      <c r="V145" s="99">
        <v>7130</v>
      </c>
      <c r="W145" s="61">
        <f t="shared" si="26"/>
        <v>7130</v>
      </c>
      <c r="X145" s="62"/>
      <c r="Y145" s="63">
        <v>1.28</v>
      </c>
      <c r="Z145" s="229">
        <f t="shared" si="27"/>
        <v>1.7139423076923077</v>
      </c>
      <c r="AA145" s="350">
        <v>133</v>
      </c>
      <c r="AB145" s="181" t="s">
        <v>39</v>
      </c>
      <c r="AC145" s="60" t="s">
        <v>166</v>
      </c>
      <c r="AD145" s="172" t="s">
        <v>722</v>
      </c>
      <c r="AE145" s="64"/>
      <c r="AF145" s="60"/>
    </row>
    <row r="146" spans="1:32" s="21" customFormat="1" ht="43.5" customHeight="1">
      <c r="A146" s="52">
        <f t="shared" si="24"/>
        <v>144</v>
      </c>
      <c r="B146" s="53"/>
      <c r="C146" s="52">
        <v>1519</v>
      </c>
      <c r="D146" s="52">
        <v>5</v>
      </c>
      <c r="E146" s="52" t="s">
        <v>184</v>
      </c>
      <c r="F146" s="52" t="s">
        <v>602</v>
      </c>
      <c r="G146" s="52">
        <v>400</v>
      </c>
      <c r="H146" s="52" t="s">
        <v>603</v>
      </c>
      <c r="I146" s="52">
        <v>6257</v>
      </c>
      <c r="J146" s="52" t="s">
        <v>600</v>
      </c>
      <c r="K146" s="52">
        <v>1</v>
      </c>
      <c r="L146" s="54" t="s">
        <v>601</v>
      </c>
      <c r="M146" s="60"/>
      <c r="N146" s="55">
        <v>1250</v>
      </c>
      <c r="O146" s="55">
        <f t="shared" si="25"/>
        <v>1250</v>
      </c>
      <c r="P146" s="136"/>
      <c r="Q146" s="59" t="s">
        <v>579</v>
      </c>
      <c r="R146" s="58">
        <v>45665</v>
      </c>
      <c r="S146" s="134"/>
      <c r="T146" s="59" t="s">
        <v>142</v>
      </c>
      <c r="U146" s="54"/>
      <c r="V146" s="99">
        <v>2650</v>
      </c>
      <c r="W146" s="61">
        <f t="shared" si="26"/>
        <v>2650</v>
      </c>
      <c r="X146" s="62"/>
      <c r="Y146" s="63">
        <v>1.28</v>
      </c>
      <c r="Z146" s="229">
        <f t="shared" si="27"/>
        <v>1.65625</v>
      </c>
      <c r="AA146" s="350">
        <v>131</v>
      </c>
      <c r="AB146" s="181" t="s">
        <v>39</v>
      </c>
      <c r="AC146" s="60" t="s">
        <v>166</v>
      </c>
      <c r="AD146" s="172"/>
      <c r="AE146" s="64"/>
      <c r="AF146" s="60"/>
    </row>
    <row r="147" spans="1:32" s="21" customFormat="1" ht="43.5" customHeight="1">
      <c r="A147" s="52">
        <f t="shared" si="24"/>
        <v>145</v>
      </c>
      <c r="B147" s="53" t="s">
        <v>628</v>
      </c>
      <c r="C147" s="52">
        <v>1514</v>
      </c>
      <c r="D147" s="52">
        <v>1</v>
      </c>
      <c r="E147" s="52" t="s">
        <v>184</v>
      </c>
      <c r="F147" s="52" t="s">
        <v>595</v>
      </c>
      <c r="G147" s="52">
        <v>400</v>
      </c>
      <c r="H147" s="52" t="s">
        <v>77</v>
      </c>
      <c r="I147" s="52" t="s">
        <v>594</v>
      </c>
      <c r="J147" s="52" t="s">
        <v>593</v>
      </c>
      <c r="K147" s="52">
        <v>1</v>
      </c>
      <c r="L147" s="54" t="s">
        <v>125</v>
      </c>
      <c r="M147" s="60"/>
      <c r="N147" s="55">
        <v>65000</v>
      </c>
      <c r="O147" s="55">
        <f t="shared" si="25"/>
        <v>65000</v>
      </c>
      <c r="P147" s="136"/>
      <c r="Q147" s="135" t="s">
        <v>596</v>
      </c>
      <c r="R147" s="137">
        <v>45657</v>
      </c>
      <c r="S147" s="134"/>
      <c r="T147" s="59" t="s">
        <v>142</v>
      </c>
      <c r="U147" s="54"/>
      <c r="V147" s="99">
        <v>99480</v>
      </c>
      <c r="W147" s="61">
        <f t="shared" si="26"/>
        <v>99480</v>
      </c>
      <c r="X147" s="62"/>
      <c r="Y147" s="63">
        <v>1.28</v>
      </c>
      <c r="Z147" s="229">
        <f t="shared" si="27"/>
        <v>1.195673076923077</v>
      </c>
      <c r="AA147" s="350"/>
      <c r="AB147" s="205" t="s">
        <v>20</v>
      </c>
      <c r="AC147" s="60" t="s">
        <v>166</v>
      </c>
      <c r="AD147" s="174" t="s">
        <v>685</v>
      </c>
      <c r="AE147" s="64"/>
      <c r="AF147" s="60"/>
    </row>
    <row r="148" spans="1:32" s="21" customFormat="1" ht="43.5" customHeight="1">
      <c r="A148" s="52">
        <f t="shared" si="24"/>
        <v>146</v>
      </c>
      <c r="B148" s="53" t="s">
        <v>628</v>
      </c>
      <c r="C148" s="52">
        <v>1515</v>
      </c>
      <c r="D148" s="52">
        <v>2</v>
      </c>
      <c r="E148" s="52" t="s">
        <v>184</v>
      </c>
      <c r="F148" s="52" t="s">
        <v>666</v>
      </c>
      <c r="G148" s="52">
        <v>400</v>
      </c>
      <c r="H148" s="52" t="s">
        <v>77</v>
      </c>
      <c r="I148" s="54" t="s">
        <v>598</v>
      </c>
      <c r="J148" s="52" t="s">
        <v>593</v>
      </c>
      <c r="K148" s="52">
        <v>1</v>
      </c>
      <c r="L148" s="54" t="s">
        <v>125</v>
      </c>
      <c r="M148" s="60"/>
      <c r="N148" s="55">
        <v>62500</v>
      </c>
      <c r="O148" s="55">
        <f t="shared" si="25"/>
        <v>62500</v>
      </c>
      <c r="P148" s="136"/>
      <c r="Q148" s="135" t="s">
        <v>596</v>
      </c>
      <c r="R148" s="137">
        <v>45657</v>
      </c>
      <c r="S148" s="134"/>
      <c r="T148" s="59" t="s">
        <v>142</v>
      </c>
      <c r="U148" s="54" t="s">
        <v>598</v>
      </c>
      <c r="V148" s="99">
        <v>99480</v>
      </c>
      <c r="W148" s="61">
        <f t="shared" si="26"/>
        <v>99480</v>
      </c>
      <c r="X148" s="62"/>
      <c r="Y148" s="63">
        <v>1.28</v>
      </c>
      <c r="Z148" s="229">
        <f t="shared" si="27"/>
        <v>1.2435</v>
      </c>
      <c r="AA148" s="350">
        <v>131</v>
      </c>
      <c r="AB148" s="181" t="s">
        <v>39</v>
      </c>
      <c r="AC148" s="53" t="s">
        <v>673</v>
      </c>
      <c r="AD148" s="174"/>
      <c r="AE148" s="64"/>
      <c r="AF148" s="60"/>
    </row>
    <row r="149" spans="1:32" s="21" customFormat="1" ht="43.5" customHeight="1">
      <c r="A149" s="160">
        <f t="shared" si="24"/>
        <v>147</v>
      </c>
      <c r="B149" s="161"/>
      <c r="C149" s="160">
        <v>1517</v>
      </c>
      <c r="D149" s="160">
        <v>1</v>
      </c>
      <c r="E149" s="160" t="s">
        <v>79</v>
      </c>
      <c r="F149" s="162" t="s">
        <v>589</v>
      </c>
      <c r="G149" s="160">
        <v>399</v>
      </c>
      <c r="H149" s="160" t="s">
        <v>77</v>
      </c>
      <c r="I149" s="163" t="s">
        <v>604</v>
      </c>
      <c r="J149" s="160" t="s">
        <v>378</v>
      </c>
      <c r="K149" s="52">
        <v>50</v>
      </c>
      <c r="L149" s="54" t="s">
        <v>76</v>
      </c>
      <c r="M149" s="60"/>
      <c r="N149" s="55">
        <v>17</v>
      </c>
      <c r="O149" s="55">
        <f t="shared" si="25"/>
        <v>850</v>
      </c>
      <c r="P149" s="136"/>
      <c r="Q149" s="135" t="s">
        <v>605</v>
      </c>
      <c r="R149" s="137">
        <v>45665</v>
      </c>
      <c r="S149" s="134"/>
      <c r="T149" s="59" t="s">
        <v>85</v>
      </c>
      <c r="U149" s="54"/>
      <c r="V149" s="99">
        <v>36</v>
      </c>
      <c r="W149" s="61">
        <f t="shared" si="26"/>
        <v>1800</v>
      </c>
      <c r="X149" s="62"/>
      <c r="Y149" s="63"/>
      <c r="Z149" s="229" t="e">
        <f t="shared" si="27"/>
        <v>#DIV/0!</v>
      </c>
      <c r="AA149" s="350">
        <v>134</v>
      </c>
      <c r="AB149" s="181" t="s">
        <v>39</v>
      </c>
      <c r="AC149" s="165" t="s">
        <v>664</v>
      </c>
      <c r="AD149" s="174"/>
      <c r="AE149" s="64"/>
      <c r="AF149" s="165"/>
    </row>
    <row r="150" spans="1:32" s="21" customFormat="1" ht="43.5" customHeight="1">
      <c r="A150" s="160">
        <f t="shared" si="24"/>
        <v>148</v>
      </c>
      <c r="B150" s="161"/>
      <c r="C150" s="160">
        <v>1518</v>
      </c>
      <c r="D150" s="160">
        <v>2</v>
      </c>
      <c r="E150" s="160" t="s">
        <v>79</v>
      </c>
      <c r="F150" s="160" t="s">
        <v>212</v>
      </c>
      <c r="G150" s="160">
        <v>399</v>
      </c>
      <c r="H150" s="160" t="s">
        <v>77</v>
      </c>
      <c r="I150" s="160" t="s">
        <v>606</v>
      </c>
      <c r="J150" s="160" t="s">
        <v>607</v>
      </c>
      <c r="K150" s="52">
        <v>1</v>
      </c>
      <c r="L150" s="54" t="s">
        <v>76</v>
      </c>
      <c r="M150" s="60"/>
      <c r="N150" s="55">
        <v>4500</v>
      </c>
      <c r="O150" s="55">
        <f t="shared" si="25"/>
        <v>4500</v>
      </c>
      <c r="P150" s="136"/>
      <c r="Q150" s="135" t="s">
        <v>605</v>
      </c>
      <c r="R150" s="137">
        <v>45665</v>
      </c>
      <c r="S150" s="134"/>
      <c r="T150" s="59" t="s">
        <v>85</v>
      </c>
      <c r="U150" s="54"/>
      <c r="V150" s="99">
        <v>8380</v>
      </c>
      <c r="W150" s="61">
        <f t="shared" si="26"/>
        <v>8380</v>
      </c>
      <c r="X150" s="62"/>
      <c r="Y150" s="63"/>
      <c r="Z150" s="229" t="e">
        <f t="shared" si="27"/>
        <v>#DIV/0!</v>
      </c>
      <c r="AA150" s="350">
        <v>131</v>
      </c>
      <c r="AB150" s="181" t="s">
        <v>39</v>
      </c>
      <c r="AC150" s="148"/>
      <c r="AD150" s="172"/>
      <c r="AE150" s="64"/>
      <c r="AF150" s="148"/>
    </row>
    <row r="151" spans="1:32" s="21" customFormat="1" ht="43.5" customHeight="1">
      <c r="A151" s="52">
        <f t="shared" si="24"/>
        <v>149</v>
      </c>
      <c r="B151" s="53"/>
      <c r="C151" s="52">
        <v>1525</v>
      </c>
      <c r="D151" s="52">
        <v>1</v>
      </c>
      <c r="E151" s="52" t="s">
        <v>139</v>
      </c>
      <c r="F151" s="151" t="s">
        <v>589</v>
      </c>
      <c r="G151" s="52">
        <v>402</v>
      </c>
      <c r="H151" s="52" t="s">
        <v>140</v>
      </c>
      <c r="I151" s="52" t="s">
        <v>609</v>
      </c>
      <c r="J151" s="52" t="s">
        <v>610</v>
      </c>
      <c r="K151" s="54">
        <v>1</v>
      </c>
      <c r="L151" s="54" t="s">
        <v>76</v>
      </c>
      <c r="M151" s="60"/>
      <c r="N151" s="158">
        <v>800</v>
      </c>
      <c r="O151" s="55">
        <f t="shared" si="25"/>
        <v>800</v>
      </c>
      <c r="P151" s="136"/>
      <c r="Q151" s="135" t="s">
        <v>621</v>
      </c>
      <c r="R151" s="137">
        <v>45665</v>
      </c>
      <c r="S151" s="134"/>
      <c r="T151" s="59" t="s">
        <v>142</v>
      </c>
      <c r="U151" s="54"/>
      <c r="V151" s="99">
        <v>1610</v>
      </c>
      <c r="W151" s="61">
        <f t="shared" si="26"/>
        <v>1610</v>
      </c>
      <c r="X151" s="62"/>
      <c r="Y151" s="63"/>
      <c r="Z151" s="229" t="e">
        <f t="shared" si="27"/>
        <v>#DIV/0!</v>
      </c>
      <c r="AA151" s="350">
        <v>134</v>
      </c>
      <c r="AB151" s="181" t="s">
        <v>39</v>
      </c>
      <c r="AC151" s="60"/>
      <c r="AD151" s="172"/>
      <c r="AE151" s="64"/>
      <c r="AF151" s="60"/>
    </row>
    <row r="152" spans="1:32" s="21" customFormat="1" ht="43.5" customHeight="1">
      <c r="A152" s="52">
        <f t="shared" si="24"/>
        <v>150</v>
      </c>
      <c r="B152" s="53"/>
      <c r="C152" s="52">
        <v>1526</v>
      </c>
      <c r="D152" s="52">
        <v>2</v>
      </c>
      <c r="E152" s="52" t="s">
        <v>139</v>
      </c>
      <c r="F152" s="52" t="s">
        <v>196</v>
      </c>
      <c r="G152" s="52">
        <v>402</v>
      </c>
      <c r="H152" s="52" t="s">
        <v>140</v>
      </c>
      <c r="I152" s="52" t="s">
        <v>611</v>
      </c>
      <c r="J152" s="52" t="s">
        <v>612</v>
      </c>
      <c r="K152" s="54">
        <v>1</v>
      </c>
      <c r="L152" s="54" t="s">
        <v>122</v>
      </c>
      <c r="M152" s="60"/>
      <c r="N152" s="55">
        <v>1100</v>
      </c>
      <c r="O152" s="55">
        <f t="shared" si="25"/>
        <v>1100</v>
      </c>
      <c r="P152" s="136"/>
      <c r="Q152" s="135" t="s">
        <v>621</v>
      </c>
      <c r="R152" s="137">
        <v>45665</v>
      </c>
      <c r="S152" s="134"/>
      <c r="T152" s="59" t="s">
        <v>142</v>
      </c>
      <c r="U152" s="54"/>
      <c r="V152" s="99">
        <v>2250</v>
      </c>
      <c r="W152" s="61">
        <f t="shared" si="26"/>
        <v>2250</v>
      </c>
      <c r="X152" s="62"/>
      <c r="Y152" s="63"/>
      <c r="Z152" s="229" t="e">
        <f t="shared" si="27"/>
        <v>#DIV/0!</v>
      </c>
      <c r="AA152" s="350"/>
      <c r="AB152" s="181" t="s">
        <v>39</v>
      </c>
      <c r="AC152" s="60"/>
      <c r="AD152" s="172"/>
      <c r="AE152" s="64"/>
      <c r="AF152" s="60"/>
    </row>
    <row r="153" spans="1:32" s="21" customFormat="1" ht="43.5" customHeight="1">
      <c r="A153" s="52">
        <f t="shared" si="24"/>
        <v>151</v>
      </c>
      <c r="B153" s="53"/>
      <c r="C153" s="52">
        <v>1527</v>
      </c>
      <c r="D153" s="52">
        <v>3</v>
      </c>
      <c r="E153" s="52" t="s">
        <v>139</v>
      </c>
      <c r="F153" s="52" t="s">
        <v>196</v>
      </c>
      <c r="G153" s="52">
        <v>402</v>
      </c>
      <c r="H153" s="52" t="s">
        <v>140</v>
      </c>
      <c r="I153" s="52" t="s">
        <v>613</v>
      </c>
      <c r="J153" s="52" t="s">
        <v>614</v>
      </c>
      <c r="K153" s="54">
        <v>3</v>
      </c>
      <c r="L153" s="54" t="s">
        <v>91</v>
      </c>
      <c r="M153" s="60"/>
      <c r="N153" s="55">
        <v>300</v>
      </c>
      <c r="O153" s="55">
        <f t="shared" si="25"/>
        <v>900</v>
      </c>
      <c r="P153" s="56"/>
      <c r="Q153" s="135" t="s">
        <v>621</v>
      </c>
      <c r="R153" s="137">
        <v>45665</v>
      </c>
      <c r="S153" s="52"/>
      <c r="T153" s="59" t="s">
        <v>142</v>
      </c>
      <c r="U153" s="54"/>
      <c r="V153" s="99">
        <v>635</v>
      </c>
      <c r="W153" s="61">
        <f t="shared" si="26"/>
        <v>1905</v>
      </c>
      <c r="X153" s="62"/>
      <c r="Y153" s="63"/>
      <c r="Z153" s="229" t="e">
        <f t="shared" si="27"/>
        <v>#DIV/0!</v>
      </c>
      <c r="AA153" s="350">
        <v>134</v>
      </c>
      <c r="AB153" s="181" t="s">
        <v>39</v>
      </c>
      <c r="AC153" s="60"/>
      <c r="AD153" s="172"/>
      <c r="AE153" s="64"/>
      <c r="AF153" s="60"/>
    </row>
    <row r="154" spans="1:32" s="21" customFormat="1" ht="43.5" customHeight="1">
      <c r="A154" s="185">
        <f t="shared" ref="A154:A182" si="28">A153+1</f>
        <v>152</v>
      </c>
      <c r="B154" s="247"/>
      <c r="C154" s="185">
        <v>1527</v>
      </c>
      <c r="D154" s="185">
        <v>3</v>
      </c>
      <c r="E154" s="185" t="s">
        <v>139</v>
      </c>
      <c r="F154" s="185" t="s">
        <v>196</v>
      </c>
      <c r="G154" s="185">
        <v>402</v>
      </c>
      <c r="H154" s="185" t="s">
        <v>140</v>
      </c>
      <c r="I154" s="185" t="s">
        <v>613</v>
      </c>
      <c r="J154" s="185" t="s">
        <v>614</v>
      </c>
      <c r="K154" s="186">
        <v>1</v>
      </c>
      <c r="L154" s="186" t="s">
        <v>91</v>
      </c>
      <c r="M154" s="248"/>
      <c r="N154" s="187">
        <v>300</v>
      </c>
      <c r="O154" s="187">
        <f t="shared" ref="O154:O182" si="29">N154*K154</f>
        <v>300</v>
      </c>
      <c r="P154" s="183"/>
      <c r="Q154" s="218" t="s">
        <v>621</v>
      </c>
      <c r="R154" s="191">
        <v>45665</v>
      </c>
      <c r="S154" s="185"/>
      <c r="T154" s="218" t="s">
        <v>142</v>
      </c>
      <c r="U154" s="186"/>
      <c r="V154" s="239">
        <v>635</v>
      </c>
      <c r="W154" s="228">
        <f t="shared" ref="W154:W182" si="30">V154*K154</f>
        <v>635</v>
      </c>
      <c r="X154" s="242"/>
      <c r="Y154" s="63"/>
      <c r="Z154" s="229" t="e">
        <f t="shared" ref="Z154:Z182" si="31">W154/O154/Y154</f>
        <v>#DIV/0!</v>
      </c>
      <c r="AA154" s="248"/>
      <c r="AB154" s="195" t="s">
        <v>22</v>
      </c>
      <c r="AC154" s="248"/>
      <c r="AD154" s="248"/>
      <c r="AE154" s="251"/>
      <c r="AF154" s="248"/>
    </row>
    <row r="155" spans="1:32" s="21" customFormat="1" ht="43.5" customHeight="1">
      <c r="A155" s="52">
        <f t="shared" si="28"/>
        <v>153</v>
      </c>
      <c r="B155" s="53"/>
      <c r="C155" s="52">
        <v>1528</v>
      </c>
      <c r="D155" s="52">
        <v>4</v>
      </c>
      <c r="E155" s="52" t="s">
        <v>139</v>
      </c>
      <c r="F155" s="52" t="s">
        <v>196</v>
      </c>
      <c r="G155" s="52">
        <v>402</v>
      </c>
      <c r="H155" s="52" t="s">
        <v>140</v>
      </c>
      <c r="I155" s="52" t="s">
        <v>615</v>
      </c>
      <c r="J155" s="52" t="s">
        <v>616</v>
      </c>
      <c r="K155" s="54">
        <v>1</v>
      </c>
      <c r="L155" s="54" t="s">
        <v>91</v>
      </c>
      <c r="M155" s="60"/>
      <c r="N155" s="55">
        <v>62.91</v>
      </c>
      <c r="O155" s="55">
        <f t="shared" si="29"/>
        <v>62.91</v>
      </c>
      <c r="P155" s="56"/>
      <c r="Q155" s="135" t="s">
        <v>621</v>
      </c>
      <c r="R155" s="137">
        <v>45665</v>
      </c>
      <c r="S155" s="52"/>
      <c r="T155" s="59" t="s">
        <v>142</v>
      </c>
      <c r="U155" s="54"/>
      <c r="V155" s="99">
        <v>255</v>
      </c>
      <c r="W155" s="61">
        <f t="shared" si="30"/>
        <v>255</v>
      </c>
      <c r="X155" s="62"/>
      <c r="Y155" s="63"/>
      <c r="Z155" s="229" t="e">
        <f t="shared" si="31"/>
        <v>#DIV/0!</v>
      </c>
      <c r="AA155" s="350">
        <v>134</v>
      </c>
      <c r="AB155" s="181" t="s">
        <v>39</v>
      </c>
      <c r="AC155" s="60"/>
      <c r="AD155" s="172"/>
      <c r="AE155" s="64"/>
      <c r="AF155" s="60"/>
    </row>
    <row r="156" spans="1:32" s="21" customFormat="1" ht="43.5" customHeight="1">
      <c r="A156" s="52">
        <f t="shared" si="28"/>
        <v>154</v>
      </c>
      <c r="B156" s="53"/>
      <c r="C156" s="52">
        <v>1529</v>
      </c>
      <c r="D156" s="52">
        <v>5</v>
      </c>
      <c r="E156" s="52" t="s">
        <v>139</v>
      </c>
      <c r="F156" s="52" t="s">
        <v>196</v>
      </c>
      <c r="G156" s="52">
        <v>402</v>
      </c>
      <c r="H156" s="52" t="s">
        <v>140</v>
      </c>
      <c r="I156" s="52" t="s">
        <v>617</v>
      </c>
      <c r="J156" s="52" t="s">
        <v>618</v>
      </c>
      <c r="K156" s="54">
        <v>1</v>
      </c>
      <c r="L156" s="54" t="s">
        <v>91</v>
      </c>
      <c r="M156" s="60"/>
      <c r="N156" s="55">
        <v>4500</v>
      </c>
      <c r="O156" s="55">
        <f t="shared" si="29"/>
        <v>4500</v>
      </c>
      <c r="P156" s="56"/>
      <c r="Q156" s="135" t="s">
        <v>621</v>
      </c>
      <c r="R156" s="137">
        <v>45665</v>
      </c>
      <c r="S156" s="52"/>
      <c r="T156" s="59" t="s">
        <v>142</v>
      </c>
      <c r="U156" s="54"/>
      <c r="V156" s="99">
        <v>7050</v>
      </c>
      <c r="W156" s="61">
        <f t="shared" si="30"/>
        <v>7050</v>
      </c>
      <c r="X156" s="62"/>
      <c r="Y156" s="63"/>
      <c r="Z156" s="229" t="e">
        <f t="shared" si="31"/>
        <v>#DIV/0!</v>
      </c>
      <c r="AA156" s="350">
        <v>134</v>
      </c>
      <c r="AB156" s="181" t="s">
        <v>39</v>
      </c>
      <c r="AC156" s="60"/>
      <c r="AD156" s="172"/>
      <c r="AE156" s="64"/>
      <c r="AF156" s="60"/>
    </row>
    <row r="157" spans="1:32" s="21" customFormat="1" ht="43.5" customHeight="1">
      <c r="A157" s="52">
        <f t="shared" si="28"/>
        <v>155</v>
      </c>
      <c r="B157" s="53"/>
      <c r="C157" s="52">
        <v>1530</v>
      </c>
      <c r="D157" s="52">
        <v>6</v>
      </c>
      <c r="E157" s="52" t="s">
        <v>139</v>
      </c>
      <c r="F157" s="52" t="s">
        <v>196</v>
      </c>
      <c r="G157" s="52">
        <v>402</v>
      </c>
      <c r="H157" s="52" t="s">
        <v>140</v>
      </c>
      <c r="I157" s="52" t="s">
        <v>619</v>
      </c>
      <c r="J157" s="52" t="s">
        <v>620</v>
      </c>
      <c r="K157" s="54">
        <v>1</v>
      </c>
      <c r="L157" s="54" t="s">
        <v>91</v>
      </c>
      <c r="M157" s="60"/>
      <c r="N157" s="55">
        <v>53.59</v>
      </c>
      <c r="O157" s="55">
        <f t="shared" si="29"/>
        <v>53.59</v>
      </c>
      <c r="P157" s="56"/>
      <c r="Q157" s="135" t="s">
        <v>621</v>
      </c>
      <c r="R157" s="137">
        <v>45665</v>
      </c>
      <c r="S157" s="52"/>
      <c r="T157" s="59" t="s">
        <v>142</v>
      </c>
      <c r="U157" s="54"/>
      <c r="V157" s="99">
        <v>0</v>
      </c>
      <c r="W157" s="61">
        <f t="shared" si="30"/>
        <v>0</v>
      </c>
      <c r="X157" s="62"/>
      <c r="Y157" s="63"/>
      <c r="Z157" s="229" t="e">
        <f t="shared" si="31"/>
        <v>#DIV/0!</v>
      </c>
      <c r="AA157" s="350"/>
      <c r="AB157" s="205" t="s">
        <v>20</v>
      </c>
      <c r="AC157" s="53" t="s">
        <v>624</v>
      </c>
      <c r="AD157" s="172"/>
      <c r="AE157" s="64"/>
      <c r="AF157" s="60"/>
    </row>
    <row r="158" spans="1:32" s="21" customFormat="1" ht="43.5" customHeight="1">
      <c r="A158" s="160">
        <f t="shared" si="28"/>
        <v>156</v>
      </c>
      <c r="B158" s="161" t="s">
        <v>637</v>
      </c>
      <c r="C158" s="160">
        <v>1584</v>
      </c>
      <c r="D158" s="160">
        <v>1</v>
      </c>
      <c r="E158" s="160" t="s">
        <v>79</v>
      </c>
      <c r="F158" s="164" t="s">
        <v>636</v>
      </c>
      <c r="G158" s="160">
        <v>399</v>
      </c>
      <c r="H158" s="160" t="s">
        <v>635</v>
      </c>
      <c r="I158" s="160" t="s">
        <v>783</v>
      </c>
      <c r="J158" s="160" t="s">
        <v>242</v>
      </c>
      <c r="K158" s="52">
        <v>10</v>
      </c>
      <c r="L158" s="54" t="s">
        <v>76</v>
      </c>
      <c r="M158" s="60"/>
      <c r="N158" s="55">
        <v>48</v>
      </c>
      <c r="O158" s="55">
        <f t="shared" si="29"/>
        <v>480</v>
      </c>
      <c r="P158" s="56"/>
      <c r="Q158" s="59" t="s">
        <v>633</v>
      </c>
      <c r="R158" s="58">
        <v>45675</v>
      </c>
      <c r="S158" s="52" t="s">
        <v>634</v>
      </c>
      <c r="T158" s="59" t="s">
        <v>81</v>
      </c>
      <c r="U158" s="54"/>
      <c r="V158" s="99">
        <v>100</v>
      </c>
      <c r="W158" s="61">
        <f t="shared" si="30"/>
        <v>1000</v>
      </c>
      <c r="X158" s="62"/>
      <c r="Y158" s="63"/>
      <c r="Z158" s="229" t="e">
        <f t="shared" si="31"/>
        <v>#DIV/0!</v>
      </c>
      <c r="AA158" s="350">
        <v>129</v>
      </c>
      <c r="AB158" s="181" t="s">
        <v>39</v>
      </c>
      <c r="AC158" s="60"/>
      <c r="AD158" s="172"/>
      <c r="AE158" s="64"/>
      <c r="AF158" s="60"/>
    </row>
    <row r="159" spans="1:32" s="21" customFormat="1" ht="43.5" customHeight="1">
      <c r="A159" s="185">
        <f t="shared" si="28"/>
        <v>157</v>
      </c>
      <c r="B159" s="247"/>
      <c r="C159" s="185">
        <v>1589</v>
      </c>
      <c r="D159" s="185">
        <v>1</v>
      </c>
      <c r="E159" s="185" t="s">
        <v>201</v>
      </c>
      <c r="F159" s="185" t="s">
        <v>138</v>
      </c>
      <c r="G159" s="185">
        <v>406</v>
      </c>
      <c r="H159" s="185" t="s">
        <v>140</v>
      </c>
      <c r="I159" s="261" t="s">
        <v>649</v>
      </c>
      <c r="J159" s="185" t="s">
        <v>653</v>
      </c>
      <c r="K159" s="185">
        <v>16800</v>
      </c>
      <c r="L159" s="186" t="s">
        <v>76</v>
      </c>
      <c r="M159" s="248"/>
      <c r="N159" s="187">
        <v>0.08</v>
      </c>
      <c r="O159" s="187">
        <f t="shared" si="29"/>
        <v>1344</v>
      </c>
      <c r="P159" s="183"/>
      <c r="Q159" s="218" t="s">
        <v>784</v>
      </c>
      <c r="R159" s="191" t="s">
        <v>785</v>
      </c>
      <c r="S159" s="185"/>
      <c r="T159" s="218"/>
      <c r="U159" s="186"/>
      <c r="V159" s="240">
        <v>0.25</v>
      </c>
      <c r="W159" s="228">
        <f t="shared" si="30"/>
        <v>4200</v>
      </c>
      <c r="X159" s="242"/>
      <c r="Y159" s="63"/>
      <c r="Z159" s="229" t="e">
        <f t="shared" si="31"/>
        <v>#DIV/0!</v>
      </c>
      <c r="AA159" s="248">
        <v>144</v>
      </c>
      <c r="AB159" s="203" t="s">
        <v>17</v>
      </c>
      <c r="AC159" s="248"/>
      <c r="AD159" s="248"/>
      <c r="AE159" s="251"/>
      <c r="AF159" s="248"/>
    </row>
    <row r="160" spans="1:32" s="21" customFormat="1" ht="43.5" customHeight="1">
      <c r="A160" s="185">
        <f t="shared" si="28"/>
        <v>158</v>
      </c>
      <c r="B160" s="247"/>
      <c r="C160" s="185">
        <v>1590</v>
      </c>
      <c r="D160" s="185">
        <v>2</v>
      </c>
      <c r="E160" s="185" t="s">
        <v>201</v>
      </c>
      <c r="F160" s="185" t="s">
        <v>138</v>
      </c>
      <c r="G160" s="185">
        <v>406</v>
      </c>
      <c r="H160" s="185" t="s">
        <v>140</v>
      </c>
      <c r="I160" s="261" t="s">
        <v>650</v>
      </c>
      <c r="J160" s="185" t="s">
        <v>651</v>
      </c>
      <c r="K160" s="185">
        <v>3500</v>
      </c>
      <c r="L160" s="186" t="s">
        <v>76</v>
      </c>
      <c r="M160" s="248"/>
      <c r="N160" s="187">
        <v>2.35</v>
      </c>
      <c r="O160" s="187">
        <f t="shared" si="29"/>
        <v>8225</v>
      </c>
      <c r="P160" s="183"/>
      <c r="Q160" s="218" t="s">
        <v>784</v>
      </c>
      <c r="R160" s="191" t="s">
        <v>785</v>
      </c>
      <c r="S160" s="185"/>
      <c r="T160" s="218"/>
      <c r="U160" s="186"/>
      <c r="V160" s="240">
        <v>4.0999999999999996</v>
      </c>
      <c r="W160" s="228">
        <f t="shared" si="30"/>
        <v>14349.999999999998</v>
      </c>
      <c r="X160" s="242"/>
      <c r="Y160" s="63"/>
      <c r="Z160" s="229" t="e">
        <f t="shared" si="31"/>
        <v>#DIV/0!</v>
      </c>
      <c r="AA160" s="248">
        <v>140</v>
      </c>
      <c r="AB160" s="203" t="s">
        <v>17</v>
      </c>
      <c r="AC160" s="248"/>
      <c r="AD160" s="248"/>
      <c r="AE160" s="251"/>
      <c r="AF160" s="248"/>
    </row>
    <row r="161" spans="1:32" s="21" customFormat="1" ht="43.5" customHeight="1">
      <c r="A161" s="185">
        <f t="shared" si="28"/>
        <v>159</v>
      </c>
      <c r="B161" s="247"/>
      <c r="C161" s="185">
        <v>1591</v>
      </c>
      <c r="D161" s="185">
        <v>3</v>
      </c>
      <c r="E161" s="185" t="s">
        <v>201</v>
      </c>
      <c r="F161" s="185" t="s">
        <v>138</v>
      </c>
      <c r="G161" s="185">
        <v>406</v>
      </c>
      <c r="H161" s="185" t="s">
        <v>140</v>
      </c>
      <c r="I161" s="261" t="s">
        <v>234</v>
      </c>
      <c r="J161" s="185" t="s">
        <v>652</v>
      </c>
      <c r="K161" s="185">
        <v>1000</v>
      </c>
      <c r="L161" s="186" t="s">
        <v>76</v>
      </c>
      <c r="M161" s="207">
        <v>500</v>
      </c>
      <c r="N161" s="187">
        <v>0.05</v>
      </c>
      <c r="O161" s="187">
        <f t="shared" si="29"/>
        <v>50</v>
      </c>
      <c r="P161" s="183"/>
      <c r="Q161" s="218" t="s">
        <v>784</v>
      </c>
      <c r="R161" s="191" t="s">
        <v>785</v>
      </c>
      <c r="S161" s="185"/>
      <c r="T161" s="218"/>
      <c r="U161" s="186"/>
      <c r="V161" s="240">
        <v>0.4</v>
      </c>
      <c r="W161" s="228">
        <f>V161*M161</f>
        <v>200</v>
      </c>
      <c r="X161" s="242"/>
      <c r="Y161" s="63"/>
      <c r="Z161" s="229" t="e">
        <f t="shared" si="31"/>
        <v>#DIV/0!</v>
      </c>
      <c r="AA161" s="248">
        <v>140</v>
      </c>
      <c r="AB161" s="203" t="s">
        <v>17</v>
      </c>
      <c r="AC161" s="248"/>
      <c r="AD161" s="248"/>
      <c r="AE161" s="251"/>
      <c r="AF161" s="248"/>
    </row>
    <row r="162" spans="1:32" s="21" customFormat="1" ht="43.5" customHeight="1">
      <c r="A162" s="185">
        <f t="shared" si="28"/>
        <v>160</v>
      </c>
      <c r="B162" s="247"/>
      <c r="C162" s="185">
        <v>1592</v>
      </c>
      <c r="D162" s="185">
        <v>4</v>
      </c>
      <c r="E162" s="185" t="s">
        <v>201</v>
      </c>
      <c r="F162" s="185" t="s">
        <v>138</v>
      </c>
      <c r="G162" s="185">
        <v>406</v>
      </c>
      <c r="H162" s="185" t="s">
        <v>140</v>
      </c>
      <c r="I162" s="261" t="s">
        <v>235</v>
      </c>
      <c r="J162" s="185" t="s">
        <v>236</v>
      </c>
      <c r="K162" s="185">
        <v>229</v>
      </c>
      <c r="L162" s="186" t="s">
        <v>76</v>
      </c>
      <c r="M162" s="248"/>
      <c r="N162" s="187">
        <v>1.87</v>
      </c>
      <c r="O162" s="187">
        <f t="shared" si="29"/>
        <v>428.23</v>
      </c>
      <c r="P162" s="183"/>
      <c r="Q162" s="218" t="s">
        <v>784</v>
      </c>
      <c r="R162" s="191" t="s">
        <v>785</v>
      </c>
      <c r="S162" s="185"/>
      <c r="T162" s="218"/>
      <c r="U162" s="186"/>
      <c r="V162" s="240">
        <v>3.4</v>
      </c>
      <c r="W162" s="228">
        <f t="shared" si="30"/>
        <v>778.6</v>
      </c>
      <c r="X162" s="242"/>
      <c r="Y162" s="63"/>
      <c r="Z162" s="229" t="e">
        <f t="shared" si="31"/>
        <v>#DIV/0!</v>
      </c>
      <c r="AA162" s="248">
        <v>140</v>
      </c>
      <c r="AB162" s="203" t="s">
        <v>17</v>
      </c>
      <c r="AC162" s="248"/>
      <c r="AD162" s="248"/>
      <c r="AE162" s="251"/>
      <c r="AF162" s="248"/>
    </row>
    <row r="163" spans="1:32" s="21" customFormat="1" ht="43.5" customHeight="1">
      <c r="A163" s="185">
        <f t="shared" si="28"/>
        <v>161</v>
      </c>
      <c r="B163" s="247"/>
      <c r="C163" s="185">
        <v>1593</v>
      </c>
      <c r="D163" s="185">
        <v>5</v>
      </c>
      <c r="E163" s="185" t="s">
        <v>201</v>
      </c>
      <c r="F163" s="185" t="s">
        <v>138</v>
      </c>
      <c r="G163" s="185">
        <v>406</v>
      </c>
      <c r="H163" s="185" t="s">
        <v>140</v>
      </c>
      <c r="I163" s="261" t="s">
        <v>239</v>
      </c>
      <c r="J163" s="185" t="s">
        <v>240</v>
      </c>
      <c r="K163" s="185">
        <v>400</v>
      </c>
      <c r="L163" s="186" t="s">
        <v>76</v>
      </c>
      <c r="M163" s="207">
        <v>200</v>
      </c>
      <c r="N163" s="187">
        <v>0.13</v>
      </c>
      <c r="O163" s="187">
        <f t="shared" si="29"/>
        <v>52</v>
      </c>
      <c r="P163" s="183"/>
      <c r="Q163" s="218" t="s">
        <v>784</v>
      </c>
      <c r="R163" s="191" t="s">
        <v>785</v>
      </c>
      <c r="S163" s="185"/>
      <c r="T163" s="218"/>
      <c r="U163" s="186"/>
      <c r="V163" s="240">
        <v>0.9</v>
      </c>
      <c r="W163" s="228">
        <f>V163*M163</f>
        <v>180</v>
      </c>
      <c r="X163" s="242"/>
      <c r="Y163" s="63"/>
      <c r="Z163" s="229" t="e">
        <f t="shared" si="31"/>
        <v>#DIV/0!</v>
      </c>
      <c r="AA163" s="248">
        <v>140</v>
      </c>
      <c r="AB163" s="203" t="s">
        <v>17</v>
      </c>
      <c r="AC163" s="248"/>
      <c r="AD163" s="248"/>
      <c r="AE163" s="251"/>
      <c r="AF163" s="248"/>
    </row>
    <row r="164" spans="1:32" s="21" customFormat="1" ht="43.5" customHeight="1">
      <c r="A164" s="185">
        <f t="shared" si="28"/>
        <v>162</v>
      </c>
      <c r="B164" s="247"/>
      <c r="C164" s="185">
        <v>1594</v>
      </c>
      <c r="D164" s="185">
        <v>6</v>
      </c>
      <c r="E164" s="185" t="s">
        <v>201</v>
      </c>
      <c r="F164" s="185" t="s">
        <v>138</v>
      </c>
      <c r="G164" s="185">
        <v>406</v>
      </c>
      <c r="H164" s="185" t="s">
        <v>140</v>
      </c>
      <c r="I164" s="261" t="s">
        <v>241</v>
      </c>
      <c r="J164" s="185" t="s">
        <v>240</v>
      </c>
      <c r="K164" s="185">
        <v>1000</v>
      </c>
      <c r="L164" s="186" t="s">
        <v>76</v>
      </c>
      <c r="M164" s="207">
        <v>500</v>
      </c>
      <c r="N164" s="187">
        <v>0.05</v>
      </c>
      <c r="O164" s="187">
        <f t="shared" si="29"/>
        <v>50</v>
      </c>
      <c r="P164" s="183"/>
      <c r="Q164" s="218" t="s">
        <v>784</v>
      </c>
      <c r="R164" s="191" t="s">
        <v>785</v>
      </c>
      <c r="S164" s="185"/>
      <c r="T164" s="218"/>
      <c r="U164" s="186"/>
      <c r="V164" s="240">
        <v>0.4</v>
      </c>
      <c r="W164" s="228">
        <f>V164*M164</f>
        <v>200</v>
      </c>
      <c r="X164" s="242"/>
      <c r="Y164" s="63"/>
      <c r="Z164" s="229" t="e">
        <f t="shared" si="31"/>
        <v>#DIV/0!</v>
      </c>
      <c r="AA164" s="248">
        <v>140</v>
      </c>
      <c r="AB164" s="203" t="s">
        <v>17</v>
      </c>
      <c r="AC164" s="248"/>
      <c r="AD164" s="248"/>
      <c r="AE164" s="251"/>
      <c r="AF164" s="248"/>
    </row>
    <row r="165" spans="1:32" s="21" customFormat="1" ht="43.5" customHeight="1">
      <c r="A165" s="52">
        <f t="shared" si="28"/>
        <v>163</v>
      </c>
      <c r="B165" s="53" t="s">
        <v>387</v>
      </c>
      <c r="C165" s="52">
        <v>1588</v>
      </c>
      <c r="D165" s="52">
        <v>1</v>
      </c>
      <c r="E165" s="52" t="s">
        <v>79</v>
      </c>
      <c r="F165" s="21" t="s">
        <v>514</v>
      </c>
      <c r="G165" s="52">
        <v>407</v>
      </c>
      <c r="H165" s="52" t="s">
        <v>77</v>
      </c>
      <c r="I165" s="52" t="s">
        <v>655</v>
      </c>
      <c r="J165" s="52" t="s">
        <v>656</v>
      </c>
      <c r="K165" s="52">
        <v>1</v>
      </c>
      <c r="L165" s="54" t="s">
        <v>125</v>
      </c>
      <c r="M165" s="60"/>
      <c r="N165" s="55">
        <v>36960</v>
      </c>
      <c r="O165" s="55">
        <f t="shared" si="29"/>
        <v>36960</v>
      </c>
      <c r="P165" s="56"/>
      <c r="Q165" s="59" t="s">
        <v>658</v>
      </c>
      <c r="R165" s="58">
        <v>45678</v>
      </c>
      <c r="S165" s="52" t="s">
        <v>659</v>
      </c>
      <c r="T165" s="59" t="s">
        <v>85</v>
      </c>
      <c r="U165" s="54"/>
      <c r="V165" s="99">
        <v>78960</v>
      </c>
      <c r="W165" s="228">
        <f t="shared" si="30"/>
        <v>78960</v>
      </c>
      <c r="X165" s="62"/>
      <c r="Y165" s="63"/>
      <c r="Z165" s="229" t="e">
        <f t="shared" si="31"/>
        <v>#DIV/0!</v>
      </c>
      <c r="AA165" s="350">
        <v>136</v>
      </c>
      <c r="AB165" s="181" t="s">
        <v>39</v>
      </c>
      <c r="AC165" s="52" t="s">
        <v>657</v>
      </c>
      <c r="AD165" s="176"/>
      <c r="AE165" s="64"/>
      <c r="AF165" s="60"/>
    </row>
    <row r="166" spans="1:32" s="21" customFormat="1" ht="43.5" customHeight="1">
      <c r="A166" s="52">
        <f t="shared" si="28"/>
        <v>164</v>
      </c>
      <c r="B166" s="53"/>
      <c r="C166" s="115"/>
      <c r="D166" s="52">
        <v>1</v>
      </c>
      <c r="E166" s="52" t="s">
        <v>192</v>
      </c>
      <c r="F166" s="52" t="s">
        <v>247</v>
      </c>
      <c r="G166" s="52">
        <v>396</v>
      </c>
      <c r="H166" s="52" t="s">
        <v>140</v>
      </c>
      <c r="I166" s="52" t="s">
        <v>248</v>
      </c>
      <c r="J166" s="52" t="s">
        <v>249</v>
      </c>
      <c r="K166" s="52">
        <v>72</v>
      </c>
      <c r="L166" s="54" t="s">
        <v>125</v>
      </c>
      <c r="M166" s="60"/>
      <c r="N166" s="55">
        <v>3650</v>
      </c>
      <c r="O166" s="55">
        <f t="shared" si="29"/>
        <v>262800</v>
      </c>
      <c r="P166" s="56"/>
      <c r="Q166" s="59"/>
      <c r="R166" s="58"/>
      <c r="S166" s="52"/>
      <c r="T166" s="59"/>
      <c r="U166" s="54"/>
      <c r="V166" s="99">
        <v>6000</v>
      </c>
      <c r="W166" s="227">
        <f t="shared" si="30"/>
        <v>432000</v>
      </c>
      <c r="X166" s="62"/>
      <c r="Y166" s="63"/>
      <c r="Z166" s="229" t="e">
        <f t="shared" si="31"/>
        <v>#DIV/0!</v>
      </c>
      <c r="AA166" s="350"/>
      <c r="AB166" s="181" t="s">
        <v>39</v>
      </c>
      <c r="AC166" s="60"/>
      <c r="AD166" s="172"/>
      <c r="AE166" s="64"/>
      <c r="AF166" s="60"/>
    </row>
    <row r="167" spans="1:32" s="21" customFormat="1" ht="43.5" customHeight="1">
      <c r="A167" s="52">
        <f t="shared" si="28"/>
        <v>165</v>
      </c>
      <c r="B167" s="53"/>
      <c r="C167" s="52">
        <v>1610</v>
      </c>
      <c r="D167" s="52">
        <v>1</v>
      </c>
      <c r="E167" s="52" t="s">
        <v>209</v>
      </c>
      <c r="F167" s="52" t="s">
        <v>233</v>
      </c>
      <c r="G167" s="52">
        <v>411</v>
      </c>
      <c r="H167" s="52" t="s">
        <v>140</v>
      </c>
      <c r="I167" s="52" t="s">
        <v>675</v>
      </c>
      <c r="J167" s="52" t="s">
        <v>676</v>
      </c>
      <c r="K167" s="52">
        <v>10</v>
      </c>
      <c r="L167" s="54" t="s">
        <v>76</v>
      </c>
      <c r="M167" s="60"/>
      <c r="N167" s="55">
        <v>66.180000000000007</v>
      </c>
      <c r="O167" s="55">
        <f t="shared" si="29"/>
        <v>661.80000000000007</v>
      </c>
      <c r="P167" s="56"/>
      <c r="Q167" s="323" t="s">
        <v>676</v>
      </c>
      <c r="R167" s="58"/>
      <c r="S167" s="52"/>
      <c r="T167" s="59"/>
      <c r="U167" s="54"/>
      <c r="V167" s="99">
        <v>105</v>
      </c>
      <c r="W167" s="61">
        <f t="shared" si="30"/>
        <v>1050</v>
      </c>
      <c r="X167" s="62"/>
      <c r="Y167" s="63"/>
      <c r="Z167" s="229" t="e">
        <f t="shared" si="31"/>
        <v>#DIV/0!</v>
      </c>
      <c r="AA167" s="350">
        <v>131</v>
      </c>
      <c r="AB167" s="181" t="s">
        <v>39</v>
      </c>
      <c r="AC167" s="60"/>
      <c r="AD167" s="172"/>
      <c r="AE167" s="64"/>
      <c r="AF167" s="60"/>
    </row>
    <row r="168" spans="1:32" s="21" customFormat="1" ht="43.5" customHeight="1">
      <c r="A168" s="52">
        <f t="shared" si="28"/>
        <v>166</v>
      </c>
      <c r="B168" s="53"/>
      <c r="C168" s="52">
        <v>1611</v>
      </c>
      <c r="D168" s="52">
        <v>2</v>
      </c>
      <c r="E168" s="52" t="s">
        <v>209</v>
      </c>
      <c r="F168" s="52" t="s">
        <v>233</v>
      </c>
      <c r="G168" s="52">
        <v>411</v>
      </c>
      <c r="H168" s="52" t="s">
        <v>140</v>
      </c>
      <c r="I168" s="52" t="s">
        <v>677</v>
      </c>
      <c r="J168" s="52" t="s">
        <v>678</v>
      </c>
      <c r="K168" s="52">
        <v>10</v>
      </c>
      <c r="L168" s="54" t="s">
        <v>76</v>
      </c>
      <c r="M168" s="60"/>
      <c r="N168" s="55">
        <v>15.73</v>
      </c>
      <c r="O168" s="55">
        <f t="shared" si="29"/>
        <v>157.30000000000001</v>
      </c>
      <c r="P168" s="56"/>
      <c r="Q168" s="323" t="s">
        <v>676</v>
      </c>
      <c r="R168" s="58"/>
      <c r="S168" s="52"/>
      <c r="T168" s="59"/>
      <c r="U168" s="54"/>
      <c r="V168" s="99">
        <v>175</v>
      </c>
      <c r="W168" s="61">
        <f t="shared" si="30"/>
        <v>1750</v>
      </c>
      <c r="X168" s="62"/>
      <c r="Y168" s="63"/>
      <c r="Z168" s="229" t="e">
        <f t="shared" si="31"/>
        <v>#DIV/0!</v>
      </c>
      <c r="AA168" s="350">
        <v>131</v>
      </c>
      <c r="AB168" s="181" t="s">
        <v>39</v>
      </c>
      <c r="AC168" s="60"/>
      <c r="AD168" s="172"/>
      <c r="AE168" s="64"/>
      <c r="AF168" s="60"/>
    </row>
    <row r="169" spans="1:32" s="21" customFormat="1" ht="43.5" customHeight="1">
      <c r="A169" s="52">
        <f t="shared" si="28"/>
        <v>167</v>
      </c>
      <c r="B169" s="53"/>
      <c r="C169" s="52">
        <v>1614</v>
      </c>
      <c r="D169" s="52">
        <v>1</v>
      </c>
      <c r="E169" s="52" t="s">
        <v>694</v>
      </c>
      <c r="F169" s="52" t="s">
        <v>695</v>
      </c>
      <c r="G169" s="52">
        <v>410</v>
      </c>
      <c r="H169" s="52" t="s">
        <v>140</v>
      </c>
      <c r="I169" s="52" t="s">
        <v>686</v>
      </c>
      <c r="J169" s="52" t="s">
        <v>691</v>
      </c>
      <c r="K169" s="52">
        <v>4</v>
      </c>
      <c r="L169" s="54" t="s">
        <v>76</v>
      </c>
      <c r="M169" s="60"/>
      <c r="N169" s="55">
        <v>800</v>
      </c>
      <c r="O169" s="55">
        <f t="shared" si="29"/>
        <v>3200</v>
      </c>
      <c r="P169" s="56"/>
      <c r="Q169" s="206">
        <v>14033083</v>
      </c>
      <c r="R169" s="58"/>
      <c r="S169" s="52"/>
      <c r="T169" s="59"/>
      <c r="U169" s="54"/>
      <c r="V169" s="99">
        <v>1770</v>
      </c>
      <c r="W169" s="61">
        <f t="shared" si="30"/>
        <v>7080</v>
      </c>
      <c r="X169" s="62"/>
      <c r="Y169" s="63"/>
      <c r="Z169" s="229" t="e">
        <f t="shared" si="31"/>
        <v>#DIV/0!</v>
      </c>
      <c r="AA169" s="350"/>
      <c r="AB169" s="181" t="s">
        <v>39</v>
      </c>
      <c r="AC169" s="60"/>
      <c r="AD169" s="172"/>
      <c r="AE169" s="64"/>
      <c r="AF169" s="60"/>
    </row>
    <row r="170" spans="1:32" s="21" customFormat="1" ht="43.5" customHeight="1">
      <c r="A170" s="52">
        <f t="shared" si="28"/>
        <v>168</v>
      </c>
      <c r="B170" s="53"/>
      <c r="C170" s="52">
        <v>1615</v>
      </c>
      <c r="D170" s="52">
        <v>2</v>
      </c>
      <c r="E170" s="52" t="s">
        <v>694</v>
      </c>
      <c r="F170" s="52" t="s">
        <v>182</v>
      </c>
      <c r="G170" s="52">
        <v>410</v>
      </c>
      <c r="H170" s="52" t="s">
        <v>140</v>
      </c>
      <c r="I170" s="52" t="s">
        <v>687</v>
      </c>
      <c r="J170" s="52" t="s">
        <v>162</v>
      </c>
      <c r="K170" s="52">
        <v>150</v>
      </c>
      <c r="L170" s="54" t="s">
        <v>76</v>
      </c>
      <c r="M170" s="211">
        <v>50</v>
      </c>
      <c r="N170" s="55">
        <v>1.84</v>
      </c>
      <c r="O170" s="55">
        <f t="shared" si="29"/>
        <v>276</v>
      </c>
      <c r="P170" s="56"/>
      <c r="Q170" s="206">
        <v>14033083</v>
      </c>
      <c r="R170" s="58"/>
      <c r="S170" s="52"/>
      <c r="T170" s="59"/>
      <c r="U170" s="54"/>
      <c r="V170" s="99">
        <v>6</v>
      </c>
      <c r="W170" s="61">
        <f>V170*M170</f>
        <v>300</v>
      </c>
      <c r="X170" s="62"/>
      <c r="Y170" s="63"/>
      <c r="Z170" s="229" t="e">
        <f t="shared" si="31"/>
        <v>#DIV/0!</v>
      </c>
      <c r="AA170" s="350">
        <v>134</v>
      </c>
      <c r="AB170" s="181" t="s">
        <v>39</v>
      </c>
      <c r="AC170" s="60"/>
      <c r="AD170" s="172"/>
      <c r="AE170" s="64"/>
      <c r="AF170" s="60"/>
    </row>
    <row r="171" spans="1:32" s="21" customFormat="1" ht="43.5" customHeight="1">
      <c r="A171" s="52">
        <f t="shared" si="28"/>
        <v>169</v>
      </c>
      <c r="B171" s="53"/>
      <c r="C171" s="52">
        <v>1617</v>
      </c>
      <c r="D171" s="52">
        <v>3</v>
      </c>
      <c r="E171" s="52" t="s">
        <v>694</v>
      </c>
      <c r="F171" s="52" t="s">
        <v>182</v>
      </c>
      <c r="G171" s="52">
        <v>410</v>
      </c>
      <c r="H171" s="52" t="s">
        <v>140</v>
      </c>
      <c r="I171" s="52" t="s">
        <v>688</v>
      </c>
      <c r="J171" s="52" t="s">
        <v>692</v>
      </c>
      <c r="K171" s="52">
        <v>50</v>
      </c>
      <c r="L171" s="54" t="s">
        <v>76</v>
      </c>
      <c r="M171" s="60"/>
      <c r="N171" s="55">
        <v>1.84</v>
      </c>
      <c r="O171" s="55">
        <f t="shared" si="29"/>
        <v>92</v>
      </c>
      <c r="P171" s="56"/>
      <c r="Q171" s="206">
        <v>14033083</v>
      </c>
      <c r="R171" s="58"/>
      <c r="S171" s="52"/>
      <c r="T171" s="59"/>
      <c r="U171" s="54"/>
      <c r="V171" s="99">
        <v>6</v>
      </c>
      <c r="W171" s="61">
        <f t="shared" si="30"/>
        <v>300</v>
      </c>
      <c r="X171" s="62"/>
      <c r="Y171" s="63"/>
      <c r="Z171" s="229" t="e">
        <f t="shared" si="31"/>
        <v>#DIV/0!</v>
      </c>
      <c r="AA171" s="350"/>
      <c r="AB171" s="181" t="s">
        <v>39</v>
      </c>
      <c r="AC171" s="60"/>
      <c r="AD171" s="172"/>
      <c r="AE171" s="64"/>
      <c r="AF171" s="60"/>
    </row>
    <row r="172" spans="1:32" s="21" customFormat="1" ht="43.5" customHeight="1">
      <c r="A172" s="52">
        <f t="shared" si="28"/>
        <v>170</v>
      </c>
      <c r="B172" s="53"/>
      <c r="C172" s="52">
        <v>1618</v>
      </c>
      <c r="D172" s="52">
        <v>4</v>
      </c>
      <c r="E172" s="52" t="s">
        <v>694</v>
      </c>
      <c r="F172" s="52" t="s">
        <v>182</v>
      </c>
      <c r="G172" s="52">
        <v>410</v>
      </c>
      <c r="H172" s="52" t="s">
        <v>140</v>
      </c>
      <c r="I172" s="218" t="s">
        <v>690</v>
      </c>
      <c r="J172" s="52" t="s">
        <v>692</v>
      </c>
      <c r="K172" s="52">
        <v>50</v>
      </c>
      <c r="L172" s="54" t="s">
        <v>76</v>
      </c>
      <c r="M172" s="60"/>
      <c r="N172" s="55">
        <v>1.84</v>
      </c>
      <c r="O172" s="55">
        <f t="shared" si="29"/>
        <v>92</v>
      </c>
      <c r="P172" s="56"/>
      <c r="Q172" s="206">
        <v>14033083</v>
      </c>
      <c r="R172" s="58"/>
      <c r="S172" s="52"/>
      <c r="T172" s="59"/>
      <c r="U172" s="54"/>
      <c r="V172" s="99">
        <v>6</v>
      </c>
      <c r="W172" s="61">
        <f t="shared" si="30"/>
        <v>300</v>
      </c>
      <c r="X172" s="62"/>
      <c r="Y172" s="63"/>
      <c r="Z172" s="229" t="e">
        <f t="shared" si="31"/>
        <v>#DIV/0!</v>
      </c>
      <c r="AA172" s="350"/>
      <c r="AB172" s="181" t="s">
        <v>39</v>
      </c>
      <c r="AC172" s="60"/>
      <c r="AD172" s="172"/>
      <c r="AE172" s="64"/>
      <c r="AF172" s="60"/>
    </row>
    <row r="173" spans="1:32" s="21" customFormat="1" ht="43.5" customHeight="1">
      <c r="A173" s="52">
        <f t="shared" si="28"/>
        <v>171</v>
      </c>
      <c r="B173" s="53"/>
      <c r="C173" s="52">
        <v>1619</v>
      </c>
      <c r="D173" s="52">
        <v>5</v>
      </c>
      <c r="E173" s="52" t="s">
        <v>694</v>
      </c>
      <c r="F173" s="52" t="s">
        <v>182</v>
      </c>
      <c r="G173" s="52">
        <v>410</v>
      </c>
      <c r="H173" s="52" t="s">
        <v>140</v>
      </c>
      <c r="I173" s="52" t="s">
        <v>689</v>
      </c>
      <c r="J173" s="52" t="s">
        <v>693</v>
      </c>
      <c r="K173" s="52">
        <v>50</v>
      </c>
      <c r="L173" s="54" t="s">
        <v>76</v>
      </c>
      <c r="M173" s="60"/>
      <c r="N173" s="55">
        <v>1.84</v>
      </c>
      <c r="O173" s="55">
        <f t="shared" si="29"/>
        <v>92</v>
      </c>
      <c r="P173" s="56"/>
      <c r="Q173" s="206">
        <v>14033083</v>
      </c>
      <c r="R173" s="58"/>
      <c r="S173" s="52"/>
      <c r="T173" s="59"/>
      <c r="U173" s="54"/>
      <c r="V173" s="99">
        <v>6</v>
      </c>
      <c r="W173" s="225">
        <f t="shared" si="30"/>
        <v>300</v>
      </c>
      <c r="X173" s="62"/>
      <c r="Y173" s="63"/>
      <c r="Z173" s="229" t="e">
        <f t="shared" si="31"/>
        <v>#DIV/0!</v>
      </c>
      <c r="AA173" s="350">
        <v>134</v>
      </c>
      <c r="AB173" s="181" t="s">
        <v>39</v>
      </c>
      <c r="AC173" s="60"/>
      <c r="AD173" s="172"/>
      <c r="AE173" s="64"/>
      <c r="AF173" s="60"/>
    </row>
    <row r="174" spans="1:32" s="21" customFormat="1" ht="43.5" customHeight="1">
      <c r="A174" s="52">
        <f t="shared" si="28"/>
        <v>172</v>
      </c>
      <c r="B174" s="53"/>
      <c r="C174" s="52">
        <v>1619</v>
      </c>
      <c r="D174" s="52">
        <v>3</v>
      </c>
      <c r="E174" s="52" t="s">
        <v>209</v>
      </c>
      <c r="F174" s="52" t="s">
        <v>182</v>
      </c>
      <c r="G174" s="52">
        <v>411</v>
      </c>
      <c r="H174" s="52" t="s">
        <v>140</v>
      </c>
      <c r="I174" s="52" t="s">
        <v>696</v>
      </c>
      <c r="J174" s="52" t="s">
        <v>214</v>
      </c>
      <c r="K174" s="52">
        <v>100</v>
      </c>
      <c r="L174" s="54" t="s">
        <v>76</v>
      </c>
      <c r="M174" s="60"/>
      <c r="N174" s="55">
        <v>0.52</v>
      </c>
      <c r="O174" s="55">
        <f t="shared" si="29"/>
        <v>52</v>
      </c>
      <c r="P174" s="56"/>
      <c r="Q174" s="324" t="s">
        <v>703</v>
      </c>
      <c r="R174" s="58"/>
      <c r="S174" s="52"/>
      <c r="T174" s="59"/>
      <c r="U174" s="54"/>
      <c r="V174" s="99">
        <v>1</v>
      </c>
      <c r="W174" s="228">
        <f t="shared" si="30"/>
        <v>100</v>
      </c>
      <c r="X174" s="62"/>
      <c r="Y174" s="63"/>
      <c r="Z174" s="229" t="e">
        <f t="shared" si="31"/>
        <v>#DIV/0!</v>
      </c>
      <c r="AA174" s="350">
        <v>139</v>
      </c>
      <c r="AB174" s="181" t="s">
        <v>39</v>
      </c>
      <c r="AC174" s="60"/>
      <c r="AD174" s="172"/>
      <c r="AE174" s="64"/>
      <c r="AF174" s="60"/>
    </row>
    <row r="175" spans="1:32" s="21" customFormat="1" ht="43.5" customHeight="1">
      <c r="A175" s="185">
        <f t="shared" si="28"/>
        <v>173</v>
      </c>
      <c r="B175" s="247"/>
      <c r="C175" s="185">
        <v>1620</v>
      </c>
      <c r="D175" s="185">
        <v>4</v>
      </c>
      <c r="E175" s="185" t="s">
        <v>209</v>
      </c>
      <c r="F175" s="185" t="s">
        <v>211</v>
      </c>
      <c r="G175" s="185">
        <v>411</v>
      </c>
      <c r="H175" s="185" t="s">
        <v>140</v>
      </c>
      <c r="I175" s="185" t="s">
        <v>701</v>
      </c>
      <c r="J175" s="185" t="s">
        <v>198</v>
      </c>
      <c r="K175" s="185">
        <v>22</v>
      </c>
      <c r="L175" s="186" t="s">
        <v>76</v>
      </c>
      <c r="M175" s="248"/>
      <c r="N175" s="187">
        <v>65</v>
      </c>
      <c r="O175" s="187">
        <f t="shared" si="29"/>
        <v>1430</v>
      </c>
      <c r="P175" s="183"/>
      <c r="Q175" s="325" t="s">
        <v>703</v>
      </c>
      <c r="R175" s="191"/>
      <c r="S175" s="185"/>
      <c r="T175" s="218"/>
      <c r="U175" s="186"/>
      <c r="V175" s="239">
        <v>89</v>
      </c>
      <c r="W175" s="228">
        <f t="shared" si="30"/>
        <v>1958</v>
      </c>
      <c r="X175" s="242"/>
      <c r="Y175" s="63"/>
      <c r="Z175" s="229" t="e">
        <f t="shared" si="31"/>
        <v>#DIV/0!</v>
      </c>
      <c r="AA175" s="248"/>
      <c r="AB175" s="204" t="s">
        <v>11</v>
      </c>
      <c r="AC175" s="248"/>
      <c r="AD175" s="248"/>
      <c r="AE175" s="251"/>
      <c r="AF175" s="248"/>
    </row>
    <row r="176" spans="1:32" s="21" customFormat="1" ht="43.5" customHeight="1">
      <c r="A176" s="185">
        <f t="shared" si="28"/>
        <v>174</v>
      </c>
      <c r="B176" s="247"/>
      <c r="C176" s="185">
        <v>1621</v>
      </c>
      <c r="D176" s="185">
        <v>5</v>
      </c>
      <c r="E176" s="185" t="s">
        <v>209</v>
      </c>
      <c r="F176" s="185" t="s">
        <v>720</v>
      </c>
      <c r="G176" s="185">
        <v>411</v>
      </c>
      <c r="H176" s="185" t="s">
        <v>140</v>
      </c>
      <c r="I176" s="185" t="s">
        <v>697</v>
      </c>
      <c r="J176" s="185" t="s">
        <v>246</v>
      </c>
      <c r="K176" s="185">
        <v>1000</v>
      </c>
      <c r="L176" s="186" t="s">
        <v>76</v>
      </c>
      <c r="M176" s="248"/>
      <c r="N176" s="187">
        <v>0.34</v>
      </c>
      <c r="O176" s="187">
        <f t="shared" si="29"/>
        <v>340</v>
      </c>
      <c r="P176" s="183"/>
      <c r="Q176" s="325" t="s">
        <v>703</v>
      </c>
      <c r="R176" s="191"/>
      <c r="S176" s="185"/>
      <c r="T176" s="218"/>
      <c r="U176" s="186"/>
      <c r="V176" s="239">
        <v>1</v>
      </c>
      <c r="W176" s="228">
        <f t="shared" si="30"/>
        <v>1000</v>
      </c>
      <c r="X176" s="242"/>
      <c r="Y176" s="63"/>
      <c r="Z176" s="229" t="e">
        <f t="shared" si="31"/>
        <v>#DIV/0!</v>
      </c>
      <c r="AA176" s="248"/>
      <c r="AB176" s="204" t="s">
        <v>11</v>
      </c>
      <c r="AC176" s="248"/>
      <c r="AD176" s="248"/>
      <c r="AE176" s="251"/>
      <c r="AF176" s="248"/>
    </row>
    <row r="177" spans="1:32" s="21" customFormat="1" ht="43.5" customHeight="1">
      <c r="A177" s="52">
        <f t="shared" si="28"/>
        <v>175</v>
      </c>
      <c r="B177" s="53"/>
      <c r="C177" s="52">
        <v>1622</v>
      </c>
      <c r="D177" s="52">
        <v>7</v>
      </c>
      <c r="E177" s="52" t="s">
        <v>209</v>
      </c>
      <c r="F177" s="52" t="s">
        <v>138</v>
      </c>
      <c r="G177" s="52">
        <v>411</v>
      </c>
      <c r="H177" s="52" t="s">
        <v>140</v>
      </c>
      <c r="I177" s="121" t="s">
        <v>698</v>
      </c>
      <c r="J177" s="52" t="s">
        <v>214</v>
      </c>
      <c r="K177" s="52">
        <v>100</v>
      </c>
      <c r="L177" s="54" t="s">
        <v>76</v>
      </c>
      <c r="M177" s="60"/>
      <c r="N177" s="55">
        <v>0.55000000000000004</v>
      </c>
      <c r="O177" s="55">
        <f t="shared" si="29"/>
        <v>55.000000000000007</v>
      </c>
      <c r="P177" s="56"/>
      <c r="Q177" s="324" t="s">
        <v>703</v>
      </c>
      <c r="R177" s="58"/>
      <c r="S177" s="52"/>
      <c r="T177" s="59"/>
      <c r="U177" s="54"/>
      <c r="V177" s="99">
        <v>1</v>
      </c>
      <c r="W177" s="228">
        <f t="shared" si="30"/>
        <v>100</v>
      </c>
      <c r="X177" s="62"/>
      <c r="Y177" s="63"/>
      <c r="Z177" s="229" t="e">
        <f t="shared" si="31"/>
        <v>#DIV/0!</v>
      </c>
      <c r="AA177" s="350">
        <v>139</v>
      </c>
      <c r="AB177" s="181" t="s">
        <v>39</v>
      </c>
      <c r="AC177" s="60"/>
      <c r="AD177" s="172"/>
      <c r="AE177" s="64"/>
      <c r="AF177" s="60"/>
    </row>
    <row r="178" spans="1:32" s="21" customFormat="1" ht="43.5" customHeight="1">
      <c r="A178" s="52">
        <f t="shared" si="28"/>
        <v>176</v>
      </c>
      <c r="B178" s="53"/>
      <c r="C178" s="52">
        <v>1623</v>
      </c>
      <c r="D178" s="52">
        <v>11</v>
      </c>
      <c r="E178" s="52" t="s">
        <v>209</v>
      </c>
      <c r="F178" s="52" t="s">
        <v>138</v>
      </c>
      <c r="G178" s="52">
        <v>411</v>
      </c>
      <c r="H178" s="52" t="s">
        <v>140</v>
      </c>
      <c r="I178" s="121" t="s">
        <v>699</v>
      </c>
      <c r="J178" s="52" t="s">
        <v>214</v>
      </c>
      <c r="K178" s="52">
        <v>200</v>
      </c>
      <c r="L178" s="54" t="s">
        <v>76</v>
      </c>
      <c r="M178" s="60"/>
      <c r="N178" s="55">
        <v>2.1</v>
      </c>
      <c r="O178" s="55">
        <f t="shared" si="29"/>
        <v>420</v>
      </c>
      <c r="P178" s="56"/>
      <c r="Q178" s="324" t="s">
        <v>703</v>
      </c>
      <c r="R178" s="58"/>
      <c r="S178" s="52"/>
      <c r="T178" s="59"/>
      <c r="U178" s="54"/>
      <c r="V178" s="99">
        <v>3</v>
      </c>
      <c r="W178" s="228">
        <f t="shared" si="30"/>
        <v>600</v>
      </c>
      <c r="X178" s="62"/>
      <c r="Y178" s="63"/>
      <c r="Z178" s="229" t="e">
        <f t="shared" si="31"/>
        <v>#DIV/0!</v>
      </c>
      <c r="AA178" s="350">
        <v>139</v>
      </c>
      <c r="AB178" s="181" t="s">
        <v>39</v>
      </c>
      <c r="AC178" s="60"/>
      <c r="AD178" s="172"/>
      <c r="AE178" s="64"/>
      <c r="AF178" s="60"/>
    </row>
    <row r="179" spans="1:32" s="21" customFormat="1" ht="43.5" customHeight="1">
      <c r="A179" s="52">
        <f t="shared" si="28"/>
        <v>177</v>
      </c>
      <c r="B179" s="53"/>
      <c r="C179" s="52">
        <v>1624</v>
      </c>
      <c r="D179" s="52">
        <v>12</v>
      </c>
      <c r="E179" s="52" t="s">
        <v>209</v>
      </c>
      <c r="F179" s="52" t="s">
        <v>720</v>
      </c>
      <c r="G179" s="52">
        <v>411</v>
      </c>
      <c r="H179" s="52" t="s">
        <v>140</v>
      </c>
      <c r="I179" s="52" t="s">
        <v>748</v>
      </c>
      <c r="J179" s="52" t="s">
        <v>198</v>
      </c>
      <c r="K179" s="52">
        <v>54</v>
      </c>
      <c r="L179" s="54" t="s">
        <v>76</v>
      </c>
      <c r="M179" s="60">
        <v>60</v>
      </c>
      <c r="N179" s="55">
        <v>37.659999999999997</v>
      </c>
      <c r="O179" s="55">
        <f t="shared" si="29"/>
        <v>2033.6399999999999</v>
      </c>
      <c r="P179" s="56"/>
      <c r="Q179" s="324" t="s">
        <v>703</v>
      </c>
      <c r="R179" s="58"/>
      <c r="S179" s="52"/>
      <c r="T179" s="59"/>
      <c r="U179" s="54"/>
      <c r="V179" s="99">
        <v>66</v>
      </c>
      <c r="W179" s="228">
        <f t="shared" si="30"/>
        <v>3564</v>
      </c>
      <c r="X179" s="62"/>
      <c r="Y179" s="63"/>
      <c r="Z179" s="229" t="e">
        <f t="shared" si="31"/>
        <v>#DIV/0!</v>
      </c>
      <c r="AA179" s="350">
        <v>139</v>
      </c>
      <c r="AB179" s="181" t="s">
        <v>39</v>
      </c>
      <c r="AC179" s="60"/>
      <c r="AD179" s="172"/>
      <c r="AE179" s="64"/>
      <c r="AF179" s="60"/>
    </row>
    <row r="180" spans="1:32" s="21" customFormat="1" ht="43.5" customHeight="1">
      <c r="A180" s="185">
        <f t="shared" si="28"/>
        <v>178</v>
      </c>
      <c r="B180" s="247"/>
      <c r="C180" s="185">
        <v>1624</v>
      </c>
      <c r="D180" s="185">
        <v>12</v>
      </c>
      <c r="E180" s="185" t="s">
        <v>209</v>
      </c>
      <c r="F180" s="185" t="s">
        <v>720</v>
      </c>
      <c r="G180" s="185">
        <v>411</v>
      </c>
      <c r="H180" s="185" t="s">
        <v>140</v>
      </c>
      <c r="I180" s="185" t="s">
        <v>748</v>
      </c>
      <c r="J180" s="185" t="s">
        <v>198</v>
      </c>
      <c r="K180" s="185">
        <v>6</v>
      </c>
      <c r="L180" s="186" t="s">
        <v>76</v>
      </c>
      <c r="M180" s="248"/>
      <c r="N180" s="187">
        <v>37.659999999999997</v>
      </c>
      <c r="O180" s="187">
        <f t="shared" si="29"/>
        <v>225.95999999999998</v>
      </c>
      <c r="P180" s="183"/>
      <c r="Q180" s="325" t="s">
        <v>703</v>
      </c>
      <c r="R180" s="191"/>
      <c r="S180" s="185"/>
      <c r="T180" s="218"/>
      <c r="U180" s="186"/>
      <c r="V180" s="239">
        <v>66</v>
      </c>
      <c r="W180" s="228">
        <f t="shared" si="30"/>
        <v>396</v>
      </c>
      <c r="X180" s="242"/>
      <c r="Y180" s="63"/>
      <c r="Z180" s="229" t="e">
        <f t="shared" si="31"/>
        <v>#DIV/0!</v>
      </c>
      <c r="AA180" s="248"/>
      <c r="AB180" s="195" t="s">
        <v>22</v>
      </c>
      <c r="AC180" s="248"/>
      <c r="AD180" s="248"/>
      <c r="AE180" s="251"/>
      <c r="AF180" s="248"/>
    </row>
    <row r="181" spans="1:32" s="21" customFormat="1" ht="43.5" customHeight="1">
      <c r="A181" s="52">
        <f t="shared" si="28"/>
        <v>179</v>
      </c>
      <c r="B181" s="53"/>
      <c r="C181" s="52">
        <v>1625</v>
      </c>
      <c r="D181" s="52">
        <v>14</v>
      </c>
      <c r="E181" s="52" t="s">
        <v>209</v>
      </c>
      <c r="F181" s="52" t="s">
        <v>138</v>
      </c>
      <c r="G181" s="52">
        <v>411</v>
      </c>
      <c r="H181" s="52" t="s">
        <v>140</v>
      </c>
      <c r="I181" s="121" t="s">
        <v>700</v>
      </c>
      <c r="J181" s="52" t="s">
        <v>242</v>
      </c>
      <c r="K181" s="52">
        <v>1000</v>
      </c>
      <c r="L181" s="54" t="s">
        <v>76</v>
      </c>
      <c r="M181" s="60"/>
      <c r="N181" s="55">
        <v>0.45</v>
      </c>
      <c r="O181" s="55">
        <f t="shared" si="29"/>
        <v>450</v>
      </c>
      <c r="P181" s="56"/>
      <c r="Q181" s="324" t="s">
        <v>703</v>
      </c>
      <c r="R181" s="58"/>
      <c r="S181" s="52"/>
      <c r="T181" s="59"/>
      <c r="U181" s="54"/>
      <c r="V181" s="99">
        <v>1</v>
      </c>
      <c r="W181" s="228">
        <f t="shared" si="30"/>
        <v>1000</v>
      </c>
      <c r="X181" s="62"/>
      <c r="Y181" s="63"/>
      <c r="Z181" s="229" t="e">
        <f t="shared" si="31"/>
        <v>#DIV/0!</v>
      </c>
      <c r="AA181" s="350">
        <v>139</v>
      </c>
      <c r="AB181" s="181" t="s">
        <v>39</v>
      </c>
      <c r="AC181" s="60"/>
      <c r="AD181" s="172"/>
      <c r="AE181" s="64"/>
      <c r="AF181" s="60"/>
    </row>
    <row r="182" spans="1:32" s="21" customFormat="1" ht="43.5" customHeight="1">
      <c r="A182" s="52">
        <f t="shared" si="28"/>
        <v>180</v>
      </c>
      <c r="B182" s="53"/>
      <c r="C182" s="52">
        <v>1626</v>
      </c>
      <c r="D182" s="52">
        <v>19</v>
      </c>
      <c r="E182" s="52" t="s">
        <v>209</v>
      </c>
      <c r="F182" s="52" t="s">
        <v>182</v>
      </c>
      <c r="G182" s="52">
        <v>411</v>
      </c>
      <c r="H182" s="52" t="s">
        <v>140</v>
      </c>
      <c r="I182" s="52" t="s">
        <v>702</v>
      </c>
      <c r="J182" s="52" t="s">
        <v>223</v>
      </c>
      <c r="K182" s="52">
        <v>500</v>
      </c>
      <c r="L182" s="54" t="s">
        <v>76</v>
      </c>
      <c r="M182" s="60"/>
      <c r="N182" s="55">
        <v>0.62</v>
      </c>
      <c r="O182" s="55">
        <f t="shared" si="29"/>
        <v>310</v>
      </c>
      <c r="P182" s="56"/>
      <c r="Q182" s="324" t="s">
        <v>703</v>
      </c>
      <c r="R182" s="58"/>
      <c r="S182" s="52"/>
      <c r="T182" s="59"/>
      <c r="U182" s="54"/>
      <c r="V182" s="99">
        <v>1</v>
      </c>
      <c r="W182" s="228">
        <f t="shared" si="30"/>
        <v>500</v>
      </c>
      <c r="X182" s="62"/>
      <c r="Y182" s="63"/>
      <c r="Z182" s="229" t="e">
        <f t="shared" si="31"/>
        <v>#DIV/0!</v>
      </c>
      <c r="AA182" s="350">
        <v>139</v>
      </c>
      <c r="AB182" s="181" t="s">
        <v>39</v>
      </c>
      <c r="AC182" s="60"/>
      <c r="AD182" s="172"/>
      <c r="AE182" s="64"/>
      <c r="AF182" s="60"/>
    </row>
    <row r="183" spans="1:32" s="21" customFormat="1" ht="43.5" customHeight="1">
      <c r="A183" s="185">
        <f t="shared" ref="A183:A288" si="32">A182+1</f>
        <v>181</v>
      </c>
      <c r="B183" s="247"/>
      <c r="C183" s="185">
        <v>1627</v>
      </c>
      <c r="D183" s="185">
        <v>7</v>
      </c>
      <c r="E183" s="185" t="s">
        <v>201</v>
      </c>
      <c r="F183" s="185" t="s">
        <v>196</v>
      </c>
      <c r="G183" s="185">
        <v>406</v>
      </c>
      <c r="H183" s="185" t="s">
        <v>140</v>
      </c>
      <c r="I183" s="185" t="s">
        <v>706</v>
      </c>
      <c r="J183" s="185" t="s">
        <v>713</v>
      </c>
      <c r="K183" s="185">
        <v>1</v>
      </c>
      <c r="L183" s="186" t="s">
        <v>91</v>
      </c>
      <c r="M183" s="248"/>
      <c r="N183" s="187">
        <v>1710</v>
      </c>
      <c r="O183" s="187">
        <f t="shared" ref="O183:O269" si="33">N183*K183</f>
        <v>1710</v>
      </c>
      <c r="P183" s="249"/>
      <c r="Q183" s="185" t="s">
        <v>715</v>
      </c>
      <c r="R183" s="191" t="s">
        <v>716</v>
      </c>
      <c r="S183" s="185"/>
      <c r="T183" s="218"/>
      <c r="U183" s="186"/>
      <c r="V183" s="239">
        <v>2600</v>
      </c>
      <c r="W183" s="228">
        <f t="shared" ref="W183:W269" si="34">V183*K183</f>
        <v>2600</v>
      </c>
      <c r="X183" s="242"/>
      <c r="Y183" s="63"/>
      <c r="Z183" s="229" t="e">
        <f t="shared" ref="Z183:Z268" si="35">W183/O183/Y183</f>
        <v>#DIV/0!</v>
      </c>
      <c r="AA183" s="248">
        <v>144</v>
      </c>
      <c r="AB183" s="203" t="s">
        <v>17</v>
      </c>
      <c r="AC183" s="248"/>
      <c r="AD183" s="247" t="s">
        <v>738</v>
      </c>
      <c r="AE183" s="251"/>
      <c r="AF183" s="248"/>
    </row>
    <row r="184" spans="1:32" s="21" customFormat="1" ht="43.5" customHeight="1">
      <c r="A184" s="185">
        <f t="shared" si="32"/>
        <v>182</v>
      </c>
      <c r="B184" s="247"/>
      <c r="C184" s="185">
        <v>1628</v>
      </c>
      <c r="D184" s="185">
        <v>16</v>
      </c>
      <c r="E184" s="185" t="s">
        <v>201</v>
      </c>
      <c r="F184" s="185" t="s">
        <v>138</v>
      </c>
      <c r="G184" s="185">
        <v>406</v>
      </c>
      <c r="H184" s="185" t="s">
        <v>140</v>
      </c>
      <c r="I184" s="185" t="s">
        <v>707</v>
      </c>
      <c r="J184" s="185" t="s">
        <v>714</v>
      </c>
      <c r="K184" s="185">
        <v>20</v>
      </c>
      <c r="L184" s="186" t="s">
        <v>76</v>
      </c>
      <c r="M184" s="248"/>
      <c r="N184" s="187">
        <v>2.71</v>
      </c>
      <c r="O184" s="187">
        <f t="shared" si="33"/>
        <v>54.2</v>
      </c>
      <c r="P184" s="183"/>
      <c r="Q184" s="218" t="s">
        <v>715</v>
      </c>
      <c r="R184" s="191" t="s">
        <v>716</v>
      </c>
      <c r="S184" s="185"/>
      <c r="T184" s="218"/>
      <c r="U184" s="186"/>
      <c r="V184" s="239">
        <v>12.5</v>
      </c>
      <c r="W184" s="228">
        <f t="shared" si="34"/>
        <v>250</v>
      </c>
      <c r="X184" s="242"/>
      <c r="Y184" s="63"/>
      <c r="Z184" s="229" t="e">
        <f t="shared" si="35"/>
        <v>#DIV/0!</v>
      </c>
      <c r="AA184" s="248"/>
      <c r="AB184" s="197" t="s">
        <v>12</v>
      </c>
      <c r="AC184" s="248"/>
      <c r="AD184" s="248"/>
      <c r="AE184" s="251"/>
      <c r="AF184" s="248"/>
    </row>
    <row r="185" spans="1:32" s="21" customFormat="1" ht="43.5" customHeight="1">
      <c r="A185" s="185">
        <f t="shared" si="32"/>
        <v>183</v>
      </c>
      <c r="B185" s="247"/>
      <c r="C185" s="185">
        <v>1629</v>
      </c>
      <c r="D185" s="185">
        <v>38</v>
      </c>
      <c r="E185" s="185" t="s">
        <v>201</v>
      </c>
      <c r="F185" s="185" t="s">
        <v>746</v>
      </c>
      <c r="G185" s="185">
        <v>406</v>
      </c>
      <c r="H185" s="185" t="s">
        <v>140</v>
      </c>
      <c r="I185" s="185" t="s">
        <v>708</v>
      </c>
      <c r="J185" s="185" t="s">
        <v>135</v>
      </c>
      <c r="K185" s="185">
        <v>120</v>
      </c>
      <c r="L185" s="186" t="s">
        <v>91</v>
      </c>
      <c r="M185" s="248"/>
      <c r="N185" s="187">
        <v>13</v>
      </c>
      <c r="O185" s="187">
        <f t="shared" si="33"/>
        <v>1560</v>
      </c>
      <c r="P185" s="183"/>
      <c r="Q185" s="218" t="s">
        <v>715</v>
      </c>
      <c r="R185" s="191" t="s">
        <v>716</v>
      </c>
      <c r="S185" s="185"/>
      <c r="T185" s="218"/>
      <c r="U185" s="186"/>
      <c r="V185" s="239">
        <v>32.5</v>
      </c>
      <c r="W185" s="241">
        <f t="shared" si="34"/>
        <v>3900</v>
      </c>
      <c r="X185" s="242"/>
      <c r="Y185" s="63"/>
      <c r="Z185" s="229" t="e">
        <f t="shared" si="35"/>
        <v>#DIV/0!</v>
      </c>
      <c r="AA185" s="248"/>
      <c r="AB185" s="202" t="s">
        <v>15</v>
      </c>
      <c r="AC185" s="248"/>
      <c r="AD185" s="248"/>
      <c r="AE185" s="251"/>
      <c r="AF185" s="248"/>
    </row>
    <row r="186" spans="1:32" s="21" customFormat="1" ht="43.5" customHeight="1">
      <c r="A186" s="185">
        <f t="shared" si="32"/>
        <v>184</v>
      </c>
      <c r="B186" s="247"/>
      <c r="C186" s="185">
        <v>1630</v>
      </c>
      <c r="D186" s="185">
        <v>43</v>
      </c>
      <c r="E186" s="185" t="s">
        <v>201</v>
      </c>
      <c r="F186" s="185" t="s">
        <v>721</v>
      </c>
      <c r="G186" s="185">
        <v>406</v>
      </c>
      <c r="H186" s="185" t="s">
        <v>140</v>
      </c>
      <c r="I186" s="185" t="s">
        <v>709</v>
      </c>
      <c r="J186" s="185" t="s">
        <v>135</v>
      </c>
      <c r="K186" s="185">
        <v>5</v>
      </c>
      <c r="L186" s="186" t="s">
        <v>91</v>
      </c>
      <c r="M186" s="248"/>
      <c r="N186" s="187">
        <v>20</v>
      </c>
      <c r="O186" s="187">
        <f t="shared" si="33"/>
        <v>100</v>
      </c>
      <c r="P186" s="183"/>
      <c r="Q186" s="218" t="s">
        <v>715</v>
      </c>
      <c r="R186" s="191" t="s">
        <v>716</v>
      </c>
      <c r="S186" s="185"/>
      <c r="T186" s="218"/>
      <c r="U186" s="186"/>
      <c r="V186" s="239">
        <v>61.5</v>
      </c>
      <c r="W186" s="228">
        <f t="shared" si="34"/>
        <v>307.5</v>
      </c>
      <c r="X186" s="242"/>
      <c r="Y186" s="63"/>
      <c r="Z186" s="229" t="e">
        <f t="shared" si="35"/>
        <v>#DIV/0!</v>
      </c>
      <c r="AA186" s="248">
        <v>142</v>
      </c>
      <c r="AB186" s="203" t="s">
        <v>17</v>
      </c>
      <c r="AC186" s="248"/>
      <c r="AD186" s="248"/>
      <c r="AE186" s="251"/>
      <c r="AF186" s="248"/>
    </row>
    <row r="187" spans="1:32" s="21" customFormat="1" ht="43.5" customHeight="1">
      <c r="A187" s="185">
        <f t="shared" si="32"/>
        <v>185</v>
      </c>
      <c r="B187" s="247"/>
      <c r="C187" s="185">
        <v>1631</v>
      </c>
      <c r="D187" s="185">
        <v>45</v>
      </c>
      <c r="E187" s="185" t="s">
        <v>201</v>
      </c>
      <c r="F187" s="185" t="s">
        <v>717</v>
      </c>
      <c r="G187" s="185">
        <v>406</v>
      </c>
      <c r="H187" s="185" t="s">
        <v>140</v>
      </c>
      <c r="I187" s="185" t="s">
        <v>710</v>
      </c>
      <c r="J187" s="185" t="s">
        <v>133</v>
      </c>
      <c r="K187" s="185">
        <v>25</v>
      </c>
      <c r="L187" s="186" t="s">
        <v>76</v>
      </c>
      <c r="M187" s="248"/>
      <c r="N187" s="187">
        <v>65</v>
      </c>
      <c r="O187" s="187">
        <f t="shared" si="33"/>
        <v>1625</v>
      </c>
      <c r="P187" s="183"/>
      <c r="Q187" s="218" t="s">
        <v>715</v>
      </c>
      <c r="R187" s="191" t="s">
        <v>716</v>
      </c>
      <c r="S187" s="185"/>
      <c r="T187" s="218"/>
      <c r="U187" s="186"/>
      <c r="V187" s="239">
        <v>99.5</v>
      </c>
      <c r="W187" s="228">
        <f t="shared" si="34"/>
        <v>2487.5</v>
      </c>
      <c r="X187" s="242"/>
      <c r="Y187" s="63"/>
      <c r="Z187" s="229" t="e">
        <f t="shared" si="35"/>
        <v>#DIV/0!</v>
      </c>
      <c r="AA187" s="248">
        <v>142</v>
      </c>
      <c r="AB187" s="203" t="s">
        <v>17</v>
      </c>
      <c r="AC187" s="248"/>
      <c r="AD187" s="248"/>
      <c r="AE187" s="251"/>
      <c r="AF187" s="248"/>
    </row>
    <row r="188" spans="1:32" s="21" customFormat="1" ht="43.5" customHeight="1">
      <c r="A188" s="185">
        <f t="shared" si="32"/>
        <v>186</v>
      </c>
      <c r="B188" s="247"/>
      <c r="C188" s="185">
        <v>1632</v>
      </c>
      <c r="D188" s="185">
        <v>47</v>
      </c>
      <c r="E188" s="185" t="s">
        <v>201</v>
      </c>
      <c r="F188" s="185" t="s">
        <v>790</v>
      </c>
      <c r="G188" s="185">
        <v>406</v>
      </c>
      <c r="H188" s="185" t="s">
        <v>140</v>
      </c>
      <c r="I188" s="185" t="s">
        <v>711</v>
      </c>
      <c r="J188" s="185" t="s">
        <v>133</v>
      </c>
      <c r="K188" s="185">
        <v>20</v>
      </c>
      <c r="L188" s="186" t="s">
        <v>76</v>
      </c>
      <c r="M188" s="248"/>
      <c r="N188" s="187">
        <v>68</v>
      </c>
      <c r="O188" s="187">
        <f t="shared" si="33"/>
        <v>1360</v>
      </c>
      <c r="P188" s="183"/>
      <c r="Q188" s="218" t="s">
        <v>715</v>
      </c>
      <c r="R188" s="191" t="s">
        <v>716</v>
      </c>
      <c r="S188" s="185"/>
      <c r="T188" s="218"/>
      <c r="U188" s="186"/>
      <c r="V188" s="239">
        <v>110</v>
      </c>
      <c r="W188" s="228">
        <f t="shared" si="34"/>
        <v>2200</v>
      </c>
      <c r="X188" s="242"/>
      <c r="Y188" s="63"/>
      <c r="Z188" s="229" t="e">
        <f t="shared" si="35"/>
        <v>#DIV/0!</v>
      </c>
      <c r="AA188" s="248">
        <v>142</v>
      </c>
      <c r="AB188" s="203" t="s">
        <v>17</v>
      </c>
      <c r="AC188" s="248"/>
      <c r="AD188" s="248"/>
      <c r="AE188" s="251"/>
      <c r="AF188" s="248"/>
    </row>
    <row r="189" spans="1:32" s="21" customFormat="1" ht="43.5" customHeight="1">
      <c r="A189" s="185">
        <f t="shared" si="32"/>
        <v>187</v>
      </c>
      <c r="B189" s="247"/>
      <c r="C189" s="185">
        <v>1633</v>
      </c>
      <c r="D189" s="185">
        <v>49</v>
      </c>
      <c r="E189" s="185" t="s">
        <v>201</v>
      </c>
      <c r="F189" s="185" t="s">
        <v>718</v>
      </c>
      <c r="G189" s="185">
        <v>406</v>
      </c>
      <c r="H189" s="185" t="s">
        <v>140</v>
      </c>
      <c r="I189" s="185" t="s">
        <v>712</v>
      </c>
      <c r="J189" s="185" t="s">
        <v>133</v>
      </c>
      <c r="K189" s="185">
        <v>2</v>
      </c>
      <c r="L189" s="186" t="s">
        <v>76</v>
      </c>
      <c r="M189" s="248"/>
      <c r="N189" s="187">
        <v>60</v>
      </c>
      <c r="O189" s="187">
        <f t="shared" si="33"/>
        <v>120</v>
      </c>
      <c r="P189" s="183"/>
      <c r="Q189" s="218" t="s">
        <v>715</v>
      </c>
      <c r="R189" s="191" t="s">
        <v>716</v>
      </c>
      <c r="S189" s="185"/>
      <c r="T189" s="218"/>
      <c r="U189" s="186"/>
      <c r="V189" s="239">
        <v>170</v>
      </c>
      <c r="W189" s="228">
        <f t="shared" si="34"/>
        <v>340</v>
      </c>
      <c r="X189" s="242"/>
      <c r="Y189" s="63"/>
      <c r="Z189" s="229" t="e">
        <f t="shared" si="35"/>
        <v>#DIV/0!</v>
      </c>
      <c r="AA189" s="248">
        <v>142</v>
      </c>
      <c r="AB189" s="203" t="s">
        <v>17</v>
      </c>
      <c r="AC189" s="248"/>
      <c r="AD189" s="248"/>
      <c r="AE189" s="251"/>
      <c r="AF189" s="248"/>
    </row>
    <row r="190" spans="1:32" s="21" customFormat="1" ht="43.5" customHeight="1">
      <c r="A190" s="185">
        <f t="shared" si="32"/>
        <v>188</v>
      </c>
      <c r="B190" s="247"/>
      <c r="C190" s="185">
        <v>1644</v>
      </c>
      <c r="D190" s="185">
        <v>1</v>
      </c>
      <c r="E190" s="185" t="s">
        <v>184</v>
      </c>
      <c r="F190" s="185" t="s">
        <v>182</v>
      </c>
      <c r="G190" s="185">
        <v>413</v>
      </c>
      <c r="H190" s="185" t="s">
        <v>77</v>
      </c>
      <c r="I190" s="185" t="s">
        <v>735</v>
      </c>
      <c r="J190" s="185" t="s">
        <v>725</v>
      </c>
      <c r="K190" s="185">
        <v>2</v>
      </c>
      <c r="L190" s="186" t="s">
        <v>76</v>
      </c>
      <c r="M190" s="248"/>
      <c r="N190" s="187">
        <v>146.19999999999999</v>
      </c>
      <c r="O190" s="187">
        <f t="shared" si="33"/>
        <v>292.39999999999998</v>
      </c>
      <c r="P190" s="183"/>
      <c r="Q190" s="218" t="s">
        <v>723</v>
      </c>
      <c r="R190" s="191" t="s">
        <v>737</v>
      </c>
      <c r="S190" s="185"/>
      <c r="T190" s="218"/>
      <c r="U190" s="186" t="s">
        <v>724</v>
      </c>
      <c r="V190" s="239">
        <v>280</v>
      </c>
      <c r="W190" s="228">
        <f t="shared" si="34"/>
        <v>560</v>
      </c>
      <c r="X190" s="242"/>
      <c r="Y190" s="63"/>
      <c r="Z190" s="229" t="e">
        <f t="shared" si="35"/>
        <v>#DIV/0!</v>
      </c>
      <c r="AA190" s="248">
        <v>140</v>
      </c>
      <c r="AB190" s="203" t="s">
        <v>17</v>
      </c>
      <c r="AC190" s="248" t="s">
        <v>740</v>
      </c>
      <c r="AD190" s="263" t="s">
        <v>739</v>
      </c>
      <c r="AE190" s="251"/>
      <c r="AF190" s="248"/>
    </row>
    <row r="191" spans="1:32" s="21" customFormat="1" ht="43.5" customHeight="1">
      <c r="A191" s="185">
        <f t="shared" si="32"/>
        <v>189</v>
      </c>
      <c r="B191" s="247"/>
      <c r="C191" s="185">
        <v>1645</v>
      </c>
      <c r="D191" s="185">
        <v>2</v>
      </c>
      <c r="E191" s="185" t="s">
        <v>184</v>
      </c>
      <c r="F191" s="185" t="s">
        <v>792</v>
      </c>
      <c r="G191" s="185">
        <v>413</v>
      </c>
      <c r="H191" s="185" t="s">
        <v>77</v>
      </c>
      <c r="I191" s="185" t="s">
        <v>726</v>
      </c>
      <c r="J191" s="185" t="s">
        <v>727</v>
      </c>
      <c r="K191" s="185">
        <v>1</v>
      </c>
      <c r="L191" s="186" t="s">
        <v>91</v>
      </c>
      <c r="M191" s="248"/>
      <c r="N191" s="256">
        <v>2300</v>
      </c>
      <c r="O191" s="187">
        <f t="shared" ref="O191:O195" si="36">N191*K191</f>
        <v>2300</v>
      </c>
      <c r="P191" s="183"/>
      <c r="Q191" s="218" t="s">
        <v>723</v>
      </c>
      <c r="R191" s="191" t="s">
        <v>737</v>
      </c>
      <c r="S191" s="185"/>
      <c r="T191" s="218"/>
      <c r="U191" s="186"/>
      <c r="V191" s="239">
        <v>2480</v>
      </c>
      <c r="W191" s="228">
        <f t="shared" ref="W191:W195" si="37">V191*K191</f>
        <v>2480</v>
      </c>
      <c r="X191" s="242"/>
      <c r="Y191" s="63"/>
      <c r="Z191" s="229" t="e">
        <f t="shared" ref="Z191:Z195" si="38">W191/O191/Y191</f>
        <v>#DIV/0!</v>
      </c>
      <c r="AA191" s="248"/>
      <c r="AB191" s="65" t="s">
        <v>12</v>
      </c>
      <c r="AC191" s="247" t="s">
        <v>795</v>
      </c>
      <c r="AD191" s="185" t="s">
        <v>421</v>
      </c>
      <c r="AE191" s="251"/>
      <c r="AF191" s="248"/>
    </row>
    <row r="192" spans="1:32" s="21" customFormat="1" ht="43.5" customHeight="1">
      <c r="A192" s="185">
        <f t="shared" si="32"/>
        <v>190</v>
      </c>
      <c r="B192" s="247" t="s">
        <v>143</v>
      </c>
      <c r="C192" s="185">
        <v>1646</v>
      </c>
      <c r="D192" s="185">
        <v>3</v>
      </c>
      <c r="E192" s="185" t="s">
        <v>184</v>
      </c>
      <c r="F192" s="262" t="s">
        <v>796</v>
      </c>
      <c r="G192" s="185">
        <v>413</v>
      </c>
      <c r="H192" s="185" t="s">
        <v>77</v>
      </c>
      <c r="I192" s="185" t="s">
        <v>728</v>
      </c>
      <c r="J192" s="185" t="s">
        <v>729</v>
      </c>
      <c r="K192" s="185">
        <v>2</v>
      </c>
      <c r="L192" s="186" t="s">
        <v>125</v>
      </c>
      <c r="M192" s="248"/>
      <c r="N192" s="187">
        <v>2500</v>
      </c>
      <c r="O192" s="187">
        <f t="shared" si="36"/>
        <v>5000</v>
      </c>
      <c r="P192" s="183"/>
      <c r="Q192" s="218" t="s">
        <v>723</v>
      </c>
      <c r="R192" s="191" t="s">
        <v>737</v>
      </c>
      <c r="S192" s="185"/>
      <c r="T192" s="218"/>
      <c r="U192" s="186"/>
      <c r="V192" s="239">
        <v>4820</v>
      </c>
      <c r="W192" s="228">
        <f t="shared" si="37"/>
        <v>9640</v>
      </c>
      <c r="X192" s="242"/>
      <c r="Y192" s="63"/>
      <c r="Z192" s="229" t="e">
        <f t="shared" si="38"/>
        <v>#DIV/0!</v>
      </c>
      <c r="AA192" s="248"/>
      <c r="AB192" s="197" t="s">
        <v>12</v>
      </c>
      <c r="AC192" s="248"/>
      <c r="AD192" s="185" t="s">
        <v>535</v>
      </c>
      <c r="AE192" s="251"/>
      <c r="AF192" s="248"/>
    </row>
    <row r="193" spans="1:32" s="21" customFormat="1" ht="43.5" customHeight="1">
      <c r="A193" s="185">
        <f t="shared" si="32"/>
        <v>191</v>
      </c>
      <c r="B193" s="247" t="s">
        <v>662</v>
      </c>
      <c r="C193" s="185">
        <v>1647</v>
      </c>
      <c r="D193" s="185">
        <v>4</v>
      </c>
      <c r="E193" s="185" t="s">
        <v>184</v>
      </c>
      <c r="F193" s="185" t="s">
        <v>732</v>
      </c>
      <c r="G193" s="185">
        <v>413</v>
      </c>
      <c r="H193" s="185" t="s">
        <v>77</v>
      </c>
      <c r="I193" s="185" t="s">
        <v>730</v>
      </c>
      <c r="J193" s="185" t="s">
        <v>731</v>
      </c>
      <c r="K193" s="185">
        <v>1</v>
      </c>
      <c r="L193" s="186" t="s">
        <v>125</v>
      </c>
      <c r="M193" s="248"/>
      <c r="N193" s="187">
        <v>2400</v>
      </c>
      <c r="O193" s="187">
        <f t="shared" si="36"/>
        <v>2400</v>
      </c>
      <c r="P193" s="249"/>
      <c r="Q193" s="185" t="s">
        <v>723</v>
      </c>
      <c r="R193" s="191" t="s">
        <v>737</v>
      </c>
      <c r="S193" s="185"/>
      <c r="T193" s="218"/>
      <c r="U193" s="186"/>
      <c r="V193" s="239">
        <v>5530</v>
      </c>
      <c r="W193" s="228">
        <f t="shared" si="37"/>
        <v>5530</v>
      </c>
      <c r="X193" s="242"/>
      <c r="Y193" s="63"/>
      <c r="Z193" s="229" t="e">
        <f t="shared" si="38"/>
        <v>#DIV/0!</v>
      </c>
      <c r="AA193" s="248"/>
      <c r="AB193" s="65" t="s">
        <v>12</v>
      </c>
      <c r="AC193" s="248"/>
      <c r="AD193" s="185" t="s">
        <v>540</v>
      </c>
      <c r="AE193" s="251"/>
      <c r="AF193" s="248"/>
    </row>
    <row r="194" spans="1:32" s="21" customFormat="1" ht="43.5" customHeight="1">
      <c r="A194" s="185">
        <f t="shared" si="32"/>
        <v>192</v>
      </c>
      <c r="B194" s="247" t="s">
        <v>763</v>
      </c>
      <c r="C194" s="185">
        <v>1648</v>
      </c>
      <c r="D194" s="185">
        <v>5</v>
      </c>
      <c r="E194" s="185" t="s">
        <v>184</v>
      </c>
      <c r="F194" s="185" t="s">
        <v>734</v>
      </c>
      <c r="G194" s="185">
        <v>413</v>
      </c>
      <c r="H194" s="185" t="s">
        <v>77</v>
      </c>
      <c r="I194" s="185" t="s">
        <v>736</v>
      </c>
      <c r="J194" s="185" t="s">
        <v>251</v>
      </c>
      <c r="K194" s="185">
        <v>4</v>
      </c>
      <c r="L194" s="186" t="s">
        <v>76</v>
      </c>
      <c r="M194" s="248"/>
      <c r="N194" s="187">
        <v>1100</v>
      </c>
      <c r="O194" s="187">
        <f t="shared" si="36"/>
        <v>4400</v>
      </c>
      <c r="P194" s="249"/>
      <c r="Q194" s="185" t="s">
        <v>723</v>
      </c>
      <c r="R194" s="191" t="s">
        <v>737</v>
      </c>
      <c r="S194" s="185"/>
      <c r="T194" s="218"/>
      <c r="U194" s="186" t="s">
        <v>733</v>
      </c>
      <c r="V194" s="239">
        <v>1500</v>
      </c>
      <c r="W194" s="228">
        <f t="shared" si="37"/>
        <v>6000</v>
      </c>
      <c r="X194" s="242"/>
      <c r="Y194" s="214">
        <v>1.18</v>
      </c>
      <c r="Z194" s="231">
        <f t="shared" si="38"/>
        <v>1.1556240369799691</v>
      </c>
      <c r="AA194" s="248"/>
      <c r="AB194" s="195" t="s">
        <v>22</v>
      </c>
      <c r="AC194" s="248"/>
      <c r="AD194" s="185" t="s">
        <v>541</v>
      </c>
      <c r="AE194" s="251"/>
      <c r="AF194" s="248"/>
    </row>
    <row r="195" spans="1:32" s="21" customFormat="1" ht="43.5" customHeight="1">
      <c r="A195" s="185">
        <f t="shared" si="32"/>
        <v>193</v>
      </c>
      <c r="B195" s="247"/>
      <c r="C195" s="185">
        <v>1676</v>
      </c>
      <c r="D195" s="185">
        <v>1</v>
      </c>
      <c r="E195" s="185" t="s">
        <v>742</v>
      </c>
      <c r="F195" s="185" t="s">
        <v>743</v>
      </c>
      <c r="G195" s="185">
        <v>415</v>
      </c>
      <c r="H195" s="185" t="s">
        <v>140</v>
      </c>
      <c r="I195" s="185" t="s">
        <v>741</v>
      </c>
      <c r="J195" s="185" t="s">
        <v>744</v>
      </c>
      <c r="K195" s="185">
        <v>1</v>
      </c>
      <c r="L195" s="186" t="s">
        <v>76</v>
      </c>
      <c r="M195" s="248"/>
      <c r="N195" s="187">
        <v>219</v>
      </c>
      <c r="O195" s="187">
        <f t="shared" si="36"/>
        <v>219</v>
      </c>
      <c r="P195" s="249"/>
      <c r="Q195" s="185" t="s">
        <v>820</v>
      </c>
      <c r="R195" s="191">
        <v>45705</v>
      </c>
      <c r="S195" s="185"/>
      <c r="T195" s="218"/>
      <c r="U195" s="186"/>
      <c r="V195" s="239">
        <v>410</v>
      </c>
      <c r="W195" s="228">
        <f t="shared" si="37"/>
        <v>410</v>
      </c>
      <c r="X195" s="242"/>
      <c r="Y195" s="63"/>
      <c r="Z195" s="229" t="e">
        <f t="shared" si="38"/>
        <v>#DIV/0!</v>
      </c>
      <c r="AA195" s="248">
        <v>142</v>
      </c>
      <c r="AB195" s="68" t="s">
        <v>17</v>
      </c>
      <c r="AC195" s="248"/>
      <c r="AD195" s="185" t="s">
        <v>701</v>
      </c>
      <c r="AE195" s="251"/>
      <c r="AF195" s="248"/>
    </row>
    <row r="196" spans="1:32" s="21" customFormat="1" ht="43.5" customHeight="1">
      <c r="A196" s="185">
        <f t="shared" si="32"/>
        <v>194</v>
      </c>
      <c r="B196" s="247"/>
      <c r="C196" s="185">
        <v>1692</v>
      </c>
      <c r="D196" s="185">
        <v>1</v>
      </c>
      <c r="E196" s="185" t="s">
        <v>742</v>
      </c>
      <c r="F196" s="185" t="s">
        <v>743</v>
      </c>
      <c r="G196" s="185">
        <v>415</v>
      </c>
      <c r="H196" s="185" t="s">
        <v>140</v>
      </c>
      <c r="I196" s="185" t="s">
        <v>821</v>
      </c>
      <c r="J196" s="185" t="s">
        <v>744</v>
      </c>
      <c r="K196" s="185">
        <v>1</v>
      </c>
      <c r="L196" s="186" t="s">
        <v>76</v>
      </c>
      <c r="M196" s="248"/>
      <c r="N196" s="187">
        <v>350</v>
      </c>
      <c r="O196" s="187">
        <f t="shared" ref="O196" si="39">N196*K196</f>
        <v>350</v>
      </c>
      <c r="P196" s="249"/>
      <c r="Q196" s="185" t="s">
        <v>820</v>
      </c>
      <c r="R196" s="191">
        <v>45705</v>
      </c>
      <c r="S196" s="185"/>
      <c r="T196" s="218"/>
      <c r="U196" s="186" t="s">
        <v>741</v>
      </c>
      <c r="V196" s="239">
        <v>410</v>
      </c>
      <c r="W196" s="228">
        <f t="shared" ref="W196" si="40">V196*K196</f>
        <v>410</v>
      </c>
      <c r="X196" s="242"/>
      <c r="Y196" s="63"/>
      <c r="Z196" s="229" t="e">
        <f t="shared" ref="Z196" si="41">W196/O196/Y196</f>
        <v>#DIV/0!</v>
      </c>
      <c r="AA196" s="248">
        <v>142</v>
      </c>
      <c r="AB196" s="68" t="s">
        <v>17</v>
      </c>
      <c r="AC196" s="248"/>
      <c r="AD196" s="185" t="s">
        <v>707</v>
      </c>
      <c r="AE196" s="251"/>
      <c r="AF196" s="248"/>
    </row>
    <row r="197" spans="1:32" s="21" customFormat="1" ht="43.5" customHeight="1">
      <c r="A197" s="185">
        <f t="shared" si="32"/>
        <v>195</v>
      </c>
      <c r="B197" s="247" t="s">
        <v>760</v>
      </c>
      <c r="C197" s="185">
        <v>1694</v>
      </c>
      <c r="D197" s="185">
        <v>1</v>
      </c>
      <c r="E197" s="185" t="s">
        <v>184</v>
      </c>
      <c r="F197" s="185" t="s">
        <v>776</v>
      </c>
      <c r="G197" s="185">
        <v>420</v>
      </c>
      <c r="H197" s="185" t="s">
        <v>140</v>
      </c>
      <c r="I197" s="185" t="s">
        <v>753</v>
      </c>
      <c r="J197" s="185" t="s">
        <v>749</v>
      </c>
      <c r="K197" s="185">
        <v>1</v>
      </c>
      <c r="L197" s="186" t="s">
        <v>125</v>
      </c>
      <c r="M197" s="248"/>
      <c r="N197" s="187">
        <v>14500</v>
      </c>
      <c r="O197" s="187">
        <f t="shared" si="33"/>
        <v>14500</v>
      </c>
      <c r="P197" s="249"/>
      <c r="Q197" s="185" t="s">
        <v>750</v>
      </c>
      <c r="R197" s="191">
        <v>45714</v>
      </c>
      <c r="S197" s="185"/>
      <c r="T197" s="218"/>
      <c r="U197" s="186"/>
      <c r="V197" s="239">
        <v>24000</v>
      </c>
      <c r="W197" s="228">
        <f t="shared" si="34"/>
        <v>24000</v>
      </c>
      <c r="X197" s="242"/>
      <c r="Y197" s="63"/>
      <c r="Z197" s="229" t="e">
        <f t="shared" si="35"/>
        <v>#DIV/0!</v>
      </c>
      <c r="AA197" s="248"/>
      <c r="AB197" s="195" t="s">
        <v>22</v>
      </c>
      <c r="AC197" s="248"/>
      <c r="AD197" s="248"/>
      <c r="AE197" s="251"/>
      <c r="AF197" s="248"/>
    </row>
    <row r="198" spans="1:32" s="21" customFormat="1" ht="48.95" customHeight="1">
      <c r="A198" s="185">
        <f t="shared" si="32"/>
        <v>196</v>
      </c>
      <c r="B198" s="247" t="s">
        <v>760</v>
      </c>
      <c r="C198" s="185">
        <v>1695</v>
      </c>
      <c r="D198" s="185">
        <v>2</v>
      </c>
      <c r="E198" s="185" t="s">
        <v>184</v>
      </c>
      <c r="F198" s="185" t="s">
        <v>776</v>
      </c>
      <c r="G198" s="185">
        <v>420</v>
      </c>
      <c r="H198" s="185" t="s">
        <v>140</v>
      </c>
      <c r="I198" s="185" t="s">
        <v>752</v>
      </c>
      <c r="J198" s="185" t="s">
        <v>751</v>
      </c>
      <c r="K198" s="185">
        <v>1</v>
      </c>
      <c r="L198" s="186" t="s">
        <v>125</v>
      </c>
      <c r="M198" s="248"/>
      <c r="N198" s="187">
        <v>16500</v>
      </c>
      <c r="O198" s="187">
        <f t="shared" si="33"/>
        <v>16500</v>
      </c>
      <c r="P198" s="249"/>
      <c r="Q198" s="185" t="s">
        <v>750</v>
      </c>
      <c r="R198" s="191">
        <v>45714</v>
      </c>
      <c r="S198" s="185"/>
      <c r="T198" s="218"/>
      <c r="U198" s="186"/>
      <c r="V198" s="239">
        <v>26230</v>
      </c>
      <c r="W198" s="228">
        <f t="shared" si="34"/>
        <v>26230</v>
      </c>
      <c r="X198" s="242"/>
      <c r="Y198" s="63"/>
      <c r="Z198" s="229" t="e">
        <f t="shared" si="35"/>
        <v>#DIV/0!</v>
      </c>
      <c r="AA198" s="248"/>
      <c r="AB198" s="195" t="s">
        <v>22</v>
      </c>
      <c r="AC198" s="248"/>
      <c r="AD198" s="248"/>
      <c r="AE198" s="251"/>
      <c r="AF198" s="248"/>
    </row>
    <row r="199" spans="1:32" s="21" customFormat="1" ht="39" customHeight="1">
      <c r="A199" s="185">
        <f t="shared" si="32"/>
        <v>197</v>
      </c>
      <c r="B199" s="247"/>
      <c r="C199" s="185">
        <v>1696</v>
      </c>
      <c r="D199" s="185">
        <v>3</v>
      </c>
      <c r="E199" s="185" t="s">
        <v>184</v>
      </c>
      <c r="F199" s="185" t="s">
        <v>257</v>
      </c>
      <c r="G199" s="185">
        <v>420</v>
      </c>
      <c r="H199" s="185" t="s">
        <v>140</v>
      </c>
      <c r="I199" s="185" t="s">
        <v>754</v>
      </c>
      <c r="J199" s="185" t="s">
        <v>757</v>
      </c>
      <c r="K199" s="185">
        <v>1</v>
      </c>
      <c r="L199" s="186" t="s">
        <v>125</v>
      </c>
      <c r="M199" s="187">
        <v>27295</v>
      </c>
      <c r="N199" s="187">
        <v>25000</v>
      </c>
      <c r="O199" s="187">
        <f t="shared" ref="O199:O204" si="42">N199*K199</f>
        <v>25000</v>
      </c>
      <c r="P199" s="249"/>
      <c r="Q199" s="185" t="s">
        <v>750</v>
      </c>
      <c r="R199" s="191">
        <v>45714</v>
      </c>
      <c r="S199" s="185"/>
      <c r="T199" s="218"/>
      <c r="U199" s="186"/>
      <c r="V199" s="239">
        <v>41610</v>
      </c>
      <c r="W199" s="228">
        <f t="shared" ref="W199:W204" si="43">V199*K199</f>
        <v>41610</v>
      </c>
      <c r="X199" s="242"/>
      <c r="Y199" s="63"/>
      <c r="Z199" s="229" t="e">
        <f t="shared" ref="Z199:Z204" si="44">W199/O199/Y199</f>
        <v>#DIV/0!</v>
      </c>
      <c r="AA199" s="248"/>
      <c r="AB199" s="194" t="s">
        <v>62</v>
      </c>
      <c r="AC199" s="247"/>
      <c r="AD199" s="248"/>
      <c r="AE199" s="251"/>
      <c r="AF199" s="248"/>
    </row>
    <row r="200" spans="1:32" s="21" customFormat="1" ht="43.5" customHeight="1">
      <c r="A200" s="185">
        <f t="shared" si="32"/>
        <v>198</v>
      </c>
      <c r="B200" s="247"/>
      <c r="C200" s="185">
        <v>1697</v>
      </c>
      <c r="D200" s="185">
        <v>1</v>
      </c>
      <c r="E200" s="185" t="s">
        <v>184</v>
      </c>
      <c r="F200" s="185" t="s">
        <v>782</v>
      </c>
      <c r="G200" s="185">
        <v>420</v>
      </c>
      <c r="H200" s="185" t="s">
        <v>140</v>
      </c>
      <c r="I200" s="185" t="s">
        <v>755</v>
      </c>
      <c r="J200" s="185" t="s">
        <v>756</v>
      </c>
      <c r="K200" s="185">
        <v>1</v>
      </c>
      <c r="L200" s="186" t="s">
        <v>125</v>
      </c>
      <c r="M200" s="186">
        <v>22500</v>
      </c>
      <c r="N200" s="187">
        <v>22000</v>
      </c>
      <c r="O200" s="187">
        <f t="shared" si="42"/>
        <v>22000</v>
      </c>
      <c r="P200" s="249"/>
      <c r="Q200" s="185" t="s">
        <v>765</v>
      </c>
      <c r="R200" s="191">
        <v>45714</v>
      </c>
      <c r="S200" s="185"/>
      <c r="T200" s="218"/>
      <c r="U200" s="186"/>
      <c r="V200" s="239">
        <v>34800</v>
      </c>
      <c r="W200" s="228">
        <f t="shared" si="43"/>
        <v>34800</v>
      </c>
      <c r="X200" s="242"/>
      <c r="Y200" s="63"/>
      <c r="Z200" s="229" t="e">
        <f t="shared" si="44"/>
        <v>#DIV/0!</v>
      </c>
      <c r="AA200" s="248"/>
      <c r="AB200" s="194" t="s">
        <v>62</v>
      </c>
      <c r="AC200" s="257" t="s">
        <v>793</v>
      </c>
      <c r="AD200" s="247"/>
      <c r="AE200" s="251"/>
      <c r="AF200" s="248"/>
    </row>
    <row r="201" spans="1:32" s="21" customFormat="1" ht="43.5" customHeight="1">
      <c r="A201" s="185">
        <f t="shared" si="32"/>
        <v>199</v>
      </c>
      <c r="B201" s="247"/>
      <c r="C201" s="185">
        <v>1698</v>
      </c>
      <c r="D201" s="185">
        <v>2</v>
      </c>
      <c r="E201" s="185" t="s">
        <v>184</v>
      </c>
      <c r="F201" s="185" t="s">
        <v>761</v>
      </c>
      <c r="G201" s="185">
        <v>420</v>
      </c>
      <c r="H201" s="185" t="s">
        <v>140</v>
      </c>
      <c r="I201" s="185" t="s">
        <v>759</v>
      </c>
      <c r="J201" s="185" t="s">
        <v>758</v>
      </c>
      <c r="K201" s="185">
        <v>1</v>
      </c>
      <c r="L201" s="186" t="s">
        <v>125</v>
      </c>
      <c r="M201" s="187">
        <v>17500</v>
      </c>
      <c r="N201" s="187">
        <v>16800</v>
      </c>
      <c r="O201" s="187">
        <f t="shared" si="42"/>
        <v>16800</v>
      </c>
      <c r="P201" s="249"/>
      <c r="Q201" s="185" t="s">
        <v>765</v>
      </c>
      <c r="R201" s="191">
        <v>45714</v>
      </c>
      <c r="S201" s="185"/>
      <c r="T201" s="218"/>
      <c r="U201" s="186"/>
      <c r="V201" s="239">
        <v>30000</v>
      </c>
      <c r="W201" s="228">
        <f t="shared" si="43"/>
        <v>30000</v>
      </c>
      <c r="X201" s="242"/>
      <c r="Y201" s="63"/>
      <c r="Z201" s="229" t="e">
        <f t="shared" si="44"/>
        <v>#DIV/0!</v>
      </c>
      <c r="AA201" s="248"/>
      <c r="AB201" s="194" t="s">
        <v>62</v>
      </c>
      <c r="AC201" s="247" t="s">
        <v>791</v>
      </c>
      <c r="AD201" s="248"/>
      <c r="AE201" s="251"/>
      <c r="AF201" s="248"/>
    </row>
    <row r="202" spans="1:32" s="21" customFormat="1" ht="80.25" customHeight="1">
      <c r="A202" s="185">
        <f t="shared" si="32"/>
        <v>200</v>
      </c>
      <c r="B202" s="247"/>
      <c r="C202" s="185">
        <v>1693</v>
      </c>
      <c r="D202" s="185">
        <v>1</v>
      </c>
      <c r="E202" s="207" t="s">
        <v>762</v>
      </c>
      <c r="F202" s="185" t="s">
        <v>247</v>
      </c>
      <c r="G202" s="207" t="s">
        <v>764</v>
      </c>
      <c r="H202" s="185" t="s">
        <v>140</v>
      </c>
      <c r="I202" s="185" t="s">
        <v>248</v>
      </c>
      <c r="J202" s="185" t="s">
        <v>249</v>
      </c>
      <c r="K202" s="185">
        <v>72</v>
      </c>
      <c r="L202" s="186" t="s">
        <v>125</v>
      </c>
      <c r="M202" s="248"/>
      <c r="N202" s="187">
        <v>3650</v>
      </c>
      <c r="O202" s="187">
        <f>N202*K202</f>
        <v>262800</v>
      </c>
      <c r="P202" s="249"/>
      <c r="Q202" s="185"/>
      <c r="R202" s="191"/>
      <c r="S202" s="185"/>
      <c r="T202" s="218"/>
      <c r="U202" s="186"/>
      <c r="V202" s="239">
        <v>0</v>
      </c>
      <c r="W202" s="228">
        <f t="shared" si="43"/>
        <v>0</v>
      </c>
      <c r="X202" s="242"/>
      <c r="Y202" s="63"/>
      <c r="Z202" s="229" t="e">
        <f t="shared" si="44"/>
        <v>#DIV/0!</v>
      </c>
      <c r="AA202" s="248"/>
      <c r="AB202" s="195" t="s">
        <v>22</v>
      </c>
      <c r="AC202" s="247" t="s">
        <v>910</v>
      </c>
      <c r="AD202" s="248"/>
      <c r="AE202" s="251"/>
      <c r="AF202" s="248"/>
    </row>
    <row r="203" spans="1:32" s="21" customFormat="1" ht="43.5" customHeight="1">
      <c r="A203" s="185">
        <f t="shared" si="32"/>
        <v>201</v>
      </c>
      <c r="B203" s="247"/>
      <c r="C203" s="185">
        <v>1699</v>
      </c>
      <c r="D203" s="185">
        <v>3</v>
      </c>
      <c r="E203" s="185" t="s">
        <v>209</v>
      </c>
      <c r="F203" s="207" t="s">
        <v>768</v>
      </c>
      <c r="G203" s="185">
        <v>419</v>
      </c>
      <c r="H203" s="185" t="s">
        <v>140</v>
      </c>
      <c r="I203" s="185" t="s">
        <v>766</v>
      </c>
      <c r="J203" s="185" t="s">
        <v>767</v>
      </c>
      <c r="K203" s="185">
        <v>50</v>
      </c>
      <c r="L203" s="186" t="s">
        <v>76</v>
      </c>
      <c r="M203" s="248"/>
      <c r="N203" s="187">
        <v>9.9172999999999991</v>
      </c>
      <c r="O203" s="187">
        <f t="shared" ref="O203" si="45">N203*K203</f>
        <v>495.86499999999995</v>
      </c>
      <c r="P203" s="183"/>
      <c r="Q203" s="326" t="s">
        <v>769</v>
      </c>
      <c r="R203" s="191">
        <v>45714</v>
      </c>
      <c r="S203" s="185"/>
      <c r="T203" s="218"/>
      <c r="U203" s="186"/>
      <c r="V203" s="239">
        <v>13</v>
      </c>
      <c r="W203" s="228">
        <f t="shared" ref="W203" si="46">V203*K203</f>
        <v>650</v>
      </c>
      <c r="X203" s="242"/>
      <c r="Y203" s="63"/>
      <c r="Z203" s="229" t="e">
        <f t="shared" ref="Z203" si="47">W203/O203/Y203</f>
        <v>#DIV/0!</v>
      </c>
      <c r="AA203" s="248"/>
      <c r="AB203" s="204" t="s">
        <v>11</v>
      </c>
      <c r="AC203" s="248"/>
      <c r="AD203" s="248"/>
      <c r="AE203" s="251"/>
      <c r="AF203" s="248"/>
    </row>
    <row r="204" spans="1:32" s="21" customFormat="1" ht="43.5" customHeight="1">
      <c r="A204" s="185">
        <f t="shared" si="32"/>
        <v>202</v>
      </c>
      <c r="B204" s="247"/>
      <c r="C204" s="185">
        <v>1700</v>
      </c>
      <c r="D204" s="185">
        <v>3</v>
      </c>
      <c r="E204" s="185" t="s">
        <v>209</v>
      </c>
      <c r="F204" s="185" t="s">
        <v>775</v>
      </c>
      <c r="G204" s="185">
        <v>419</v>
      </c>
      <c r="H204" s="185" t="s">
        <v>140</v>
      </c>
      <c r="I204" s="185" t="s">
        <v>770</v>
      </c>
      <c r="J204" s="185" t="s">
        <v>772</v>
      </c>
      <c r="K204" s="185">
        <v>20</v>
      </c>
      <c r="L204" s="186" t="s">
        <v>76</v>
      </c>
      <c r="M204" s="248"/>
      <c r="N204" s="187">
        <v>14</v>
      </c>
      <c r="O204" s="187">
        <f t="shared" si="42"/>
        <v>280</v>
      </c>
      <c r="P204" s="183"/>
      <c r="Q204" s="327" t="s">
        <v>774</v>
      </c>
      <c r="R204" s="191">
        <v>45714</v>
      </c>
      <c r="S204" s="185"/>
      <c r="T204" s="218"/>
      <c r="U204" s="186"/>
      <c r="V204" s="239">
        <v>20</v>
      </c>
      <c r="W204" s="228">
        <f t="shared" si="43"/>
        <v>400</v>
      </c>
      <c r="X204" s="242"/>
      <c r="Y204" s="63"/>
      <c r="Z204" s="229" t="e">
        <f t="shared" si="44"/>
        <v>#DIV/0!</v>
      </c>
      <c r="AA204" s="248"/>
      <c r="AB204" s="204" t="s">
        <v>11</v>
      </c>
      <c r="AC204" s="248"/>
      <c r="AD204" s="248"/>
      <c r="AE204" s="251"/>
      <c r="AF204" s="248"/>
    </row>
    <row r="205" spans="1:32" s="21" customFormat="1" ht="43.5" customHeight="1">
      <c r="A205" s="185">
        <f t="shared" si="32"/>
        <v>203</v>
      </c>
      <c r="B205" s="53"/>
      <c r="C205" s="52">
        <v>1701</v>
      </c>
      <c r="D205" s="52">
        <v>14</v>
      </c>
      <c r="E205" s="52" t="s">
        <v>209</v>
      </c>
      <c r="F205" s="52" t="s">
        <v>233</v>
      </c>
      <c r="G205" s="52">
        <v>419</v>
      </c>
      <c r="H205" s="52" t="s">
        <v>140</v>
      </c>
      <c r="I205" s="52" t="s">
        <v>771</v>
      </c>
      <c r="J205" s="52" t="s">
        <v>773</v>
      </c>
      <c r="K205" s="52">
        <v>50</v>
      </c>
      <c r="L205" s="54" t="s">
        <v>76</v>
      </c>
      <c r="M205" s="60"/>
      <c r="N205" s="55">
        <v>63</v>
      </c>
      <c r="O205" s="55">
        <f t="shared" ref="O205:O267" si="48">N205*K205</f>
        <v>3150</v>
      </c>
      <c r="P205" s="56"/>
      <c r="Q205" s="328" t="s">
        <v>774</v>
      </c>
      <c r="R205" s="58">
        <v>45714</v>
      </c>
      <c r="S205" s="52"/>
      <c r="T205" s="59"/>
      <c r="U205" s="54"/>
      <c r="V205" s="99">
        <v>85</v>
      </c>
      <c r="W205" s="61">
        <f t="shared" ref="W205:W267" si="49">V205*K205</f>
        <v>4250</v>
      </c>
      <c r="X205" s="62"/>
      <c r="Y205" s="63"/>
      <c r="Z205" s="229" t="e">
        <f t="shared" ref="Z205:Z267" si="50">W205/O205/Y205</f>
        <v>#DIV/0!</v>
      </c>
      <c r="AA205" s="350"/>
      <c r="AB205" s="205" t="s">
        <v>20</v>
      </c>
      <c r="AC205" s="60" t="s">
        <v>789</v>
      </c>
      <c r="AD205" s="172"/>
      <c r="AE205" s="64"/>
      <c r="AF205" s="60"/>
    </row>
    <row r="206" spans="1:32" s="21" customFormat="1" ht="43.5" customHeight="1">
      <c r="A206" s="185">
        <f t="shared" si="32"/>
        <v>204</v>
      </c>
      <c r="B206" s="247"/>
      <c r="C206" s="185">
        <v>1779</v>
      </c>
      <c r="D206" s="185">
        <v>17</v>
      </c>
      <c r="E206" s="185" t="s">
        <v>209</v>
      </c>
      <c r="F206" s="218" t="s">
        <v>720</v>
      </c>
      <c r="G206" s="185">
        <v>419</v>
      </c>
      <c r="H206" s="52" t="s">
        <v>140</v>
      </c>
      <c r="I206" s="185" t="s">
        <v>787</v>
      </c>
      <c r="J206" s="185" t="s">
        <v>788</v>
      </c>
      <c r="K206" s="185">
        <v>200</v>
      </c>
      <c r="L206" s="186" t="s">
        <v>76</v>
      </c>
      <c r="M206" s="248"/>
      <c r="N206" s="187">
        <v>1.89</v>
      </c>
      <c r="O206" s="187">
        <f t="shared" si="48"/>
        <v>378</v>
      </c>
      <c r="P206" s="183"/>
      <c r="Q206" s="325" t="s">
        <v>703</v>
      </c>
      <c r="R206" s="191">
        <v>45721</v>
      </c>
      <c r="S206" s="185"/>
      <c r="T206" s="218"/>
      <c r="U206" s="186" t="s">
        <v>786</v>
      </c>
      <c r="V206" s="239">
        <v>2.6</v>
      </c>
      <c r="W206" s="228">
        <f t="shared" si="49"/>
        <v>520</v>
      </c>
      <c r="X206" s="243"/>
      <c r="Y206" s="50"/>
      <c r="Z206" s="232" t="e">
        <f t="shared" si="50"/>
        <v>#DIV/0!</v>
      </c>
      <c r="AA206" s="248"/>
      <c r="AB206" s="204" t="s">
        <v>11</v>
      </c>
      <c r="AC206" s="248"/>
      <c r="AD206" s="248"/>
      <c r="AE206" s="251"/>
      <c r="AF206" s="248"/>
    </row>
    <row r="207" spans="1:32" s="21" customFormat="1" ht="43.5" customHeight="1">
      <c r="A207" s="185">
        <f t="shared" si="32"/>
        <v>205</v>
      </c>
      <c r="B207" s="247"/>
      <c r="C207" s="185">
        <v>1767</v>
      </c>
      <c r="D207" s="185">
        <v>1</v>
      </c>
      <c r="E207" s="185" t="s">
        <v>201</v>
      </c>
      <c r="F207" s="218" t="s">
        <v>818</v>
      </c>
      <c r="G207" s="185">
        <v>424</v>
      </c>
      <c r="H207" s="52" t="s">
        <v>140</v>
      </c>
      <c r="I207" s="185" t="s">
        <v>802</v>
      </c>
      <c r="J207" s="185" t="s">
        <v>803</v>
      </c>
      <c r="K207" s="185">
        <v>10</v>
      </c>
      <c r="L207" s="186" t="s">
        <v>76</v>
      </c>
      <c r="M207" s="248"/>
      <c r="N207" s="187">
        <v>10.89</v>
      </c>
      <c r="O207" s="187">
        <f t="shared" ref="O207:O264" si="51">N207*K207</f>
        <v>108.9</v>
      </c>
      <c r="P207" s="183"/>
      <c r="Q207" s="218" t="s">
        <v>816</v>
      </c>
      <c r="R207" s="191">
        <v>45727</v>
      </c>
      <c r="S207" s="185"/>
      <c r="T207" s="218"/>
      <c r="U207" s="186"/>
      <c r="V207" s="239">
        <v>25</v>
      </c>
      <c r="W207" s="228">
        <f t="shared" ref="W207:W264" si="52">V207*K207</f>
        <v>250</v>
      </c>
      <c r="X207" s="243"/>
      <c r="Y207" s="50"/>
      <c r="Z207" s="232" t="e">
        <f t="shared" ref="Z207:Z264" si="53">W207/O207/Y207</f>
        <v>#DIV/0!</v>
      </c>
      <c r="AA207" s="248"/>
      <c r="AB207" s="65" t="s">
        <v>12</v>
      </c>
      <c r="AC207" s="248"/>
      <c r="AD207" s="248"/>
      <c r="AE207" s="251"/>
      <c r="AF207" s="248"/>
    </row>
    <row r="208" spans="1:32" s="21" customFormat="1" ht="43.5" customHeight="1">
      <c r="A208" s="185">
        <f t="shared" si="32"/>
        <v>206</v>
      </c>
      <c r="B208" s="247"/>
      <c r="C208" s="185">
        <v>1768</v>
      </c>
      <c r="D208" s="185">
        <v>2</v>
      </c>
      <c r="E208" s="185" t="s">
        <v>201</v>
      </c>
      <c r="F208" s="218" t="s">
        <v>818</v>
      </c>
      <c r="G208" s="185">
        <v>424</v>
      </c>
      <c r="H208" s="52" t="s">
        <v>140</v>
      </c>
      <c r="I208" s="185" t="s">
        <v>804</v>
      </c>
      <c r="J208" s="185" t="s">
        <v>803</v>
      </c>
      <c r="K208" s="185">
        <v>8</v>
      </c>
      <c r="L208" s="186" t="s">
        <v>76</v>
      </c>
      <c r="M208" s="248"/>
      <c r="N208" s="187">
        <v>18.18</v>
      </c>
      <c r="O208" s="187">
        <f t="shared" si="51"/>
        <v>145.44</v>
      </c>
      <c r="P208" s="183"/>
      <c r="Q208" s="218" t="s">
        <v>816</v>
      </c>
      <c r="R208" s="191">
        <v>45727</v>
      </c>
      <c r="S208" s="185"/>
      <c r="T208" s="218"/>
      <c r="U208" s="186"/>
      <c r="V208" s="239">
        <v>34.5</v>
      </c>
      <c r="W208" s="228">
        <f t="shared" si="52"/>
        <v>276</v>
      </c>
      <c r="X208" s="243"/>
      <c r="Y208" s="50"/>
      <c r="Z208" s="232" t="e">
        <f t="shared" si="53"/>
        <v>#DIV/0!</v>
      </c>
      <c r="AA208" s="248"/>
      <c r="AB208" s="65" t="s">
        <v>12</v>
      </c>
      <c r="AC208" s="248"/>
      <c r="AD208" s="248"/>
      <c r="AE208" s="251"/>
      <c r="AF208" s="248"/>
    </row>
    <row r="209" spans="1:32" s="21" customFormat="1" ht="43.5" customHeight="1">
      <c r="A209" s="185">
        <f t="shared" si="32"/>
        <v>207</v>
      </c>
      <c r="B209" s="247"/>
      <c r="C209" s="185">
        <v>1769</v>
      </c>
      <c r="D209" s="185">
        <v>3</v>
      </c>
      <c r="E209" s="185" t="s">
        <v>201</v>
      </c>
      <c r="F209" s="218" t="s">
        <v>818</v>
      </c>
      <c r="G209" s="185">
        <v>424</v>
      </c>
      <c r="H209" s="52" t="s">
        <v>140</v>
      </c>
      <c r="I209" s="185" t="s">
        <v>806</v>
      </c>
      <c r="J209" s="185" t="s">
        <v>803</v>
      </c>
      <c r="K209" s="185">
        <v>5</v>
      </c>
      <c r="L209" s="186" t="s">
        <v>76</v>
      </c>
      <c r="M209" s="248"/>
      <c r="N209" s="187">
        <v>28.62</v>
      </c>
      <c r="O209" s="187">
        <f t="shared" si="51"/>
        <v>143.1</v>
      </c>
      <c r="P209" s="183"/>
      <c r="Q209" s="218" t="s">
        <v>816</v>
      </c>
      <c r="R209" s="191">
        <v>45727</v>
      </c>
      <c r="S209" s="185"/>
      <c r="T209" s="218"/>
      <c r="U209" s="186"/>
      <c r="V209" s="239">
        <v>54.5</v>
      </c>
      <c r="W209" s="228">
        <f t="shared" si="52"/>
        <v>272.5</v>
      </c>
      <c r="X209" s="243"/>
      <c r="Y209" s="50"/>
      <c r="Z209" s="232" t="e">
        <f t="shared" si="53"/>
        <v>#DIV/0!</v>
      </c>
      <c r="AA209" s="248"/>
      <c r="AB209" s="65" t="s">
        <v>12</v>
      </c>
      <c r="AC209" s="248"/>
      <c r="AD209" s="248"/>
      <c r="AE209" s="251"/>
      <c r="AF209" s="248"/>
    </row>
    <row r="210" spans="1:32" s="21" customFormat="1" ht="43.5" customHeight="1">
      <c r="A210" s="185">
        <f t="shared" si="32"/>
        <v>208</v>
      </c>
      <c r="B210" s="247"/>
      <c r="C210" s="185">
        <v>1770</v>
      </c>
      <c r="D210" s="185">
        <v>4</v>
      </c>
      <c r="E210" s="185" t="s">
        <v>201</v>
      </c>
      <c r="F210" s="218" t="s">
        <v>818</v>
      </c>
      <c r="G210" s="185">
        <v>424</v>
      </c>
      <c r="H210" s="52" t="s">
        <v>140</v>
      </c>
      <c r="I210" s="185" t="s">
        <v>807</v>
      </c>
      <c r="J210" s="185" t="s">
        <v>803</v>
      </c>
      <c r="K210" s="185">
        <v>4</v>
      </c>
      <c r="L210" s="186" t="s">
        <v>76</v>
      </c>
      <c r="M210" s="248"/>
      <c r="N210" s="187">
        <v>23.08</v>
      </c>
      <c r="O210" s="187">
        <f t="shared" si="51"/>
        <v>92.32</v>
      </c>
      <c r="P210" s="183"/>
      <c r="Q210" s="218" t="s">
        <v>816</v>
      </c>
      <c r="R210" s="191">
        <v>45727</v>
      </c>
      <c r="S210" s="185"/>
      <c r="T210" s="218"/>
      <c r="U210" s="186"/>
      <c r="V210" s="239">
        <v>50</v>
      </c>
      <c r="W210" s="228">
        <f t="shared" si="52"/>
        <v>200</v>
      </c>
      <c r="X210" s="243"/>
      <c r="Y210" s="50"/>
      <c r="Z210" s="232" t="e">
        <f t="shared" si="53"/>
        <v>#DIV/0!</v>
      </c>
      <c r="AA210" s="248"/>
      <c r="AB210" s="65" t="s">
        <v>12</v>
      </c>
      <c r="AC210" s="248"/>
      <c r="AD210" s="248"/>
      <c r="AE210" s="251"/>
      <c r="AF210" s="248"/>
    </row>
    <row r="211" spans="1:32" s="21" customFormat="1" ht="43.5" customHeight="1">
      <c r="A211" s="185">
        <f t="shared" si="32"/>
        <v>209</v>
      </c>
      <c r="B211" s="247"/>
      <c r="C211" s="185">
        <v>1771</v>
      </c>
      <c r="D211" s="185">
        <v>5</v>
      </c>
      <c r="E211" s="185" t="s">
        <v>201</v>
      </c>
      <c r="F211" s="218" t="s">
        <v>231</v>
      </c>
      <c r="G211" s="185">
        <v>424</v>
      </c>
      <c r="H211" s="52" t="s">
        <v>140</v>
      </c>
      <c r="I211" s="185" t="s">
        <v>817</v>
      </c>
      <c r="J211" s="185" t="s">
        <v>808</v>
      </c>
      <c r="K211" s="185">
        <v>2</v>
      </c>
      <c r="L211" s="186" t="s">
        <v>76</v>
      </c>
      <c r="M211" s="248"/>
      <c r="N211" s="187">
        <v>627</v>
      </c>
      <c r="O211" s="187">
        <f t="shared" si="51"/>
        <v>1254</v>
      </c>
      <c r="P211" s="183"/>
      <c r="Q211" s="218" t="s">
        <v>816</v>
      </c>
      <c r="R211" s="191">
        <v>45727</v>
      </c>
      <c r="S211" s="185"/>
      <c r="T211" s="218"/>
      <c r="U211" s="186"/>
      <c r="V211" s="239">
        <v>935</v>
      </c>
      <c r="W211" s="228">
        <f t="shared" si="52"/>
        <v>1870</v>
      </c>
      <c r="X211" s="243"/>
      <c r="Y211" s="50"/>
      <c r="Z211" s="232" t="e">
        <f t="shared" si="53"/>
        <v>#DIV/0!</v>
      </c>
      <c r="AA211" s="248"/>
      <c r="AB211" s="204" t="s">
        <v>11</v>
      </c>
      <c r="AC211" s="248"/>
      <c r="AD211" s="248"/>
      <c r="AE211" s="251"/>
      <c r="AF211" s="248"/>
    </row>
    <row r="212" spans="1:32" s="21" customFormat="1" ht="43.5" customHeight="1">
      <c r="A212" s="185">
        <f t="shared" si="32"/>
        <v>210</v>
      </c>
      <c r="B212" s="247"/>
      <c r="C212" s="185">
        <v>1772</v>
      </c>
      <c r="D212" s="185">
        <v>6</v>
      </c>
      <c r="E212" s="185" t="s">
        <v>201</v>
      </c>
      <c r="F212" s="218" t="s">
        <v>818</v>
      </c>
      <c r="G212" s="185">
        <v>424</v>
      </c>
      <c r="H212" s="52" t="s">
        <v>140</v>
      </c>
      <c r="I212" s="185" t="s">
        <v>809</v>
      </c>
      <c r="J212" s="185" t="s">
        <v>803</v>
      </c>
      <c r="K212" s="185">
        <v>5</v>
      </c>
      <c r="L212" s="186" t="s">
        <v>76</v>
      </c>
      <c r="M212" s="248"/>
      <c r="N212" s="187">
        <v>31.17</v>
      </c>
      <c r="O212" s="187">
        <f t="shared" si="51"/>
        <v>155.85000000000002</v>
      </c>
      <c r="P212" s="183"/>
      <c r="Q212" s="218" t="s">
        <v>816</v>
      </c>
      <c r="R212" s="191">
        <v>45727</v>
      </c>
      <c r="S212" s="185"/>
      <c r="T212" s="218"/>
      <c r="U212" s="186"/>
      <c r="V212" s="239">
        <v>78.5</v>
      </c>
      <c r="W212" s="228">
        <f t="shared" si="52"/>
        <v>392.5</v>
      </c>
      <c r="X212" s="243"/>
      <c r="Y212" s="50"/>
      <c r="Z212" s="232" t="e">
        <f t="shared" si="53"/>
        <v>#DIV/0!</v>
      </c>
      <c r="AA212" s="248"/>
      <c r="AB212" s="65" t="s">
        <v>12</v>
      </c>
      <c r="AC212" s="248"/>
      <c r="AD212" s="248"/>
      <c r="AE212" s="251"/>
      <c r="AF212" s="248"/>
    </row>
    <row r="213" spans="1:32" s="21" customFormat="1" ht="43.5" customHeight="1">
      <c r="A213" s="185">
        <f t="shared" si="32"/>
        <v>211</v>
      </c>
      <c r="B213" s="247"/>
      <c r="C213" s="185">
        <v>1773</v>
      </c>
      <c r="D213" s="185">
        <v>7</v>
      </c>
      <c r="E213" s="185" t="s">
        <v>201</v>
      </c>
      <c r="F213" s="218" t="s">
        <v>818</v>
      </c>
      <c r="G213" s="185">
        <v>424</v>
      </c>
      <c r="H213" s="52" t="s">
        <v>140</v>
      </c>
      <c r="I213" s="185" t="s">
        <v>810</v>
      </c>
      <c r="J213" s="185" t="s">
        <v>803</v>
      </c>
      <c r="K213" s="185">
        <v>3</v>
      </c>
      <c r="L213" s="186" t="s">
        <v>76</v>
      </c>
      <c r="M213" s="248"/>
      <c r="N213" s="187">
        <v>45.55</v>
      </c>
      <c r="O213" s="187">
        <f t="shared" si="51"/>
        <v>136.64999999999998</v>
      </c>
      <c r="P213" s="183"/>
      <c r="Q213" s="218" t="s">
        <v>816</v>
      </c>
      <c r="R213" s="191">
        <v>45727</v>
      </c>
      <c r="S213" s="185"/>
      <c r="T213" s="218"/>
      <c r="U213" s="186"/>
      <c r="V213" s="239">
        <v>99</v>
      </c>
      <c r="W213" s="228">
        <f t="shared" si="52"/>
        <v>297</v>
      </c>
      <c r="X213" s="243"/>
      <c r="Y213" s="50"/>
      <c r="Z213" s="232" t="e">
        <f t="shared" si="53"/>
        <v>#DIV/0!</v>
      </c>
      <c r="AA213" s="248"/>
      <c r="AB213" s="65" t="s">
        <v>12</v>
      </c>
      <c r="AC213" s="248"/>
      <c r="AD213" s="248"/>
      <c r="AE213" s="251"/>
      <c r="AF213" s="248"/>
    </row>
    <row r="214" spans="1:32" s="21" customFormat="1" ht="43.5" customHeight="1">
      <c r="A214" s="185">
        <f t="shared" si="32"/>
        <v>212</v>
      </c>
      <c r="B214" s="247"/>
      <c r="C214" s="185">
        <v>1774</v>
      </c>
      <c r="D214" s="185">
        <v>8</v>
      </c>
      <c r="E214" s="185" t="s">
        <v>201</v>
      </c>
      <c r="F214" s="218" t="s">
        <v>818</v>
      </c>
      <c r="G214" s="185">
        <v>424</v>
      </c>
      <c r="H214" s="52" t="s">
        <v>140</v>
      </c>
      <c r="I214" s="185" t="s">
        <v>811</v>
      </c>
      <c r="J214" s="185" t="s">
        <v>803</v>
      </c>
      <c r="K214" s="185">
        <v>5</v>
      </c>
      <c r="L214" s="186" t="s">
        <v>76</v>
      </c>
      <c r="M214" s="248"/>
      <c r="N214" s="187">
        <v>29.97</v>
      </c>
      <c r="O214" s="187">
        <f t="shared" si="51"/>
        <v>149.85</v>
      </c>
      <c r="P214" s="183"/>
      <c r="Q214" s="218" t="s">
        <v>816</v>
      </c>
      <c r="R214" s="191">
        <v>45727</v>
      </c>
      <c r="S214" s="185"/>
      <c r="T214" s="218"/>
      <c r="U214" s="186"/>
      <c r="V214" s="239">
        <v>77</v>
      </c>
      <c r="W214" s="228">
        <f t="shared" si="52"/>
        <v>385</v>
      </c>
      <c r="X214" s="243"/>
      <c r="Y214" s="50"/>
      <c r="Z214" s="232" t="e">
        <f t="shared" si="53"/>
        <v>#DIV/0!</v>
      </c>
      <c r="AA214" s="248"/>
      <c r="AB214" s="65" t="s">
        <v>12</v>
      </c>
      <c r="AC214" s="248"/>
      <c r="AD214" s="248"/>
      <c r="AE214" s="251"/>
      <c r="AF214" s="248"/>
    </row>
    <row r="215" spans="1:32" s="21" customFormat="1" ht="43.5" customHeight="1">
      <c r="A215" s="185">
        <f t="shared" si="32"/>
        <v>213</v>
      </c>
      <c r="B215" s="247"/>
      <c r="C215" s="185">
        <v>1775</v>
      </c>
      <c r="D215" s="185">
        <v>9</v>
      </c>
      <c r="E215" s="185" t="s">
        <v>201</v>
      </c>
      <c r="F215" s="218" t="s">
        <v>818</v>
      </c>
      <c r="G215" s="185">
        <v>424</v>
      </c>
      <c r="H215" s="52" t="s">
        <v>140</v>
      </c>
      <c r="I215" s="185" t="s">
        <v>812</v>
      </c>
      <c r="J215" s="185" t="s">
        <v>803</v>
      </c>
      <c r="K215" s="185">
        <v>8</v>
      </c>
      <c r="L215" s="186" t="s">
        <v>76</v>
      </c>
      <c r="M215" s="248"/>
      <c r="N215" s="187">
        <v>24.17</v>
      </c>
      <c r="O215" s="187">
        <f t="shared" si="51"/>
        <v>193.36</v>
      </c>
      <c r="P215" s="183"/>
      <c r="Q215" s="218" t="s">
        <v>816</v>
      </c>
      <c r="R215" s="191">
        <v>45727</v>
      </c>
      <c r="S215" s="185"/>
      <c r="T215" s="218"/>
      <c r="U215" s="186"/>
      <c r="V215" s="239">
        <v>43</v>
      </c>
      <c r="W215" s="228">
        <f t="shared" si="52"/>
        <v>344</v>
      </c>
      <c r="X215" s="243"/>
      <c r="Y215" s="50"/>
      <c r="Z215" s="232" t="e">
        <f t="shared" si="53"/>
        <v>#DIV/0!</v>
      </c>
      <c r="AA215" s="248"/>
      <c r="AB215" s="65" t="s">
        <v>12</v>
      </c>
      <c r="AC215" s="248"/>
      <c r="AD215" s="248"/>
      <c r="AE215" s="251"/>
      <c r="AF215" s="248"/>
    </row>
    <row r="216" spans="1:32" s="21" customFormat="1" ht="43.5" customHeight="1">
      <c r="A216" s="185">
        <f t="shared" si="32"/>
        <v>214</v>
      </c>
      <c r="B216" s="247"/>
      <c r="C216" s="185">
        <v>1776</v>
      </c>
      <c r="D216" s="185">
        <v>10</v>
      </c>
      <c r="E216" s="185" t="s">
        <v>201</v>
      </c>
      <c r="F216" s="218" t="s">
        <v>818</v>
      </c>
      <c r="G216" s="185">
        <v>424</v>
      </c>
      <c r="H216" s="52" t="s">
        <v>140</v>
      </c>
      <c r="I216" s="185" t="s">
        <v>813</v>
      </c>
      <c r="J216" s="185" t="s">
        <v>803</v>
      </c>
      <c r="K216" s="185">
        <v>2</v>
      </c>
      <c r="L216" s="186" t="s">
        <v>76</v>
      </c>
      <c r="M216" s="248"/>
      <c r="N216" s="187">
        <v>43.57</v>
      </c>
      <c r="O216" s="187">
        <f t="shared" si="51"/>
        <v>87.14</v>
      </c>
      <c r="P216" s="183"/>
      <c r="Q216" s="218" t="s">
        <v>816</v>
      </c>
      <c r="R216" s="191">
        <v>45727</v>
      </c>
      <c r="S216" s="185"/>
      <c r="T216" s="218"/>
      <c r="U216" s="186"/>
      <c r="V216" s="239">
        <v>96.5</v>
      </c>
      <c r="W216" s="228">
        <f t="shared" si="52"/>
        <v>193</v>
      </c>
      <c r="X216" s="243"/>
      <c r="Y216" s="50"/>
      <c r="Z216" s="232" t="e">
        <f t="shared" si="53"/>
        <v>#DIV/0!</v>
      </c>
      <c r="AA216" s="248"/>
      <c r="AB216" s="65" t="s">
        <v>12</v>
      </c>
      <c r="AC216" s="248"/>
      <c r="AD216" s="248"/>
      <c r="AE216" s="251"/>
      <c r="AF216" s="248"/>
    </row>
    <row r="217" spans="1:32" s="21" customFormat="1" ht="43.5" customHeight="1">
      <c r="A217" s="185">
        <f t="shared" si="32"/>
        <v>215</v>
      </c>
      <c r="B217" s="247"/>
      <c r="C217" s="185">
        <v>1777</v>
      </c>
      <c r="D217" s="185">
        <v>11</v>
      </c>
      <c r="E217" s="185" t="s">
        <v>201</v>
      </c>
      <c r="F217" s="218" t="s">
        <v>818</v>
      </c>
      <c r="G217" s="185">
        <v>424</v>
      </c>
      <c r="H217" s="52" t="s">
        <v>140</v>
      </c>
      <c r="I217" s="185" t="s">
        <v>814</v>
      </c>
      <c r="J217" s="185" t="s">
        <v>803</v>
      </c>
      <c r="K217" s="185">
        <v>2</v>
      </c>
      <c r="L217" s="186" t="s">
        <v>76</v>
      </c>
      <c r="M217" s="248"/>
      <c r="N217" s="187">
        <v>45.85</v>
      </c>
      <c r="O217" s="187">
        <f t="shared" si="51"/>
        <v>91.7</v>
      </c>
      <c r="P217" s="183"/>
      <c r="Q217" s="218" t="s">
        <v>816</v>
      </c>
      <c r="R217" s="191">
        <v>45727</v>
      </c>
      <c r="S217" s="185"/>
      <c r="T217" s="218"/>
      <c r="U217" s="186"/>
      <c r="V217" s="239">
        <v>99.5</v>
      </c>
      <c r="W217" s="228">
        <f t="shared" si="52"/>
        <v>199</v>
      </c>
      <c r="X217" s="243"/>
      <c r="Y217" s="50"/>
      <c r="Z217" s="232" t="e">
        <f t="shared" si="53"/>
        <v>#DIV/0!</v>
      </c>
      <c r="AA217" s="248"/>
      <c r="AB217" s="65" t="s">
        <v>12</v>
      </c>
      <c r="AC217" s="248"/>
      <c r="AD217" s="248"/>
      <c r="AE217" s="251"/>
      <c r="AF217" s="248"/>
    </row>
    <row r="218" spans="1:32" s="21" customFormat="1" ht="43.5" customHeight="1">
      <c r="A218" s="28">
        <f t="shared" si="32"/>
        <v>216</v>
      </c>
      <c r="B218" s="41"/>
      <c r="C218" s="28">
        <v>1778</v>
      </c>
      <c r="D218" s="28">
        <v>12</v>
      </c>
      <c r="E218" s="28" t="s">
        <v>201</v>
      </c>
      <c r="F218" s="346" t="s">
        <v>138</v>
      </c>
      <c r="G218" s="185">
        <v>424</v>
      </c>
      <c r="H218" s="28" t="s">
        <v>140</v>
      </c>
      <c r="I218" s="28" t="s">
        <v>238</v>
      </c>
      <c r="J218" s="28" t="s">
        <v>237</v>
      </c>
      <c r="K218" s="28">
        <v>938</v>
      </c>
      <c r="L218" s="29" t="s">
        <v>76</v>
      </c>
      <c r="M218" s="26"/>
      <c r="N218" s="30">
        <v>1.4</v>
      </c>
      <c r="O218" s="30">
        <f t="shared" si="51"/>
        <v>1313.1999999999998</v>
      </c>
      <c r="P218" s="25"/>
      <c r="Q218" s="31" t="s">
        <v>816</v>
      </c>
      <c r="R218" s="32">
        <v>45727</v>
      </c>
      <c r="S218" s="28"/>
      <c r="T218" s="31"/>
      <c r="U218" s="29" t="s">
        <v>815</v>
      </c>
      <c r="V218" s="48">
        <v>5.6</v>
      </c>
      <c r="W218" s="36">
        <f t="shared" si="52"/>
        <v>5252.7999999999993</v>
      </c>
      <c r="X218" s="33"/>
      <c r="Y218" s="34"/>
      <c r="Z218" s="347" t="e">
        <f t="shared" si="53"/>
        <v>#DIV/0!</v>
      </c>
      <c r="AA218" s="248"/>
      <c r="AB218" s="37" t="s">
        <v>11</v>
      </c>
      <c r="AC218" s="248"/>
      <c r="AD218" s="248"/>
      <c r="AE218" s="251"/>
      <c r="AF218" s="248"/>
    </row>
    <row r="219" spans="1:32" s="21" customFormat="1" ht="43.5" customHeight="1">
      <c r="A219" s="288">
        <f t="shared" si="32"/>
        <v>217</v>
      </c>
      <c r="B219" s="212"/>
      <c r="C219" s="288">
        <v>1809</v>
      </c>
      <c r="D219" s="288">
        <v>1</v>
      </c>
      <c r="E219" s="288" t="s">
        <v>184</v>
      </c>
      <c r="F219" s="337" t="s">
        <v>196</v>
      </c>
      <c r="G219" s="185">
        <v>420</v>
      </c>
      <c r="H219" s="28" t="s">
        <v>140</v>
      </c>
      <c r="I219" s="288" t="s">
        <v>822</v>
      </c>
      <c r="J219" s="288" t="s">
        <v>823</v>
      </c>
      <c r="K219" s="288">
        <v>1</v>
      </c>
      <c r="L219" s="29" t="s">
        <v>76</v>
      </c>
      <c r="M219" s="339"/>
      <c r="N219" s="42">
        <v>1000</v>
      </c>
      <c r="O219" s="42">
        <f t="shared" si="51"/>
        <v>1000</v>
      </c>
      <c r="P219" s="340"/>
      <c r="Q219" s="337" t="s">
        <v>824</v>
      </c>
      <c r="R219" s="341">
        <v>45733</v>
      </c>
      <c r="S219" s="288"/>
      <c r="T219" s="337"/>
      <c r="U219" s="338"/>
      <c r="V219" s="342">
        <v>2900</v>
      </c>
      <c r="W219" s="227">
        <f t="shared" si="52"/>
        <v>2900</v>
      </c>
      <c r="X219" s="343"/>
      <c r="Y219" s="344"/>
      <c r="Z219" s="345" t="e">
        <f t="shared" si="53"/>
        <v>#DIV/0!</v>
      </c>
      <c r="AA219" s="248"/>
      <c r="AB219" s="67" t="s">
        <v>22</v>
      </c>
      <c r="AC219" s="248"/>
      <c r="AD219" s="248"/>
      <c r="AE219" s="251"/>
      <c r="AF219" s="248"/>
    </row>
    <row r="220" spans="1:32" s="21" customFormat="1" ht="43.5" customHeight="1">
      <c r="A220" s="185">
        <f t="shared" si="32"/>
        <v>218</v>
      </c>
      <c r="B220" s="247"/>
      <c r="C220" s="185">
        <v>1810</v>
      </c>
      <c r="D220" s="185">
        <v>2</v>
      </c>
      <c r="E220" s="288" t="s">
        <v>184</v>
      </c>
      <c r="F220" s="218" t="s">
        <v>886</v>
      </c>
      <c r="G220" s="185">
        <v>420</v>
      </c>
      <c r="H220" s="28" t="s">
        <v>140</v>
      </c>
      <c r="I220" s="185" t="s">
        <v>829</v>
      </c>
      <c r="J220" s="185" t="s">
        <v>827</v>
      </c>
      <c r="K220" s="288">
        <v>1</v>
      </c>
      <c r="L220" s="29" t="s">
        <v>125</v>
      </c>
      <c r="M220" s="248"/>
      <c r="N220" s="187">
        <v>2565</v>
      </c>
      <c r="O220" s="187">
        <f t="shared" si="51"/>
        <v>2565</v>
      </c>
      <c r="P220" s="183"/>
      <c r="Q220" s="218" t="s">
        <v>824</v>
      </c>
      <c r="R220" s="191">
        <v>45733</v>
      </c>
      <c r="S220" s="185"/>
      <c r="T220" s="218"/>
      <c r="U220" s="186" t="s">
        <v>826</v>
      </c>
      <c r="V220" s="239">
        <v>4335</v>
      </c>
      <c r="W220" s="228">
        <f t="shared" si="52"/>
        <v>4335</v>
      </c>
      <c r="X220" s="243"/>
      <c r="Y220" s="50"/>
      <c r="Z220" s="232" t="e">
        <f t="shared" si="53"/>
        <v>#DIV/0!</v>
      </c>
      <c r="AA220" s="248"/>
      <c r="AB220" s="204" t="s">
        <v>11</v>
      </c>
      <c r="AC220" s="248"/>
      <c r="AD220" s="248"/>
      <c r="AE220" s="251"/>
      <c r="AF220" s="248"/>
    </row>
    <row r="221" spans="1:32" s="21" customFormat="1" ht="43.5" customHeight="1">
      <c r="A221" s="185">
        <f t="shared" si="32"/>
        <v>219</v>
      </c>
      <c r="B221" s="247"/>
      <c r="C221" s="185">
        <v>1811</v>
      </c>
      <c r="D221" s="185">
        <v>3</v>
      </c>
      <c r="E221" s="288" t="s">
        <v>184</v>
      </c>
      <c r="F221" s="337" t="s">
        <v>830</v>
      </c>
      <c r="G221" s="185">
        <v>420</v>
      </c>
      <c r="H221" s="28" t="s">
        <v>140</v>
      </c>
      <c r="I221" s="185" t="s">
        <v>825</v>
      </c>
      <c r="J221" s="185" t="s">
        <v>828</v>
      </c>
      <c r="K221" s="288">
        <v>1</v>
      </c>
      <c r="L221" s="29" t="s">
        <v>76</v>
      </c>
      <c r="M221" s="248"/>
      <c r="N221" s="187">
        <v>5000</v>
      </c>
      <c r="O221" s="187">
        <f t="shared" si="51"/>
        <v>5000</v>
      </c>
      <c r="P221" s="183"/>
      <c r="Q221" s="218" t="s">
        <v>824</v>
      </c>
      <c r="R221" s="191">
        <v>45733</v>
      </c>
      <c r="S221" s="185"/>
      <c r="T221" s="218"/>
      <c r="U221" s="186"/>
      <c r="V221" s="239">
        <v>8145</v>
      </c>
      <c r="W221" s="228">
        <f t="shared" si="52"/>
        <v>8145</v>
      </c>
      <c r="X221" s="243"/>
      <c r="Y221" s="50"/>
      <c r="Z221" s="232" t="e">
        <f t="shared" si="53"/>
        <v>#DIV/0!</v>
      </c>
      <c r="AA221" s="248"/>
      <c r="AB221" s="67" t="s">
        <v>22</v>
      </c>
      <c r="AC221" s="248"/>
      <c r="AD221" s="248"/>
      <c r="AE221" s="251"/>
      <c r="AF221" s="248"/>
    </row>
    <row r="222" spans="1:32" s="21" customFormat="1" ht="43.5" customHeight="1">
      <c r="A222" s="185">
        <f t="shared" si="32"/>
        <v>220</v>
      </c>
      <c r="B222" s="247"/>
      <c r="C222" s="185">
        <v>1812</v>
      </c>
      <c r="D222" s="185">
        <v>1</v>
      </c>
      <c r="E222" s="288" t="s">
        <v>184</v>
      </c>
      <c r="F222" s="218" t="s">
        <v>776</v>
      </c>
      <c r="G222" s="185">
        <v>420</v>
      </c>
      <c r="H222" s="28" t="s">
        <v>140</v>
      </c>
      <c r="I222" s="185" t="s">
        <v>836</v>
      </c>
      <c r="J222" s="185" t="s">
        <v>832</v>
      </c>
      <c r="K222" s="288">
        <v>1</v>
      </c>
      <c r="L222" s="29" t="s">
        <v>125</v>
      </c>
      <c r="M222" s="248"/>
      <c r="N222" s="187">
        <v>65000</v>
      </c>
      <c r="O222" s="187">
        <f t="shared" si="51"/>
        <v>65000</v>
      </c>
      <c r="P222" s="183"/>
      <c r="Q222" s="218" t="s">
        <v>831</v>
      </c>
      <c r="R222" s="191">
        <v>45733</v>
      </c>
      <c r="S222" s="185"/>
      <c r="T222" s="218"/>
      <c r="U222" s="186"/>
      <c r="V222" s="239">
        <v>107800</v>
      </c>
      <c r="W222" s="228">
        <f t="shared" si="52"/>
        <v>107800</v>
      </c>
      <c r="X222" s="243"/>
      <c r="Y222" s="50"/>
      <c r="Z222" s="232" t="e">
        <f t="shared" si="53"/>
        <v>#DIV/0!</v>
      </c>
      <c r="AA222" s="248"/>
      <c r="AB222" s="66" t="s">
        <v>25</v>
      </c>
      <c r="AC222" s="248"/>
      <c r="AD222" s="248"/>
      <c r="AE222" s="251"/>
      <c r="AF222" s="248"/>
    </row>
    <row r="223" spans="1:32" s="21" customFormat="1" ht="43.5" customHeight="1">
      <c r="A223" s="185">
        <f t="shared" si="32"/>
        <v>221</v>
      </c>
      <c r="B223" s="247"/>
      <c r="C223" s="185">
        <v>1813</v>
      </c>
      <c r="D223" s="185">
        <v>2</v>
      </c>
      <c r="E223" s="288" t="s">
        <v>184</v>
      </c>
      <c r="F223" s="218" t="s">
        <v>834</v>
      </c>
      <c r="G223" s="185">
        <v>420</v>
      </c>
      <c r="H223" s="28" t="s">
        <v>140</v>
      </c>
      <c r="I223" s="185" t="s">
        <v>835</v>
      </c>
      <c r="J223" s="185" t="s">
        <v>833</v>
      </c>
      <c r="K223" s="288">
        <v>1</v>
      </c>
      <c r="L223" s="29" t="s">
        <v>125</v>
      </c>
      <c r="M223" s="248"/>
      <c r="N223" s="187">
        <v>32050</v>
      </c>
      <c r="O223" s="187">
        <f t="shared" si="51"/>
        <v>32050</v>
      </c>
      <c r="P223" s="183"/>
      <c r="Q223" s="218" t="s">
        <v>831</v>
      </c>
      <c r="R223" s="191">
        <v>45733</v>
      </c>
      <c r="S223" s="185"/>
      <c r="T223" s="218"/>
      <c r="U223" s="186"/>
      <c r="V223" s="239">
        <v>49000</v>
      </c>
      <c r="W223" s="228">
        <f t="shared" si="52"/>
        <v>49000</v>
      </c>
      <c r="X223" s="243"/>
      <c r="Y223" s="50"/>
      <c r="Z223" s="232" t="e">
        <f t="shared" si="53"/>
        <v>#DIV/0!</v>
      </c>
      <c r="AA223" s="248"/>
      <c r="AB223" s="65" t="s">
        <v>12</v>
      </c>
      <c r="AC223" s="248"/>
      <c r="AD223" s="248"/>
      <c r="AE223" s="251"/>
      <c r="AF223" s="248"/>
    </row>
    <row r="224" spans="1:32" s="21" customFormat="1" ht="43.5" customHeight="1">
      <c r="A224" s="185">
        <f t="shared" si="32"/>
        <v>222</v>
      </c>
      <c r="B224" s="247"/>
      <c r="C224" s="185">
        <v>1819</v>
      </c>
      <c r="D224" s="185">
        <v>1</v>
      </c>
      <c r="E224" s="288" t="s">
        <v>184</v>
      </c>
      <c r="F224" s="218" t="s">
        <v>212</v>
      </c>
      <c r="G224" s="185">
        <v>420</v>
      </c>
      <c r="H224" s="28" t="s">
        <v>77</v>
      </c>
      <c r="I224" s="185" t="s">
        <v>846</v>
      </c>
      <c r="J224" s="185" t="s">
        <v>847</v>
      </c>
      <c r="K224" s="185">
        <v>1</v>
      </c>
      <c r="L224" s="186" t="s">
        <v>849</v>
      </c>
      <c r="M224" s="248"/>
      <c r="N224" s="187">
        <v>4000</v>
      </c>
      <c r="O224" s="187">
        <f t="shared" si="51"/>
        <v>4000</v>
      </c>
      <c r="P224" s="183"/>
      <c r="Q224" s="218" t="s">
        <v>871</v>
      </c>
      <c r="R224" s="191">
        <v>45734</v>
      </c>
      <c r="S224" s="185"/>
      <c r="T224" s="218"/>
      <c r="U224" s="186"/>
      <c r="V224" s="239">
        <v>6500</v>
      </c>
      <c r="W224" s="228">
        <f t="shared" si="52"/>
        <v>6500</v>
      </c>
      <c r="X224" s="243"/>
      <c r="Y224" s="50"/>
      <c r="Z224" s="232" t="e">
        <f t="shared" si="53"/>
        <v>#DIV/0!</v>
      </c>
      <c r="AA224" s="248"/>
      <c r="AB224" s="65" t="s">
        <v>12</v>
      </c>
      <c r="AC224" s="248"/>
      <c r="AD224" s="248"/>
      <c r="AE224" s="251"/>
      <c r="AF224" s="248"/>
    </row>
    <row r="225" spans="1:32" s="21" customFormat="1" ht="43.5" customHeight="1">
      <c r="A225" s="185">
        <f t="shared" si="32"/>
        <v>223</v>
      </c>
      <c r="B225" s="247"/>
      <c r="C225" s="185">
        <v>1820</v>
      </c>
      <c r="D225" s="185">
        <v>2</v>
      </c>
      <c r="E225" s="288" t="s">
        <v>184</v>
      </c>
      <c r="F225" s="218" t="s">
        <v>138</v>
      </c>
      <c r="G225" s="185">
        <v>420</v>
      </c>
      <c r="H225" s="28"/>
      <c r="I225" s="185" t="s">
        <v>850</v>
      </c>
      <c r="J225" s="185" t="s">
        <v>851</v>
      </c>
      <c r="K225" s="185">
        <v>5</v>
      </c>
      <c r="L225" s="186" t="s">
        <v>76</v>
      </c>
      <c r="M225" s="248"/>
      <c r="N225" s="187">
        <v>100</v>
      </c>
      <c r="O225" s="187">
        <f t="shared" si="51"/>
        <v>500</v>
      </c>
      <c r="P225" s="183"/>
      <c r="Q225" s="218" t="s">
        <v>871</v>
      </c>
      <c r="R225" s="191">
        <v>45734</v>
      </c>
      <c r="S225" s="185"/>
      <c r="T225" s="218"/>
      <c r="U225" s="186"/>
      <c r="V225" s="239">
        <v>180</v>
      </c>
      <c r="W225" s="228">
        <f t="shared" si="52"/>
        <v>900</v>
      </c>
      <c r="X225" s="243"/>
      <c r="Y225" s="50"/>
      <c r="Z225" s="232" t="e">
        <f t="shared" si="53"/>
        <v>#DIV/0!</v>
      </c>
      <c r="AA225" s="248"/>
      <c r="AB225" s="204" t="s">
        <v>11</v>
      </c>
      <c r="AC225" s="248"/>
      <c r="AD225" s="248"/>
      <c r="AE225" s="251"/>
      <c r="AF225" s="248"/>
    </row>
    <row r="226" spans="1:32" s="21" customFormat="1" ht="43.5" customHeight="1">
      <c r="A226" s="185">
        <f t="shared" si="32"/>
        <v>224</v>
      </c>
      <c r="B226" s="247"/>
      <c r="C226" s="185">
        <v>1821</v>
      </c>
      <c r="D226" s="185">
        <v>3</v>
      </c>
      <c r="E226" s="288" t="s">
        <v>184</v>
      </c>
      <c r="F226" s="218" t="s">
        <v>880</v>
      </c>
      <c r="G226" s="185">
        <v>420</v>
      </c>
      <c r="H226" s="28" t="s">
        <v>140</v>
      </c>
      <c r="I226" s="185">
        <v>5000198</v>
      </c>
      <c r="J226" s="185" t="s">
        <v>162</v>
      </c>
      <c r="K226" s="185">
        <v>26</v>
      </c>
      <c r="L226" s="186" t="s">
        <v>76</v>
      </c>
      <c r="M226" s="248"/>
      <c r="N226" s="187">
        <v>62.5</v>
      </c>
      <c r="O226" s="187">
        <f t="shared" ref="O226:O234" si="54">N226*K226</f>
        <v>1625</v>
      </c>
      <c r="P226" s="183"/>
      <c r="Q226" s="218" t="s">
        <v>871</v>
      </c>
      <c r="R226" s="191">
        <v>45734</v>
      </c>
      <c r="S226" s="185"/>
      <c r="T226" s="218"/>
      <c r="U226" s="186"/>
      <c r="V226" s="239">
        <v>100</v>
      </c>
      <c r="W226" s="228">
        <f t="shared" ref="W226:W234" si="55">V226*K226</f>
        <v>2600</v>
      </c>
      <c r="X226" s="243"/>
      <c r="Y226" s="50"/>
      <c r="Z226" s="232" t="e">
        <f t="shared" ref="Z226:Z234" si="56">W226/O226/Y226</f>
        <v>#DIV/0!</v>
      </c>
      <c r="AA226" s="248"/>
      <c r="AB226" s="204" t="s">
        <v>11</v>
      </c>
      <c r="AC226" s="248"/>
      <c r="AD226" s="248"/>
      <c r="AE226" s="251"/>
      <c r="AF226" s="248"/>
    </row>
    <row r="227" spans="1:32" s="21" customFormat="1" ht="43.5" customHeight="1">
      <c r="A227" s="185">
        <f t="shared" si="32"/>
        <v>225</v>
      </c>
      <c r="B227" s="247" t="s">
        <v>387</v>
      </c>
      <c r="C227" s="185">
        <v>1822</v>
      </c>
      <c r="D227" s="185">
        <v>4</v>
      </c>
      <c r="E227" s="288" t="s">
        <v>184</v>
      </c>
      <c r="F227" s="218" t="s">
        <v>316</v>
      </c>
      <c r="G227" s="185">
        <v>420</v>
      </c>
      <c r="H227" s="28" t="s">
        <v>77</v>
      </c>
      <c r="I227" s="185">
        <v>2608288</v>
      </c>
      <c r="J227" s="185" t="s">
        <v>197</v>
      </c>
      <c r="K227" s="185">
        <v>15</v>
      </c>
      <c r="L227" s="186" t="s">
        <v>91</v>
      </c>
      <c r="M227" s="248"/>
      <c r="N227" s="187">
        <v>195</v>
      </c>
      <c r="O227" s="187">
        <f t="shared" si="54"/>
        <v>2925</v>
      </c>
      <c r="P227" s="183"/>
      <c r="Q227" s="218" t="s">
        <v>871</v>
      </c>
      <c r="R227" s="191">
        <v>45734</v>
      </c>
      <c r="S227" s="185"/>
      <c r="T227" s="218"/>
      <c r="U227" s="186"/>
      <c r="V227" s="239">
        <v>340</v>
      </c>
      <c r="W227" s="228">
        <f t="shared" si="55"/>
        <v>5100</v>
      </c>
      <c r="X227" s="243"/>
      <c r="Y227" s="50"/>
      <c r="Z227" s="232" t="e">
        <f t="shared" si="56"/>
        <v>#DIV/0!</v>
      </c>
      <c r="AA227" s="248"/>
      <c r="AB227" s="204" t="s">
        <v>11</v>
      </c>
      <c r="AC227" s="248"/>
      <c r="AD227" s="248"/>
      <c r="AE227" s="251"/>
      <c r="AF227" s="248"/>
    </row>
    <row r="228" spans="1:32" s="21" customFormat="1" ht="43.5" customHeight="1">
      <c r="A228" s="185">
        <f t="shared" si="32"/>
        <v>226</v>
      </c>
      <c r="B228" s="247"/>
      <c r="C228" s="185">
        <v>1823</v>
      </c>
      <c r="D228" s="185">
        <v>5</v>
      </c>
      <c r="E228" s="288" t="s">
        <v>184</v>
      </c>
      <c r="F228" s="218" t="s">
        <v>1003</v>
      </c>
      <c r="G228" s="185">
        <v>420</v>
      </c>
      <c r="H228" s="28"/>
      <c r="I228" s="185">
        <v>9522643</v>
      </c>
      <c r="J228" s="185" t="s">
        <v>162</v>
      </c>
      <c r="K228" s="185">
        <v>4</v>
      </c>
      <c r="L228" s="186" t="s">
        <v>76</v>
      </c>
      <c r="M228" s="248"/>
      <c r="N228" s="187">
        <v>112.75</v>
      </c>
      <c r="O228" s="187">
        <f t="shared" si="54"/>
        <v>451</v>
      </c>
      <c r="P228" s="183"/>
      <c r="Q228" s="218" t="s">
        <v>871</v>
      </c>
      <c r="R228" s="191">
        <v>45734</v>
      </c>
      <c r="S228" s="185"/>
      <c r="T228" s="218"/>
      <c r="U228" s="186"/>
      <c r="V228" s="239">
        <v>220</v>
      </c>
      <c r="W228" s="228">
        <f t="shared" si="55"/>
        <v>880</v>
      </c>
      <c r="X228" s="243"/>
      <c r="Y228" s="50"/>
      <c r="Z228" s="232" t="e">
        <f t="shared" si="56"/>
        <v>#DIV/0!</v>
      </c>
      <c r="AA228" s="248"/>
      <c r="AB228" s="204" t="s">
        <v>11</v>
      </c>
      <c r="AC228" s="248"/>
      <c r="AD228" s="248"/>
      <c r="AE228" s="251"/>
      <c r="AF228" s="248"/>
    </row>
    <row r="229" spans="1:32" s="21" customFormat="1" ht="43.5" customHeight="1">
      <c r="A229" s="185">
        <f t="shared" si="32"/>
        <v>227</v>
      </c>
      <c r="B229" s="247"/>
      <c r="C229" s="185">
        <v>1824</v>
      </c>
      <c r="D229" s="185">
        <v>6</v>
      </c>
      <c r="E229" s="288" t="s">
        <v>184</v>
      </c>
      <c r="F229" s="218" t="s">
        <v>881</v>
      </c>
      <c r="G229" s="185">
        <v>420</v>
      </c>
      <c r="H229" s="28" t="s">
        <v>140</v>
      </c>
      <c r="I229" s="185" t="s">
        <v>873</v>
      </c>
      <c r="J229" s="185" t="s">
        <v>852</v>
      </c>
      <c r="K229" s="185">
        <v>4</v>
      </c>
      <c r="L229" s="186" t="s">
        <v>76</v>
      </c>
      <c r="M229" s="248"/>
      <c r="N229" s="187">
        <v>150</v>
      </c>
      <c r="O229" s="187">
        <f t="shared" si="54"/>
        <v>600</v>
      </c>
      <c r="P229" s="183"/>
      <c r="Q229" s="218" t="s">
        <v>871</v>
      </c>
      <c r="R229" s="191">
        <v>45734</v>
      </c>
      <c r="S229" s="185"/>
      <c r="T229" s="218"/>
      <c r="U229" s="186"/>
      <c r="V229" s="239">
        <v>355</v>
      </c>
      <c r="W229" s="228">
        <f t="shared" si="55"/>
        <v>1420</v>
      </c>
      <c r="X229" s="243"/>
      <c r="Y229" s="50"/>
      <c r="Z229" s="232" t="e">
        <f t="shared" si="56"/>
        <v>#DIV/0!</v>
      </c>
      <c r="AA229" s="248"/>
      <c r="AB229" s="204" t="s">
        <v>11</v>
      </c>
      <c r="AC229" s="248"/>
      <c r="AD229" s="248"/>
      <c r="AE229" s="251"/>
      <c r="AF229" s="248"/>
    </row>
    <row r="230" spans="1:32" s="21" customFormat="1" ht="43.5" customHeight="1">
      <c r="A230" s="185">
        <f t="shared" si="32"/>
        <v>228</v>
      </c>
      <c r="B230" s="247"/>
      <c r="C230" s="185">
        <v>1825</v>
      </c>
      <c r="D230" s="185">
        <v>7</v>
      </c>
      <c r="E230" s="288" t="s">
        <v>184</v>
      </c>
      <c r="F230" s="218" t="s">
        <v>1003</v>
      </c>
      <c r="G230" s="185">
        <v>420</v>
      </c>
      <c r="H230" s="28"/>
      <c r="I230" s="185" t="s">
        <v>872</v>
      </c>
      <c r="J230" s="185" t="s">
        <v>854</v>
      </c>
      <c r="K230" s="185">
        <v>100</v>
      </c>
      <c r="L230" s="186" t="s">
        <v>76</v>
      </c>
      <c r="M230" s="248"/>
      <c r="N230" s="187">
        <v>0.7</v>
      </c>
      <c r="O230" s="187">
        <f t="shared" si="54"/>
        <v>70</v>
      </c>
      <c r="P230" s="183"/>
      <c r="Q230" s="218" t="s">
        <v>871</v>
      </c>
      <c r="R230" s="191">
        <v>45734</v>
      </c>
      <c r="S230" s="185"/>
      <c r="T230" s="218"/>
      <c r="U230" s="186" t="s">
        <v>853</v>
      </c>
      <c r="V230" s="239">
        <v>3</v>
      </c>
      <c r="W230" s="228">
        <f t="shared" si="55"/>
        <v>300</v>
      </c>
      <c r="X230" s="243"/>
      <c r="Y230" s="50"/>
      <c r="Z230" s="232" t="e">
        <f t="shared" si="56"/>
        <v>#DIV/0!</v>
      </c>
      <c r="AA230" s="248"/>
      <c r="AB230" s="204" t="s">
        <v>11</v>
      </c>
      <c r="AC230" s="248"/>
      <c r="AD230" s="248"/>
      <c r="AE230" s="251"/>
      <c r="AF230" s="248"/>
    </row>
    <row r="231" spans="1:32" s="21" customFormat="1" ht="43.5" customHeight="1">
      <c r="A231" s="185">
        <f t="shared" si="32"/>
        <v>229</v>
      </c>
      <c r="B231" s="247"/>
      <c r="C231" s="185">
        <v>1826</v>
      </c>
      <c r="D231" s="185">
        <v>8</v>
      </c>
      <c r="E231" s="288" t="s">
        <v>184</v>
      </c>
      <c r="F231" s="218" t="s">
        <v>882</v>
      </c>
      <c r="G231" s="185">
        <v>420</v>
      </c>
      <c r="H231" s="28" t="s">
        <v>140</v>
      </c>
      <c r="I231" s="185" t="s">
        <v>874</v>
      </c>
      <c r="J231" s="185" t="s">
        <v>856</v>
      </c>
      <c r="K231" s="185">
        <v>4</v>
      </c>
      <c r="L231" s="186" t="s">
        <v>76</v>
      </c>
      <c r="M231" s="248"/>
      <c r="N231" s="187">
        <v>760</v>
      </c>
      <c r="O231" s="187">
        <f t="shared" si="54"/>
        <v>3040</v>
      </c>
      <c r="P231" s="183"/>
      <c r="Q231" s="218" t="s">
        <v>871</v>
      </c>
      <c r="R231" s="191">
        <v>45734</v>
      </c>
      <c r="S231" s="185"/>
      <c r="T231" s="218"/>
      <c r="U231" s="186" t="s">
        <v>855</v>
      </c>
      <c r="V231" s="239">
        <v>1120</v>
      </c>
      <c r="W231" s="228">
        <f t="shared" si="55"/>
        <v>4480</v>
      </c>
      <c r="X231" s="243"/>
      <c r="Y231" s="50"/>
      <c r="Z231" s="232" t="e">
        <f t="shared" si="56"/>
        <v>#DIV/0!</v>
      </c>
      <c r="AA231" s="248"/>
      <c r="AB231" s="204" t="s">
        <v>11</v>
      </c>
      <c r="AC231" s="248"/>
      <c r="AD231" s="248"/>
      <c r="AE231" s="251"/>
      <c r="AF231" s="248"/>
    </row>
    <row r="232" spans="1:32" s="21" customFormat="1" ht="43.5" customHeight="1">
      <c r="A232" s="185">
        <f t="shared" si="32"/>
        <v>230</v>
      </c>
      <c r="B232" s="247"/>
      <c r="C232" s="185">
        <v>1827</v>
      </c>
      <c r="D232" s="185">
        <v>9</v>
      </c>
      <c r="E232" s="288" t="s">
        <v>184</v>
      </c>
      <c r="F232" s="218" t="s">
        <v>196</v>
      </c>
      <c r="G232" s="185">
        <v>420</v>
      </c>
      <c r="H232" s="28"/>
      <c r="I232" s="185">
        <v>2609173</v>
      </c>
      <c r="J232" s="185" t="s">
        <v>857</v>
      </c>
      <c r="K232" s="185">
        <v>4</v>
      </c>
      <c r="L232" s="186" t="s">
        <v>76</v>
      </c>
      <c r="M232" s="248"/>
      <c r="N232" s="187">
        <v>710</v>
      </c>
      <c r="O232" s="187">
        <f t="shared" si="54"/>
        <v>2840</v>
      </c>
      <c r="P232" s="183"/>
      <c r="Q232" s="218" t="s">
        <v>871</v>
      </c>
      <c r="R232" s="191">
        <v>45734</v>
      </c>
      <c r="S232" s="185"/>
      <c r="T232" s="218"/>
      <c r="U232" s="186"/>
      <c r="V232" s="239">
        <v>1070</v>
      </c>
      <c r="W232" s="228">
        <f t="shared" si="55"/>
        <v>4280</v>
      </c>
      <c r="X232" s="243"/>
      <c r="Y232" s="50"/>
      <c r="Z232" s="232" t="e">
        <f t="shared" si="56"/>
        <v>#DIV/0!</v>
      </c>
      <c r="AA232" s="248"/>
      <c r="AB232" s="65" t="s">
        <v>12</v>
      </c>
      <c r="AC232" s="248"/>
      <c r="AD232" s="248"/>
      <c r="AE232" s="251"/>
      <c r="AF232" s="248"/>
    </row>
    <row r="233" spans="1:32" s="21" customFormat="1" ht="43.5" customHeight="1">
      <c r="A233" s="185">
        <f t="shared" si="32"/>
        <v>231</v>
      </c>
      <c r="B233" s="247"/>
      <c r="C233" s="185">
        <v>1828</v>
      </c>
      <c r="D233" s="185">
        <v>10</v>
      </c>
      <c r="E233" s="288" t="s">
        <v>184</v>
      </c>
      <c r="F233" s="218" t="s">
        <v>883</v>
      </c>
      <c r="G233" s="185">
        <v>420</v>
      </c>
      <c r="H233" s="28"/>
      <c r="I233" s="207" t="s">
        <v>858</v>
      </c>
      <c r="J233" s="207" t="s">
        <v>859</v>
      </c>
      <c r="K233" s="207">
        <v>4</v>
      </c>
      <c r="L233" s="208" t="s">
        <v>76</v>
      </c>
      <c r="M233" s="263"/>
      <c r="N233" s="256">
        <v>5423</v>
      </c>
      <c r="O233" s="256">
        <f t="shared" si="54"/>
        <v>21692</v>
      </c>
      <c r="P233" s="183"/>
      <c r="Q233" s="218" t="s">
        <v>871</v>
      </c>
      <c r="R233" s="191">
        <v>45734</v>
      </c>
      <c r="S233" s="185"/>
      <c r="T233" s="218"/>
      <c r="U233" s="186"/>
      <c r="V233" s="239">
        <v>7865</v>
      </c>
      <c r="W233" s="228">
        <f t="shared" si="55"/>
        <v>31460</v>
      </c>
      <c r="X233" s="243"/>
      <c r="Y233" s="50"/>
      <c r="Z233" s="232" t="e">
        <f t="shared" si="56"/>
        <v>#DIV/0!</v>
      </c>
      <c r="AA233" s="248"/>
      <c r="AB233" s="65" t="s">
        <v>12</v>
      </c>
      <c r="AC233" s="248"/>
      <c r="AD233" s="248"/>
      <c r="AE233" s="251"/>
      <c r="AF233" s="248"/>
    </row>
    <row r="234" spans="1:32" s="21" customFormat="1" ht="43.5" customHeight="1">
      <c r="A234" s="185">
        <f t="shared" si="32"/>
        <v>232</v>
      </c>
      <c r="B234" s="247"/>
      <c r="C234" s="185">
        <v>1829</v>
      </c>
      <c r="D234" s="185">
        <v>11</v>
      </c>
      <c r="E234" s="288" t="s">
        <v>184</v>
      </c>
      <c r="F234" s="218" t="s">
        <v>210</v>
      </c>
      <c r="G234" s="185">
        <v>420</v>
      </c>
      <c r="H234" s="28"/>
      <c r="I234" s="185" t="s">
        <v>860</v>
      </c>
      <c r="J234" s="185" t="s">
        <v>135</v>
      </c>
      <c r="K234" s="185">
        <v>4</v>
      </c>
      <c r="L234" s="186" t="s">
        <v>91</v>
      </c>
      <c r="M234" s="248"/>
      <c r="N234" s="187">
        <v>190.56</v>
      </c>
      <c r="O234" s="187">
        <f t="shared" si="54"/>
        <v>762.24</v>
      </c>
      <c r="P234" s="183"/>
      <c r="Q234" s="218" t="s">
        <v>871</v>
      </c>
      <c r="R234" s="191">
        <v>45734</v>
      </c>
      <c r="S234" s="185"/>
      <c r="T234" s="218"/>
      <c r="U234" s="186"/>
      <c r="V234" s="239">
        <v>340</v>
      </c>
      <c r="W234" s="228">
        <f t="shared" si="55"/>
        <v>1360</v>
      </c>
      <c r="X234" s="243"/>
      <c r="Y234" s="50"/>
      <c r="Z234" s="232" t="e">
        <f t="shared" si="56"/>
        <v>#DIV/0!</v>
      </c>
      <c r="AA234" s="248"/>
      <c r="AB234" s="204" t="s">
        <v>11</v>
      </c>
      <c r="AC234" s="248"/>
      <c r="AD234" s="248"/>
      <c r="AE234" s="251"/>
      <c r="AF234" s="248"/>
    </row>
    <row r="235" spans="1:32" s="21" customFormat="1" ht="43.5" customHeight="1">
      <c r="A235" s="185">
        <f t="shared" si="32"/>
        <v>233</v>
      </c>
      <c r="B235" s="247"/>
      <c r="C235" s="185">
        <v>1830</v>
      </c>
      <c r="D235" s="185">
        <v>12</v>
      </c>
      <c r="E235" s="288" t="s">
        <v>184</v>
      </c>
      <c r="F235" s="218" t="s">
        <v>196</v>
      </c>
      <c r="G235" s="185">
        <v>420</v>
      </c>
      <c r="H235" s="28"/>
      <c r="I235" s="185" t="s">
        <v>875</v>
      </c>
      <c r="J235" s="185" t="s">
        <v>862</v>
      </c>
      <c r="K235" s="185">
        <v>1</v>
      </c>
      <c r="L235" s="186" t="s">
        <v>91</v>
      </c>
      <c r="M235" s="248"/>
      <c r="N235" s="187">
        <v>1800</v>
      </c>
      <c r="O235" s="187">
        <f t="shared" ref="O235:O259" si="57">N235*K235</f>
        <v>1800</v>
      </c>
      <c r="P235" s="183"/>
      <c r="Q235" s="218" t="s">
        <v>871</v>
      </c>
      <c r="R235" s="191">
        <v>45734</v>
      </c>
      <c r="S235" s="185"/>
      <c r="T235" s="218"/>
      <c r="U235" s="186" t="s">
        <v>861</v>
      </c>
      <c r="V235" s="239">
        <v>3520</v>
      </c>
      <c r="W235" s="228">
        <f t="shared" ref="W235:W259" si="58">V235*K235</f>
        <v>3520</v>
      </c>
      <c r="X235" s="243"/>
      <c r="Y235" s="50"/>
      <c r="Z235" s="232" t="e">
        <f t="shared" ref="Z235:Z259" si="59">W235/O235/Y235</f>
        <v>#DIV/0!</v>
      </c>
      <c r="AA235" s="248"/>
      <c r="AB235" s="65" t="s">
        <v>12</v>
      </c>
      <c r="AC235" s="248"/>
      <c r="AD235" s="248"/>
      <c r="AE235" s="251"/>
      <c r="AF235" s="248"/>
    </row>
    <row r="236" spans="1:32" s="21" customFormat="1" ht="43.5" customHeight="1">
      <c r="A236" s="185">
        <f t="shared" si="32"/>
        <v>234</v>
      </c>
      <c r="B236" s="247"/>
      <c r="C236" s="185">
        <v>1831</v>
      </c>
      <c r="D236" s="185">
        <v>13</v>
      </c>
      <c r="E236" s="288" t="s">
        <v>184</v>
      </c>
      <c r="F236" s="218" t="s">
        <v>884</v>
      </c>
      <c r="G236" s="185">
        <v>420</v>
      </c>
      <c r="H236" s="28"/>
      <c r="I236" s="185">
        <v>2605084</v>
      </c>
      <c r="J236" s="185" t="s">
        <v>162</v>
      </c>
      <c r="K236" s="185">
        <v>200</v>
      </c>
      <c r="L236" s="186" t="s">
        <v>91</v>
      </c>
      <c r="M236" s="248"/>
      <c r="N236" s="187">
        <v>4.96</v>
      </c>
      <c r="O236" s="187">
        <f t="shared" si="57"/>
        <v>992</v>
      </c>
      <c r="P236" s="183"/>
      <c r="Q236" s="218" t="s">
        <v>871</v>
      </c>
      <c r="R236" s="191">
        <v>45734</v>
      </c>
      <c r="S236" s="185"/>
      <c r="T236" s="218"/>
      <c r="U236" s="186"/>
      <c r="V236" s="239">
        <v>11</v>
      </c>
      <c r="W236" s="228">
        <f t="shared" si="58"/>
        <v>2200</v>
      </c>
      <c r="X236" s="243"/>
      <c r="Y236" s="50"/>
      <c r="Z236" s="232" t="e">
        <f t="shared" si="59"/>
        <v>#DIV/0!</v>
      </c>
      <c r="AA236" s="248"/>
      <c r="AB236" s="65" t="s">
        <v>12</v>
      </c>
      <c r="AC236" s="248"/>
      <c r="AD236" s="248"/>
      <c r="AE236" s="251"/>
      <c r="AF236" s="248"/>
    </row>
    <row r="237" spans="1:32" s="21" customFormat="1" ht="43.5" customHeight="1">
      <c r="A237" s="185">
        <f t="shared" si="32"/>
        <v>235</v>
      </c>
      <c r="B237" s="247"/>
      <c r="C237" s="185">
        <v>1832</v>
      </c>
      <c r="D237" s="185">
        <v>14</v>
      </c>
      <c r="E237" s="288" t="s">
        <v>184</v>
      </c>
      <c r="F237" s="218" t="s">
        <v>885</v>
      </c>
      <c r="G237" s="185">
        <v>420</v>
      </c>
      <c r="H237" s="28" t="s">
        <v>888</v>
      </c>
      <c r="I237" s="185" t="s">
        <v>876</v>
      </c>
      <c r="J237" s="185" t="s">
        <v>859</v>
      </c>
      <c r="K237" s="185">
        <v>4</v>
      </c>
      <c r="L237" s="186" t="s">
        <v>76</v>
      </c>
      <c r="M237" s="248"/>
      <c r="N237" s="187">
        <v>750</v>
      </c>
      <c r="O237" s="187">
        <f t="shared" si="57"/>
        <v>3000</v>
      </c>
      <c r="P237" s="183"/>
      <c r="Q237" s="218" t="s">
        <v>871</v>
      </c>
      <c r="R237" s="191">
        <v>45734</v>
      </c>
      <c r="S237" s="185"/>
      <c r="T237" s="218"/>
      <c r="U237" s="186" t="s">
        <v>863</v>
      </c>
      <c r="V237" s="239">
        <v>1200</v>
      </c>
      <c r="W237" s="228">
        <f t="shared" si="58"/>
        <v>4800</v>
      </c>
      <c r="X237" s="243"/>
      <c r="Y237" s="50"/>
      <c r="Z237" s="232" t="e">
        <f t="shared" si="59"/>
        <v>#DIV/0!</v>
      </c>
      <c r="AA237" s="248"/>
      <c r="AB237" s="204" t="s">
        <v>11</v>
      </c>
      <c r="AC237" s="248"/>
      <c r="AD237" s="248"/>
      <c r="AE237" s="251"/>
      <c r="AF237" s="248"/>
    </row>
    <row r="238" spans="1:32" s="21" customFormat="1" ht="43.5" customHeight="1">
      <c r="A238" s="185">
        <f t="shared" si="32"/>
        <v>236</v>
      </c>
      <c r="B238" s="247"/>
      <c r="C238" s="185">
        <v>1833</v>
      </c>
      <c r="D238" s="185">
        <v>15</v>
      </c>
      <c r="E238" s="288" t="s">
        <v>184</v>
      </c>
      <c r="F238" s="218" t="s">
        <v>886</v>
      </c>
      <c r="G238" s="185">
        <v>420</v>
      </c>
      <c r="H238" s="28" t="s">
        <v>888</v>
      </c>
      <c r="I238" s="185" t="s">
        <v>877</v>
      </c>
      <c r="J238" s="185" t="s">
        <v>864</v>
      </c>
      <c r="K238" s="185">
        <v>1</v>
      </c>
      <c r="L238" s="186" t="s">
        <v>849</v>
      </c>
      <c r="M238" s="248"/>
      <c r="N238" s="187">
        <v>2565</v>
      </c>
      <c r="O238" s="187">
        <f t="shared" si="57"/>
        <v>2565</v>
      </c>
      <c r="P238" s="183"/>
      <c r="Q238" s="218" t="s">
        <v>871</v>
      </c>
      <c r="R238" s="191">
        <v>45734</v>
      </c>
      <c r="S238" s="185"/>
      <c r="T238" s="218"/>
      <c r="U238" s="186"/>
      <c r="V238" s="239">
        <v>4200</v>
      </c>
      <c r="W238" s="228">
        <f t="shared" si="58"/>
        <v>4200</v>
      </c>
      <c r="X238" s="243"/>
      <c r="Y238" s="50"/>
      <c r="Z238" s="232" t="e">
        <f t="shared" si="59"/>
        <v>#DIV/0!</v>
      </c>
      <c r="AA238" s="248"/>
      <c r="AB238" s="204" t="s">
        <v>11</v>
      </c>
      <c r="AC238" s="248"/>
      <c r="AD238" s="248"/>
      <c r="AE238" s="251"/>
      <c r="AF238" s="248"/>
    </row>
    <row r="239" spans="1:32" s="21" customFormat="1" ht="43.5" customHeight="1">
      <c r="A239" s="185">
        <f t="shared" si="32"/>
        <v>237</v>
      </c>
      <c r="B239" s="247"/>
      <c r="C239" s="185">
        <v>1834</v>
      </c>
      <c r="D239" s="185">
        <v>16</v>
      </c>
      <c r="E239" s="288" t="s">
        <v>184</v>
      </c>
      <c r="F239" s="218" t="s">
        <v>887</v>
      </c>
      <c r="G239" s="185">
        <v>420</v>
      </c>
      <c r="H239" s="28" t="s">
        <v>888</v>
      </c>
      <c r="I239" s="185" t="s">
        <v>878</v>
      </c>
      <c r="J239" s="185" t="s">
        <v>865</v>
      </c>
      <c r="K239" s="185">
        <v>1</v>
      </c>
      <c r="L239" s="186" t="s">
        <v>849</v>
      </c>
      <c r="M239" s="248"/>
      <c r="N239" s="187">
        <v>3500</v>
      </c>
      <c r="O239" s="187">
        <f t="shared" si="57"/>
        <v>3500</v>
      </c>
      <c r="P239" s="183"/>
      <c r="Q239" s="218" t="s">
        <v>871</v>
      </c>
      <c r="R239" s="191">
        <v>45734</v>
      </c>
      <c r="S239" s="185"/>
      <c r="T239" s="218"/>
      <c r="U239" s="186"/>
      <c r="V239" s="239">
        <v>7100</v>
      </c>
      <c r="W239" s="228">
        <f t="shared" si="58"/>
        <v>7100</v>
      </c>
      <c r="X239" s="243"/>
      <c r="Y239" s="50"/>
      <c r="Z239" s="232" t="e">
        <f t="shared" si="59"/>
        <v>#DIV/0!</v>
      </c>
      <c r="AA239" s="248"/>
      <c r="AB239" s="204" t="s">
        <v>11</v>
      </c>
      <c r="AC239" s="248"/>
      <c r="AD239" s="248"/>
      <c r="AE239" s="251"/>
      <c r="AF239" s="248"/>
    </row>
    <row r="240" spans="1:32" s="21" customFormat="1" ht="43.5" customHeight="1">
      <c r="A240" s="185">
        <f t="shared" si="32"/>
        <v>238</v>
      </c>
      <c r="B240" s="247"/>
      <c r="C240" s="185">
        <v>1835</v>
      </c>
      <c r="D240" s="185">
        <v>17</v>
      </c>
      <c r="E240" s="288" t="s">
        <v>184</v>
      </c>
      <c r="F240" s="218" t="s">
        <v>666</v>
      </c>
      <c r="G240" s="185">
        <v>420</v>
      </c>
      <c r="H240" s="28" t="s">
        <v>888</v>
      </c>
      <c r="I240" s="185" t="s">
        <v>866</v>
      </c>
      <c r="J240" s="185" t="s">
        <v>867</v>
      </c>
      <c r="K240" s="185">
        <v>1</v>
      </c>
      <c r="L240" s="186" t="s">
        <v>91</v>
      </c>
      <c r="M240" s="248"/>
      <c r="N240" s="187">
        <v>35</v>
      </c>
      <c r="O240" s="187">
        <f t="shared" si="57"/>
        <v>35</v>
      </c>
      <c r="P240" s="183"/>
      <c r="Q240" s="218" t="s">
        <v>871</v>
      </c>
      <c r="R240" s="191">
        <v>45734</v>
      </c>
      <c r="S240" s="185"/>
      <c r="T240" s="218"/>
      <c r="U240" s="186"/>
      <c r="V240" s="239">
        <v>415</v>
      </c>
      <c r="W240" s="228">
        <f t="shared" si="58"/>
        <v>415</v>
      </c>
      <c r="X240" s="243"/>
      <c r="Y240" s="50"/>
      <c r="Z240" s="232" t="e">
        <f t="shared" si="59"/>
        <v>#DIV/0!</v>
      </c>
      <c r="AA240" s="248"/>
      <c r="AB240" s="204" t="s">
        <v>11</v>
      </c>
      <c r="AC240" s="248"/>
      <c r="AD240" s="248"/>
      <c r="AE240" s="251"/>
      <c r="AF240" s="248"/>
    </row>
    <row r="241" spans="1:32" s="21" customFormat="1" ht="43.5" customHeight="1">
      <c r="A241" s="185">
        <f t="shared" si="32"/>
        <v>239</v>
      </c>
      <c r="B241" s="247"/>
      <c r="C241" s="185">
        <v>1836</v>
      </c>
      <c r="D241" s="185">
        <v>18</v>
      </c>
      <c r="E241" s="288" t="s">
        <v>184</v>
      </c>
      <c r="F241" s="218" t="s">
        <v>887</v>
      </c>
      <c r="G241" s="185">
        <v>420</v>
      </c>
      <c r="H241" s="28" t="s">
        <v>888</v>
      </c>
      <c r="I241" s="185" t="s">
        <v>879</v>
      </c>
      <c r="J241" s="185" t="s">
        <v>869</v>
      </c>
      <c r="K241" s="185">
        <v>1</v>
      </c>
      <c r="L241" s="186" t="s">
        <v>849</v>
      </c>
      <c r="M241" s="248"/>
      <c r="N241" s="187">
        <v>2500</v>
      </c>
      <c r="O241" s="187">
        <f t="shared" si="57"/>
        <v>2500</v>
      </c>
      <c r="P241" s="183"/>
      <c r="Q241" s="218" t="s">
        <v>871</v>
      </c>
      <c r="R241" s="191">
        <v>45734</v>
      </c>
      <c r="S241" s="185"/>
      <c r="T241" s="218"/>
      <c r="U241" s="186"/>
      <c r="V241" s="239">
        <v>5600</v>
      </c>
      <c r="W241" s="228">
        <f t="shared" si="58"/>
        <v>5600</v>
      </c>
      <c r="X241" s="243"/>
      <c r="Y241" s="50"/>
      <c r="Z241" s="232" t="e">
        <f t="shared" si="59"/>
        <v>#DIV/0!</v>
      </c>
      <c r="AA241" s="248"/>
      <c r="AB241" s="204" t="s">
        <v>11</v>
      </c>
      <c r="AC241" s="248"/>
      <c r="AD241" s="248"/>
      <c r="AE241" s="251"/>
      <c r="AF241" s="248"/>
    </row>
    <row r="242" spans="1:32" s="21" customFormat="1" ht="43.5" customHeight="1">
      <c r="A242" s="185">
        <f t="shared" si="32"/>
        <v>240</v>
      </c>
      <c r="B242" s="247"/>
      <c r="C242" s="185">
        <v>1837</v>
      </c>
      <c r="D242" s="185">
        <v>1</v>
      </c>
      <c r="E242" s="185" t="s">
        <v>201</v>
      </c>
      <c r="F242" s="218" t="s">
        <v>907</v>
      </c>
      <c r="G242" s="185">
        <v>424</v>
      </c>
      <c r="H242" s="52" t="s">
        <v>140</v>
      </c>
      <c r="I242" s="185" t="s">
        <v>889</v>
      </c>
      <c r="J242" s="185" t="s">
        <v>890</v>
      </c>
      <c r="K242" s="185">
        <v>1</v>
      </c>
      <c r="L242" s="185" t="s">
        <v>76</v>
      </c>
      <c r="M242" s="248"/>
      <c r="N242" s="187">
        <v>320</v>
      </c>
      <c r="O242" s="187">
        <f t="shared" si="57"/>
        <v>320</v>
      </c>
      <c r="P242" s="183"/>
      <c r="Q242" s="218" t="s">
        <v>906</v>
      </c>
      <c r="R242" s="191">
        <v>45734</v>
      </c>
      <c r="S242" s="185"/>
      <c r="T242" s="218"/>
      <c r="U242" s="186"/>
      <c r="V242" s="239">
        <v>620</v>
      </c>
      <c r="W242" s="228">
        <f t="shared" si="58"/>
        <v>620</v>
      </c>
      <c r="X242" s="243"/>
      <c r="Y242" s="50"/>
      <c r="Z242" s="232" t="e">
        <f t="shared" si="59"/>
        <v>#DIV/0!</v>
      </c>
      <c r="AA242" s="248"/>
      <c r="AB242" s="65" t="s">
        <v>12</v>
      </c>
      <c r="AC242" s="248"/>
      <c r="AD242" s="248"/>
      <c r="AE242" s="251"/>
      <c r="AF242" s="248"/>
    </row>
    <row r="243" spans="1:32" s="21" customFormat="1" ht="43.5" customHeight="1">
      <c r="A243" s="185">
        <f t="shared" si="32"/>
        <v>241</v>
      </c>
      <c r="B243" s="247"/>
      <c r="C243" s="185">
        <v>1838</v>
      </c>
      <c r="D243" s="185">
        <v>2</v>
      </c>
      <c r="E243" s="185" t="s">
        <v>201</v>
      </c>
      <c r="F243" s="218" t="s">
        <v>908</v>
      </c>
      <c r="G243" s="185">
        <v>424</v>
      </c>
      <c r="H243" s="52" t="s">
        <v>140</v>
      </c>
      <c r="I243" s="185" t="s">
        <v>892</v>
      </c>
      <c r="J243" s="185" t="s">
        <v>893</v>
      </c>
      <c r="K243" s="185">
        <v>1</v>
      </c>
      <c r="L243" s="186" t="s">
        <v>905</v>
      </c>
      <c r="M243" s="248"/>
      <c r="N243" s="187">
        <v>2458.2399999999998</v>
      </c>
      <c r="O243" s="187">
        <f t="shared" si="57"/>
        <v>2458.2399999999998</v>
      </c>
      <c r="P243" s="183"/>
      <c r="Q243" s="218" t="s">
        <v>906</v>
      </c>
      <c r="R243" s="191">
        <v>45734</v>
      </c>
      <c r="S243" s="185"/>
      <c r="T243" s="218"/>
      <c r="U243" s="186"/>
      <c r="V243" s="239">
        <v>3980</v>
      </c>
      <c r="W243" s="228">
        <f t="shared" si="58"/>
        <v>3980</v>
      </c>
      <c r="X243" s="243"/>
      <c r="Y243" s="50"/>
      <c r="Z243" s="232" t="e">
        <f t="shared" si="59"/>
        <v>#DIV/0!</v>
      </c>
      <c r="AA243" s="248"/>
      <c r="AB243" s="65" t="s">
        <v>12</v>
      </c>
      <c r="AC243" s="248" t="s">
        <v>912</v>
      </c>
      <c r="AD243" s="248"/>
      <c r="AE243" s="251"/>
      <c r="AF243" s="248"/>
    </row>
    <row r="244" spans="1:32" s="21" customFormat="1" ht="43.5" customHeight="1">
      <c r="A244" s="185">
        <f t="shared" si="32"/>
        <v>242</v>
      </c>
      <c r="B244" s="247"/>
      <c r="C244" s="185">
        <v>1839</v>
      </c>
      <c r="D244" s="185">
        <v>3</v>
      </c>
      <c r="E244" s="185" t="s">
        <v>201</v>
      </c>
      <c r="F244" s="309" t="s">
        <v>911</v>
      </c>
      <c r="G244" s="185">
        <v>424</v>
      </c>
      <c r="H244" s="52" t="s">
        <v>140</v>
      </c>
      <c r="I244" s="309" t="s">
        <v>894</v>
      </c>
      <c r="J244" s="309" t="s">
        <v>252</v>
      </c>
      <c r="K244" s="309">
        <v>50</v>
      </c>
      <c r="L244" s="381" t="s">
        <v>91</v>
      </c>
      <c r="M244" s="351"/>
      <c r="N244" s="382"/>
      <c r="O244" s="382">
        <f t="shared" si="57"/>
        <v>0</v>
      </c>
      <c r="P244" s="383"/>
      <c r="Q244" s="309" t="s">
        <v>906</v>
      </c>
      <c r="R244" s="384">
        <v>45734</v>
      </c>
      <c r="S244" s="185"/>
      <c r="T244" s="218"/>
      <c r="U244" s="186"/>
      <c r="V244" s="239">
        <v>297</v>
      </c>
      <c r="W244" s="228">
        <f t="shared" si="58"/>
        <v>14850</v>
      </c>
      <c r="X244" s="243"/>
      <c r="Y244" s="50"/>
      <c r="Z244" s="232" t="e">
        <f t="shared" si="59"/>
        <v>#DIV/0!</v>
      </c>
      <c r="AA244" s="248"/>
      <c r="AB244" s="204" t="s">
        <v>11</v>
      </c>
      <c r="AC244" s="248"/>
      <c r="AD244" s="248"/>
      <c r="AE244" s="251"/>
      <c r="AF244" s="248"/>
    </row>
    <row r="245" spans="1:32" s="21" customFormat="1" ht="43.5" customHeight="1">
      <c r="A245" s="185">
        <f t="shared" si="32"/>
        <v>243</v>
      </c>
      <c r="B245" s="247"/>
      <c r="C245" s="185">
        <v>1840</v>
      </c>
      <c r="D245" s="185">
        <v>4</v>
      </c>
      <c r="E245" s="185" t="s">
        <v>201</v>
      </c>
      <c r="F245" s="218" t="s">
        <v>138</v>
      </c>
      <c r="G245" s="185">
        <v>424</v>
      </c>
      <c r="H245" s="52" t="s">
        <v>140</v>
      </c>
      <c r="I245" s="185" t="s">
        <v>896</v>
      </c>
      <c r="J245" s="185" t="s">
        <v>897</v>
      </c>
      <c r="K245" s="185">
        <v>300</v>
      </c>
      <c r="L245" s="186" t="s">
        <v>76</v>
      </c>
      <c r="M245" s="248"/>
      <c r="N245" s="187">
        <v>2.82</v>
      </c>
      <c r="O245" s="187">
        <f t="shared" ref="O245:O257" si="60">N245*K245</f>
        <v>846</v>
      </c>
      <c r="P245" s="183"/>
      <c r="Q245" s="218" t="s">
        <v>906</v>
      </c>
      <c r="R245" s="191">
        <v>45734</v>
      </c>
      <c r="S245" s="185"/>
      <c r="T245" s="218"/>
      <c r="U245" s="186"/>
      <c r="V245" s="239">
        <v>4.5</v>
      </c>
      <c r="W245" s="228">
        <f t="shared" ref="W245:W257" si="61">V245*K245</f>
        <v>1350</v>
      </c>
      <c r="X245" s="243"/>
      <c r="Y245" s="50"/>
      <c r="Z245" s="232" t="e">
        <f t="shared" ref="Z245:Z257" si="62">W245/O245/Y245</f>
        <v>#DIV/0!</v>
      </c>
      <c r="AA245" s="248"/>
      <c r="AB245" s="204" t="s">
        <v>11</v>
      </c>
      <c r="AC245" s="248"/>
      <c r="AD245" s="248"/>
      <c r="AE245" s="251"/>
      <c r="AF245" s="248"/>
    </row>
    <row r="246" spans="1:32" s="21" customFormat="1" ht="43.5" customHeight="1">
      <c r="A246" s="185">
        <f t="shared" si="32"/>
        <v>244</v>
      </c>
      <c r="B246" s="247"/>
      <c r="C246" s="185">
        <v>1841</v>
      </c>
      <c r="D246" s="185">
        <v>5</v>
      </c>
      <c r="E246" s="185" t="s">
        <v>201</v>
      </c>
      <c r="F246" s="218" t="s">
        <v>196</v>
      </c>
      <c r="G246" s="185">
        <v>424</v>
      </c>
      <c r="H246" s="52" t="s">
        <v>140</v>
      </c>
      <c r="I246" s="185" t="s">
        <v>899</v>
      </c>
      <c r="J246" s="185" t="s">
        <v>222</v>
      </c>
      <c r="K246" s="185">
        <v>1</v>
      </c>
      <c r="L246" s="186" t="s">
        <v>76</v>
      </c>
      <c r="M246" s="248"/>
      <c r="N246" s="187">
        <v>800</v>
      </c>
      <c r="O246" s="187">
        <f t="shared" si="60"/>
        <v>800</v>
      </c>
      <c r="P246" s="183"/>
      <c r="Q246" s="218" t="s">
        <v>906</v>
      </c>
      <c r="R246" s="191">
        <v>45734</v>
      </c>
      <c r="S246" s="185"/>
      <c r="T246" s="218"/>
      <c r="U246" s="186"/>
      <c r="V246" s="239">
        <v>1415</v>
      </c>
      <c r="W246" s="228">
        <f t="shared" si="61"/>
        <v>1415</v>
      </c>
      <c r="X246" s="243"/>
      <c r="Y246" s="50"/>
      <c r="Z246" s="232" t="e">
        <f t="shared" si="62"/>
        <v>#DIV/0!</v>
      </c>
      <c r="AA246" s="248"/>
      <c r="AB246" s="65" t="s">
        <v>12</v>
      </c>
      <c r="AC246" s="248"/>
      <c r="AD246" s="248"/>
      <c r="AE246" s="251"/>
      <c r="AF246" s="248"/>
    </row>
    <row r="247" spans="1:32" s="21" customFormat="1" ht="43.5" customHeight="1">
      <c r="A247" s="185">
        <f t="shared" si="32"/>
        <v>245</v>
      </c>
      <c r="B247" s="247"/>
      <c r="C247" s="185">
        <v>1842</v>
      </c>
      <c r="D247" s="185">
        <v>6</v>
      </c>
      <c r="E247" s="185" t="s">
        <v>201</v>
      </c>
      <c r="F247" s="309" t="s">
        <v>911</v>
      </c>
      <c r="G247" s="185">
        <v>424</v>
      </c>
      <c r="H247" s="52" t="s">
        <v>140</v>
      </c>
      <c r="I247" s="185" t="s">
        <v>899</v>
      </c>
      <c r="J247" s="185" t="s">
        <v>222</v>
      </c>
      <c r="K247" s="185">
        <v>3</v>
      </c>
      <c r="L247" s="186" t="s">
        <v>76</v>
      </c>
      <c r="M247" s="248"/>
      <c r="N247" s="187"/>
      <c r="O247" s="187">
        <f t="shared" ref="O247" si="63">N247*K247</f>
        <v>0</v>
      </c>
      <c r="P247" s="183"/>
      <c r="Q247" s="218" t="s">
        <v>906</v>
      </c>
      <c r="R247" s="191">
        <v>45734</v>
      </c>
      <c r="S247" s="185"/>
      <c r="T247" s="218"/>
      <c r="U247" s="186"/>
      <c r="V247" s="239">
        <v>1415</v>
      </c>
      <c r="W247" s="228">
        <f t="shared" ref="W247" si="64">V247*K247</f>
        <v>4245</v>
      </c>
      <c r="X247" s="243"/>
      <c r="Y247" s="50"/>
      <c r="Z247" s="232" t="e">
        <f t="shared" ref="Z247" si="65">W247/O247/Y247</f>
        <v>#DIV/0!</v>
      </c>
      <c r="AA247" s="248"/>
      <c r="AB247" s="204" t="s">
        <v>11</v>
      </c>
      <c r="AC247" s="248"/>
      <c r="AD247" s="248"/>
      <c r="AE247" s="251"/>
      <c r="AF247" s="248"/>
    </row>
    <row r="248" spans="1:32" s="21" customFormat="1" ht="43.5" customHeight="1">
      <c r="A248" s="185">
        <f t="shared" si="32"/>
        <v>246</v>
      </c>
      <c r="B248" s="247"/>
      <c r="C248" s="185">
        <v>1843</v>
      </c>
      <c r="D248" s="185">
        <v>7</v>
      </c>
      <c r="E248" s="185" t="s">
        <v>201</v>
      </c>
      <c r="F248" s="218" t="s">
        <v>196</v>
      </c>
      <c r="G248" s="185">
        <v>424</v>
      </c>
      <c r="H248" s="52" t="s">
        <v>140</v>
      </c>
      <c r="I248" s="185" t="s">
        <v>901</v>
      </c>
      <c r="J248" s="185" t="s">
        <v>902</v>
      </c>
      <c r="K248" s="185">
        <v>1</v>
      </c>
      <c r="L248" s="186" t="s">
        <v>76</v>
      </c>
      <c r="M248" s="248"/>
      <c r="N248" s="187">
        <v>829.65</v>
      </c>
      <c r="O248" s="187">
        <f t="shared" si="60"/>
        <v>829.65</v>
      </c>
      <c r="P248" s="183"/>
      <c r="Q248" s="218" t="s">
        <v>906</v>
      </c>
      <c r="R248" s="191">
        <v>45734</v>
      </c>
      <c r="S248" s="185"/>
      <c r="T248" s="218"/>
      <c r="U248" s="186"/>
      <c r="V248" s="239">
        <v>1455</v>
      </c>
      <c r="W248" s="228">
        <f t="shared" si="61"/>
        <v>1455</v>
      </c>
      <c r="X248" s="243"/>
      <c r="Y248" s="50"/>
      <c r="Z248" s="232" t="e">
        <f t="shared" si="62"/>
        <v>#DIV/0!</v>
      </c>
      <c r="AA248" s="248"/>
      <c r="AB248" s="65" t="s">
        <v>12</v>
      </c>
      <c r="AC248" s="248"/>
      <c r="AD248" s="248"/>
      <c r="AE248" s="251"/>
      <c r="AF248" s="248"/>
    </row>
    <row r="249" spans="1:32" s="21" customFormat="1" ht="43.5" customHeight="1">
      <c r="A249" s="185">
        <f t="shared" si="32"/>
        <v>247</v>
      </c>
      <c r="B249" s="247"/>
      <c r="C249" s="185">
        <v>1844</v>
      </c>
      <c r="D249" s="185">
        <v>8</v>
      </c>
      <c r="E249" s="185" t="s">
        <v>201</v>
      </c>
      <c r="F249" s="218" t="s">
        <v>196</v>
      </c>
      <c r="G249" s="185">
        <v>424</v>
      </c>
      <c r="H249" s="52" t="s">
        <v>140</v>
      </c>
      <c r="I249" s="185" t="s">
        <v>903</v>
      </c>
      <c r="J249" s="185" t="s">
        <v>135</v>
      </c>
      <c r="K249" s="185">
        <v>2</v>
      </c>
      <c r="L249" s="186" t="s">
        <v>76</v>
      </c>
      <c r="M249" s="248"/>
      <c r="N249" s="187">
        <v>150</v>
      </c>
      <c r="O249" s="187">
        <f t="shared" si="60"/>
        <v>300</v>
      </c>
      <c r="P249" s="183"/>
      <c r="Q249" s="218" t="s">
        <v>906</v>
      </c>
      <c r="R249" s="191">
        <v>45734</v>
      </c>
      <c r="S249" s="185"/>
      <c r="T249" s="218"/>
      <c r="U249" s="186"/>
      <c r="V249" s="239">
        <v>285</v>
      </c>
      <c r="W249" s="228">
        <f t="shared" si="61"/>
        <v>570</v>
      </c>
      <c r="X249" s="243"/>
      <c r="Y249" s="50"/>
      <c r="Z249" s="232" t="e">
        <f t="shared" si="62"/>
        <v>#DIV/0!</v>
      </c>
      <c r="AA249" s="248"/>
      <c r="AB249" s="65" t="s">
        <v>12</v>
      </c>
      <c r="AC249" s="248"/>
      <c r="AD249" s="248"/>
      <c r="AE249" s="251"/>
      <c r="AF249" s="248"/>
    </row>
    <row r="250" spans="1:32" s="21" customFormat="1" ht="43.5" customHeight="1">
      <c r="A250" s="185">
        <f t="shared" si="32"/>
        <v>248</v>
      </c>
      <c r="B250" s="247"/>
      <c r="C250" s="185">
        <v>1845</v>
      </c>
      <c r="D250" s="185">
        <v>9</v>
      </c>
      <c r="E250" s="185" t="s">
        <v>201</v>
      </c>
      <c r="F250" s="218" t="s">
        <v>1003</v>
      </c>
      <c r="G250" s="185">
        <v>424</v>
      </c>
      <c r="H250" s="52" t="s">
        <v>140</v>
      </c>
      <c r="I250" s="185">
        <v>1015597</v>
      </c>
      <c r="J250" s="185" t="s">
        <v>904</v>
      </c>
      <c r="K250" s="185">
        <v>21</v>
      </c>
      <c r="L250" s="186" t="s">
        <v>76</v>
      </c>
      <c r="M250" s="248"/>
      <c r="N250" s="187">
        <v>97.04</v>
      </c>
      <c r="O250" s="187">
        <f t="shared" si="60"/>
        <v>2037.8400000000001</v>
      </c>
      <c r="P250" s="183"/>
      <c r="Q250" s="218" t="s">
        <v>906</v>
      </c>
      <c r="R250" s="191">
        <v>45734</v>
      </c>
      <c r="S250" s="185"/>
      <c r="T250" s="218"/>
      <c r="U250" s="186"/>
      <c r="V250" s="239">
        <v>155</v>
      </c>
      <c r="W250" s="228">
        <f t="shared" si="61"/>
        <v>3255</v>
      </c>
      <c r="X250" s="243"/>
      <c r="Y250" s="50"/>
      <c r="Z250" s="232" t="e">
        <f t="shared" si="62"/>
        <v>#DIV/0!</v>
      </c>
      <c r="AA250" s="248"/>
      <c r="AB250" s="204" t="s">
        <v>11</v>
      </c>
      <c r="AC250" s="248"/>
      <c r="AD250" s="248"/>
      <c r="AE250" s="251"/>
      <c r="AF250" s="248"/>
    </row>
    <row r="251" spans="1:32" s="21" customFormat="1" ht="43.5" customHeight="1">
      <c r="A251" s="185">
        <f t="shared" si="32"/>
        <v>249</v>
      </c>
      <c r="B251" s="247"/>
      <c r="C251" s="185"/>
      <c r="D251" s="185"/>
      <c r="E251" s="185"/>
      <c r="F251" s="218"/>
      <c r="G251" s="185"/>
      <c r="H251" s="185"/>
      <c r="I251" s="185"/>
      <c r="J251" s="185"/>
      <c r="K251" s="185"/>
      <c r="L251" s="186"/>
      <c r="M251" s="248"/>
      <c r="N251" s="187">
        <v>0</v>
      </c>
      <c r="O251" s="187">
        <f t="shared" si="60"/>
        <v>0</v>
      </c>
      <c r="P251" s="183"/>
      <c r="Q251" s="218"/>
      <c r="R251" s="191"/>
      <c r="S251" s="185"/>
      <c r="T251" s="218"/>
      <c r="U251" s="186"/>
      <c r="V251" s="239"/>
      <c r="W251" s="228">
        <f t="shared" si="61"/>
        <v>0</v>
      </c>
      <c r="X251" s="243"/>
      <c r="Y251" s="50"/>
      <c r="Z251" s="232" t="e">
        <f t="shared" si="62"/>
        <v>#DIV/0!</v>
      </c>
      <c r="AA251" s="248"/>
      <c r="AB251" s="204" t="s">
        <v>11</v>
      </c>
      <c r="AC251" s="248"/>
      <c r="AD251" s="248"/>
      <c r="AE251" s="251"/>
      <c r="AF251" s="248"/>
    </row>
    <row r="252" spans="1:32" s="21" customFormat="1" ht="43.5" customHeight="1">
      <c r="A252" s="185">
        <f t="shared" si="32"/>
        <v>250</v>
      </c>
      <c r="B252" s="247"/>
      <c r="C252" s="185"/>
      <c r="D252" s="185"/>
      <c r="E252" s="185"/>
      <c r="F252" s="218"/>
      <c r="G252" s="185"/>
      <c r="H252" s="185"/>
      <c r="I252" s="185"/>
      <c r="J252" s="185"/>
      <c r="K252" s="185"/>
      <c r="L252" s="186"/>
      <c r="M252" s="248"/>
      <c r="N252" s="187">
        <v>0</v>
      </c>
      <c r="O252" s="187">
        <f t="shared" si="60"/>
        <v>0</v>
      </c>
      <c r="P252" s="183"/>
      <c r="Q252" s="218"/>
      <c r="R252" s="191"/>
      <c r="S252" s="185"/>
      <c r="T252" s="218"/>
      <c r="U252" s="186"/>
      <c r="V252" s="239"/>
      <c r="W252" s="228">
        <f t="shared" si="61"/>
        <v>0</v>
      </c>
      <c r="X252" s="243"/>
      <c r="Y252" s="50"/>
      <c r="Z252" s="232" t="e">
        <f t="shared" si="62"/>
        <v>#DIV/0!</v>
      </c>
      <c r="AA252" s="248"/>
      <c r="AB252" s="204" t="s">
        <v>11</v>
      </c>
      <c r="AC252" s="248"/>
      <c r="AD252" s="248"/>
      <c r="AE252" s="251"/>
      <c r="AF252" s="248"/>
    </row>
    <row r="253" spans="1:32" s="21" customFormat="1" ht="43.5" customHeight="1">
      <c r="A253" s="185">
        <f t="shared" si="32"/>
        <v>251</v>
      </c>
      <c r="B253" s="247"/>
      <c r="C253" s="185"/>
      <c r="D253" s="185"/>
      <c r="E253" s="185"/>
      <c r="F253" s="218"/>
      <c r="G253" s="185"/>
      <c r="H253" s="185"/>
      <c r="I253" s="185"/>
      <c r="J253" s="185"/>
      <c r="K253" s="185"/>
      <c r="L253" s="186"/>
      <c r="M253" s="248"/>
      <c r="N253" s="187">
        <v>0</v>
      </c>
      <c r="O253" s="187">
        <f t="shared" si="60"/>
        <v>0</v>
      </c>
      <c r="P253" s="183"/>
      <c r="Q253" s="218"/>
      <c r="R253" s="191"/>
      <c r="S253" s="185"/>
      <c r="T253" s="218"/>
      <c r="U253" s="186"/>
      <c r="V253" s="239"/>
      <c r="W253" s="228">
        <f t="shared" si="61"/>
        <v>0</v>
      </c>
      <c r="X253" s="243"/>
      <c r="Y253" s="50"/>
      <c r="Z253" s="232" t="e">
        <f t="shared" si="62"/>
        <v>#DIV/0!</v>
      </c>
      <c r="AA253" s="248"/>
      <c r="AB253" s="204" t="s">
        <v>11</v>
      </c>
      <c r="AC253" s="248"/>
      <c r="AD253" s="248"/>
      <c r="AE253" s="251"/>
      <c r="AF253" s="248"/>
    </row>
    <row r="254" spans="1:32" s="21" customFormat="1" ht="43.5" customHeight="1">
      <c r="A254" s="185">
        <f t="shared" si="32"/>
        <v>252</v>
      </c>
      <c r="B254" s="247"/>
      <c r="C254" s="185"/>
      <c r="D254" s="185"/>
      <c r="E254" s="185"/>
      <c r="F254" s="218"/>
      <c r="G254" s="185"/>
      <c r="H254" s="185"/>
      <c r="I254" s="185"/>
      <c r="J254" s="185"/>
      <c r="K254" s="185"/>
      <c r="L254" s="186"/>
      <c r="M254" s="248"/>
      <c r="N254" s="187">
        <v>0</v>
      </c>
      <c r="O254" s="187">
        <f t="shared" si="60"/>
        <v>0</v>
      </c>
      <c r="P254" s="183"/>
      <c r="Q254" s="218"/>
      <c r="R254" s="191"/>
      <c r="S254" s="185"/>
      <c r="T254" s="218"/>
      <c r="U254" s="186"/>
      <c r="V254" s="239"/>
      <c r="W254" s="228">
        <f t="shared" si="61"/>
        <v>0</v>
      </c>
      <c r="X254" s="243"/>
      <c r="Y254" s="50"/>
      <c r="Z254" s="232" t="e">
        <f t="shared" si="62"/>
        <v>#DIV/0!</v>
      </c>
      <c r="AA254" s="248"/>
      <c r="AB254" s="204" t="s">
        <v>11</v>
      </c>
      <c r="AC254" s="248"/>
      <c r="AD254" s="248"/>
      <c r="AE254" s="251"/>
      <c r="AF254" s="248"/>
    </row>
    <row r="255" spans="1:32" s="21" customFormat="1" ht="43.5" customHeight="1">
      <c r="A255" s="185">
        <f t="shared" si="32"/>
        <v>253</v>
      </c>
      <c r="B255" s="247"/>
      <c r="C255" s="185"/>
      <c r="D255" s="185"/>
      <c r="E255" s="185"/>
      <c r="F255" s="218"/>
      <c r="G255" s="185"/>
      <c r="H255" s="185"/>
      <c r="I255" s="185"/>
      <c r="J255" s="185"/>
      <c r="K255" s="185"/>
      <c r="L255" s="186"/>
      <c r="M255" s="248"/>
      <c r="N255" s="187">
        <v>0</v>
      </c>
      <c r="O255" s="187">
        <f t="shared" si="60"/>
        <v>0</v>
      </c>
      <c r="P255" s="183"/>
      <c r="Q255" s="218"/>
      <c r="R255" s="191"/>
      <c r="S255" s="185"/>
      <c r="T255" s="218"/>
      <c r="U255" s="186"/>
      <c r="V255" s="239"/>
      <c r="W255" s="228">
        <f t="shared" si="61"/>
        <v>0</v>
      </c>
      <c r="X255" s="243"/>
      <c r="Y255" s="50"/>
      <c r="Z255" s="232" t="e">
        <f t="shared" si="62"/>
        <v>#DIV/0!</v>
      </c>
      <c r="AA255" s="248"/>
      <c r="AB255" s="204" t="s">
        <v>11</v>
      </c>
      <c r="AC255" s="248"/>
      <c r="AD255" s="248"/>
      <c r="AE255" s="251"/>
      <c r="AF255" s="248"/>
    </row>
    <row r="256" spans="1:32" s="21" customFormat="1" ht="43.5" customHeight="1">
      <c r="A256" s="185">
        <f t="shared" si="32"/>
        <v>254</v>
      </c>
      <c r="B256" s="247"/>
      <c r="C256" s="185"/>
      <c r="D256" s="185"/>
      <c r="E256" s="185"/>
      <c r="F256" s="218"/>
      <c r="G256" s="185"/>
      <c r="H256" s="185"/>
      <c r="I256" s="185"/>
      <c r="J256" s="185"/>
      <c r="K256" s="185"/>
      <c r="L256" s="186"/>
      <c r="M256" s="248"/>
      <c r="N256" s="187">
        <v>0</v>
      </c>
      <c r="O256" s="187">
        <f t="shared" si="60"/>
        <v>0</v>
      </c>
      <c r="P256" s="183"/>
      <c r="Q256" s="218"/>
      <c r="R256" s="191"/>
      <c r="S256" s="185"/>
      <c r="T256" s="218"/>
      <c r="U256" s="186"/>
      <c r="V256" s="239"/>
      <c r="W256" s="228">
        <f t="shared" si="61"/>
        <v>0</v>
      </c>
      <c r="X256" s="243"/>
      <c r="Y256" s="50"/>
      <c r="Z256" s="232" t="e">
        <f t="shared" si="62"/>
        <v>#DIV/0!</v>
      </c>
      <c r="AA256" s="248"/>
      <c r="AB256" s="204" t="s">
        <v>11</v>
      </c>
      <c r="AC256" s="248"/>
      <c r="AD256" s="248"/>
      <c r="AE256" s="251"/>
      <c r="AF256" s="248"/>
    </row>
    <row r="257" spans="1:32" s="21" customFormat="1" ht="43.5" customHeight="1">
      <c r="A257" s="185">
        <f t="shared" si="32"/>
        <v>255</v>
      </c>
      <c r="B257" s="247"/>
      <c r="C257" s="185"/>
      <c r="D257" s="185"/>
      <c r="E257" s="185"/>
      <c r="F257" s="218"/>
      <c r="G257" s="185"/>
      <c r="H257" s="185"/>
      <c r="I257" s="185"/>
      <c r="J257" s="185"/>
      <c r="K257" s="185"/>
      <c r="L257" s="186"/>
      <c r="M257" s="248"/>
      <c r="N257" s="187">
        <v>0</v>
      </c>
      <c r="O257" s="187">
        <f t="shared" si="60"/>
        <v>0</v>
      </c>
      <c r="P257" s="183"/>
      <c r="Q257" s="218"/>
      <c r="R257" s="191"/>
      <c r="S257" s="185"/>
      <c r="T257" s="218"/>
      <c r="U257" s="186"/>
      <c r="V257" s="239"/>
      <c r="W257" s="228">
        <f t="shared" si="61"/>
        <v>0</v>
      </c>
      <c r="X257" s="243"/>
      <c r="Y257" s="50"/>
      <c r="Z257" s="232" t="e">
        <f t="shared" si="62"/>
        <v>#DIV/0!</v>
      </c>
      <c r="AA257" s="248"/>
      <c r="AB257" s="204" t="s">
        <v>11</v>
      </c>
      <c r="AC257" s="248"/>
      <c r="AD257" s="248"/>
      <c r="AE257" s="251"/>
      <c r="AF257" s="248"/>
    </row>
    <row r="258" spans="1:32" s="21" customFormat="1" ht="43.5" customHeight="1">
      <c r="A258" s="185">
        <f t="shared" si="32"/>
        <v>256</v>
      </c>
      <c r="B258" s="247"/>
      <c r="C258" s="185"/>
      <c r="D258" s="185"/>
      <c r="E258" s="185"/>
      <c r="F258" s="218"/>
      <c r="G258" s="185"/>
      <c r="H258" s="185"/>
      <c r="I258" s="185"/>
      <c r="J258" s="185"/>
      <c r="K258" s="185"/>
      <c r="L258" s="186"/>
      <c r="M258" s="248"/>
      <c r="N258" s="187">
        <v>0</v>
      </c>
      <c r="O258" s="187">
        <f t="shared" si="57"/>
        <v>0</v>
      </c>
      <c r="P258" s="183"/>
      <c r="Q258" s="218"/>
      <c r="R258" s="191"/>
      <c r="S258" s="185"/>
      <c r="T258" s="218"/>
      <c r="U258" s="186"/>
      <c r="V258" s="239"/>
      <c r="W258" s="228">
        <f t="shared" si="58"/>
        <v>0</v>
      </c>
      <c r="X258" s="243"/>
      <c r="Y258" s="50"/>
      <c r="Z258" s="232" t="e">
        <f t="shared" si="59"/>
        <v>#DIV/0!</v>
      </c>
      <c r="AA258" s="248"/>
      <c r="AB258" s="204" t="s">
        <v>11</v>
      </c>
      <c r="AC258" s="248"/>
      <c r="AD258" s="248"/>
      <c r="AE258" s="251"/>
      <c r="AF258" s="248"/>
    </row>
    <row r="259" spans="1:32" s="21" customFormat="1" ht="43.5" customHeight="1">
      <c r="A259" s="185">
        <f t="shared" si="32"/>
        <v>257</v>
      </c>
      <c r="B259" s="247"/>
      <c r="C259" s="185"/>
      <c r="D259" s="185"/>
      <c r="E259" s="185"/>
      <c r="F259" s="218"/>
      <c r="G259" s="185"/>
      <c r="H259" s="185"/>
      <c r="I259" s="185"/>
      <c r="J259" s="185"/>
      <c r="K259" s="185"/>
      <c r="L259" s="186"/>
      <c r="M259" s="248"/>
      <c r="N259" s="187">
        <v>0</v>
      </c>
      <c r="O259" s="187">
        <f t="shared" si="57"/>
        <v>0</v>
      </c>
      <c r="P259" s="183"/>
      <c r="Q259" s="218"/>
      <c r="R259" s="191"/>
      <c r="S259" s="185"/>
      <c r="T259" s="218"/>
      <c r="U259" s="186"/>
      <c r="V259" s="239"/>
      <c r="W259" s="228">
        <f t="shared" si="58"/>
        <v>0</v>
      </c>
      <c r="X259" s="243"/>
      <c r="Y259" s="50"/>
      <c r="Z259" s="232" t="e">
        <f t="shared" si="59"/>
        <v>#DIV/0!</v>
      </c>
      <c r="AA259" s="248"/>
      <c r="AB259" s="204" t="s">
        <v>11</v>
      </c>
      <c r="AC259" s="248"/>
      <c r="AD259" s="248"/>
      <c r="AE259" s="251"/>
      <c r="AF259" s="248"/>
    </row>
    <row r="260" spans="1:32" s="21" customFormat="1" ht="43.5" customHeight="1">
      <c r="A260" s="185">
        <f t="shared" si="32"/>
        <v>258</v>
      </c>
      <c r="B260" s="247"/>
      <c r="C260" s="185"/>
      <c r="D260" s="185"/>
      <c r="E260" s="185"/>
      <c r="F260" s="218"/>
      <c r="G260" s="185"/>
      <c r="H260" s="185"/>
      <c r="I260" s="185"/>
      <c r="J260" s="185"/>
      <c r="K260" s="185"/>
      <c r="L260" s="186"/>
      <c r="M260" s="248"/>
      <c r="N260" s="187">
        <v>0</v>
      </c>
      <c r="O260" s="187">
        <f t="shared" si="51"/>
        <v>0</v>
      </c>
      <c r="P260" s="183"/>
      <c r="Q260" s="218"/>
      <c r="R260" s="191"/>
      <c r="S260" s="185"/>
      <c r="T260" s="218"/>
      <c r="U260" s="186"/>
      <c r="V260" s="239"/>
      <c r="W260" s="228">
        <f t="shared" si="52"/>
        <v>0</v>
      </c>
      <c r="X260" s="243"/>
      <c r="Y260" s="50"/>
      <c r="Z260" s="232" t="e">
        <f t="shared" si="53"/>
        <v>#DIV/0!</v>
      </c>
      <c r="AA260" s="248"/>
      <c r="AB260" s="204" t="s">
        <v>11</v>
      </c>
      <c r="AC260" s="248"/>
      <c r="AD260" s="248"/>
      <c r="AE260" s="251"/>
      <c r="AF260" s="248"/>
    </row>
    <row r="261" spans="1:32" s="21" customFormat="1" ht="43.5" customHeight="1">
      <c r="A261" s="185">
        <f t="shared" si="32"/>
        <v>259</v>
      </c>
      <c r="B261" s="247"/>
      <c r="C261" s="185"/>
      <c r="D261" s="185"/>
      <c r="E261" s="185"/>
      <c r="F261" s="218"/>
      <c r="G261" s="185"/>
      <c r="H261" s="185"/>
      <c r="I261" s="185"/>
      <c r="J261" s="185"/>
      <c r="K261" s="185"/>
      <c r="L261" s="186"/>
      <c r="M261" s="248"/>
      <c r="N261" s="187">
        <v>0</v>
      </c>
      <c r="O261" s="187">
        <f t="shared" si="51"/>
        <v>0</v>
      </c>
      <c r="P261" s="183"/>
      <c r="Q261" s="218"/>
      <c r="R261" s="191"/>
      <c r="S261" s="185"/>
      <c r="T261" s="218"/>
      <c r="U261" s="186"/>
      <c r="V261" s="239"/>
      <c r="W261" s="228">
        <f t="shared" si="52"/>
        <v>0</v>
      </c>
      <c r="X261" s="243"/>
      <c r="Y261" s="50"/>
      <c r="Z261" s="232" t="e">
        <f t="shared" si="53"/>
        <v>#DIV/0!</v>
      </c>
      <c r="AA261" s="248"/>
      <c r="AB261" s="204" t="s">
        <v>11</v>
      </c>
      <c r="AC261" s="248"/>
      <c r="AD261" s="248"/>
      <c r="AE261" s="251"/>
      <c r="AF261" s="248"/>
    </row>
    <row r="262" spans="1:32" s="21" customFormat="1" ht="43.5" customHeight="1">
      <c r="A262" s="185">
        <f t="shared" si="32"/>
        <v>260</v>
      </c>
      <c r="B262" s="247"/>
      <c r="C262" s="185"/>
      <c r="D262" s="185"/>
      <c r="E262" s="185"/>
      <c r="F262" s="218"/>
      <c r="G262" s="185"/>
      <c r="H262" s="185"/>
      <c r="I262" s="185"/>
      <c r="J262" s="185"/>
      <c r="K262" s="185"/>
      <c r="L262" s="186"/>
      <c r="M262" s="248"/>
      <c r="N262" s="187">
        <v>0</v>
      </c>
      <c r="O262" s="187">
        <f t="shared" si="51"/>
        <v>0</v>
      </c>
      <c r="P262" s="183"/>
      <c r="Q262" s="218"/>
      <c r="R262" s="191"/>
      <c r="S262" s="185"/>
      <c r="T262" s="218"/>
      <c r="U262" s="186"/>
      <c r="V262" s="239"/>
      <c r="W262" s="228">
        <f t="shared" si="52"/>
        <v>0</v>
      </c>
      <c r="X262" s="243"/>
      <c r="Y262" s="50"/>
      <c r="Z262" s="232" t="e">
        <f t="shared" si="53"/>
        <v>#DIV/0!</v>
      </c>
      <c r="AA262" s="248"/>
      <c r="AB262" s="204" t="s">
        <v>11</v>
      </c>
      <c r="AC262" s="248"/>
      <c r="AD262" s="248"/>
      <c r="AE262" s="251"/>
      <c r="AF262" s="248"/>
    </row>
    <row r="263" spans="1:32" s="21" customFormat="1" ht="43.5" customHeight="1">
      <c r="A263" s="185">
        <f t="shared" si="32"/>
        <v>261</v>
      </c>
      <c r="B263" s="247"/>
      <c r="C263" s="185"/>
      <c r="D263" s="185"/>
      <c r="E263" s="185"/>
      <c r="F263" s="218"/>
      <c r="G263" s="185"/>
      <c r="H263" s="185"/>
      <c r="I263" s="185"/>
      <c r="J263" s="185"/>
      <c r="K263" s="185"/>
      <c r="L263" s="186"/>
      <c r="M263" s="248"/>
      <c r="N263" s="187">
        <v>0</v>
      </c>
      <c r="O263" s="187">
        <f t="shared" si="51"/>
        <v>0</v>
      </c>
      <c r="P263" s="183"/>
      <c r="Q263" s="218"/>
      <c r="R263" s="191"/>
      <c r="S263" s="185"/>
      <c r="T263" s="218"/>
      <c r="U263" s="186"/>
      <c r="V263" s="239"/>
      <c r="W263" s="228">
        <f t="shared" si="52"/>
        <v>0</v>
      </c>
      <c r="X263" s="243"/>
      <c r="Y263" s="50"/>
      <c r="Z263" s="232" t="e">
        <f t="shared" si="53"/>
        <v>#DIV/0!</v>
      </c>
      <c r="AA263" s="248"/>
      <c r="AB263" s="204" t="s">
        <v>11</v>
      </c>
      <c r="AC263" s="248"/>
      <c r="AD263" s="248"/>
      <c r="AE263" s="251"/>
      <c r="AF263" s="248"/>
    </row>
    <row r="264" spans="1:32" s="21" customFormat="1" ht="43.5" customHeight="1">
      <c r="A264" s="185">
        <f t="shared" si="32"/>
        <v>262</v>
      </c>
      <c r="B264" s="247"/>
      <c r="C264" s="185"/>
      <c r="D264" s="185"/>
      <c r="E264" s="185"/>
      <c r="F264" s="218"/>
      <c r="G264" s="185"/>
      <c r="H264" s="185"/>
      <c r="I264" s="185"/>
      <c r="J264" s="185"/>
      <c r="K264" s="185"/>
      <c r="L264" s="186"/>
      <c r="M264" s="248"/>
      <c r="N264" s="187">
        <v>0</v>
      </c>
      <c r="O264" s="187">
        <f t="shared" si="51"/>
        <v>0</v>
      </c>
      <c r="P264" s="183"/>
      <c r="Q264" s="218"/>
      <c r="R264" s="191"/>
      <c r="S264" s="185"/>
      <c r="T264" s="218"/>
      <c r="U264" s="186"/>
      <c r="V264" s="239"/>
      <c r="W264" s="228">
        <f t="shared" si="52"/>
        <v>0</v>
      </c>
      <c r="X264" s="243"/>
      <c r="Y264" s="50"/>
      <c r="Z264" s="232" t="e">
        <f t="shared" si="53"/>
        <v>#DIV/0!</v>
      </c>
      <c r="AA264" s="248"/>
      <c r="AB264" s="204" t="s">
        <v>11</v>
      </c>
      <c r="AC264" s="248"/>
      <c r="AD264" s="248"/>
      <c r="AE264" s="251"/>
      <c r="AF264" s="248"/>
    </row>
    <row r="265" spans="1:32" s="21" customFormat="1" ht="43.5" customHeight="1">
      <c r="A265" s="185">
        <f t="shared" si="32"/>
        <v>263</v>
      </c>
      <c r="B265" s="247"/>
      <c r="C265" s="185"/>
      <c r="D265" s="185"/>
      <c r="E265" s="185"/>
      <c r="F265" s="218"/>
      <c r="G265" s="185"/>
      <c r="H265" s="185"/>
      <c r="I265" s="185"/>
      <c r="J265" s="185"/>
      <c r="K265" s="185"/>
      <c r="L265" s="186"/>
      <c r="M265" s="248"/>
      <c r="N265" s="187">
        <v>0</v>
      </c>
      <c r="O265" s="187">
        <f t="shared" si="48"/>
        <v>0</v>
      </c>
      <c r="P265" s="183"/>
      <c r="Q265" s="218"/>
      <c r="R265" s="191"/>
      <c r="S265" s="185"/>
      <c r="T265" s="218"/>
      <c r="U265" s="186"/>
      <c r="V265" s="239"/>
      <c r="W265" s="228">
        <f t="shared" si="49"/>
        <v>0</v>
      </c>
      <c r="X265" s="243"/>
      <c r="Y265" s="50"/>
      <c r="Z265" s="232" t="e">
        <f t="shared" si="50"/>
        <v>#DIV/0!</v>
      </c>
      <c r="AA265" s="248"/>
      <c r="AB265" s="204" t="s">
        <v>11</v>
      </c>
      <c r="AC265" s="248"/>
      <c r="AD265" s="248"/>
      <c r="AE265" s="251"/>
      <c r="AF265" s="248"/>
    </row>
    <row r="266" spans="1:32" s="21" customFormat="1" ht="43.5" customHeight="1">
      <c r="A266" s="185">
        <f t="shared" si="32"/>
        <v>264</v>
      </c>
      <c r="B266" s="247"/>
      <c r="C266" s="185"/>
      <c r="D266" s="185"/>
      <c r="E266" s="185"/>
      <c r="F266" s="218"/>
      <c r="G266" s="185"/>
      <c r="H266" s="185"/>
      <c r="I266" s="185"/>
      <c r="J266" s="185"/>
      <c r="K266" s="185"/>
      <c r="L266" s="186"/>
      <c r="M266" s="248"/>
      <c r="N266" s="187">
        <v>0</v>
      </c>
      <c r="O266" s="187">
        <f t="shared" si="48"/>
        <v>0</v>
      </c>
      <c r="P266" s="183"/>
      <c r="Q266" s="218"/>
      <c r="R266" s="191"/>
      <c r="S266" s="185"/>
      <c r="T266" s="218"/>
      <c r="U266" s="186"/>
      <c r="V266" s="239"/>
      <c r="W266" s="228">
        <f t="shared" si="49"/>
        <v>0</v>
      </c>
      <c r="X266" s="243"/>
      <c r="Y266" s="50"/>
      <c r="Z266" s="232" t="e">
        <f t="shared" si="50"/>
        <v>#DIV/0!</v>
      </c>
      <c r="AA266" s="248"/>
      <c r="AB266" s="204" t="s">
        <v>11</v>
      </c>
      <c r="AC266" s="248"/>
      <c r="AD266" s="248"/>
      <c r="AE266" s="251"/>
      <c r="AF266" s="248"/>
    </row>
    <row r="267" spans="1:32" s="21" customFormat="1" ht="43.5" customHeight="1">
      <c r="A267" s="185">
        <f t="shared" si="32"/>
        <v>265</v>
      </c>
      <c r="B267" s="247"/>
      <c r="C267" s="185"/>
      <c r="D267" s="185"/>
      <c r="E267" s="185"/>
      <c r="F267" s="218"/>
      <c r="G267" s="185"/>
      <c r="H267" s="185"/>
      <c r="I267" s="185"/>
      <c r="J267" s="185"/>
      <c r="K267" s="185"/>
      <c r="L267" s="186"/>
      <c r="M267" s="248"/>
      <c r="N267" s="187">
        <v>0</v>
      </c>
      <c r="O267" s="187">
        <f t="shared" si="48"/>
        <v>0</v>
      </c>
      <c r="P267" s="183"/>
      <c r="Q267" s="218"/>
      <c r="R267" s="191"/>
      <c r="S267" s="185"/>
      <c r="T267" s="218"/>
      <c r="U267" s="186"/>
      <c r="V267" s="239"/>
      <c r="W267" s="228">
        <f t="shared" si="49"/>
        <v>0</v>
      </c>
      <c r="X267" s="243"/>
      <c r="Y267" s="50"/>
      <c r="Z267" s="232" t="e">
        <f t="shared" si="50"/>
        <v>#DIV/0!</v>
      </c>
      <c r="AA267" s="248"/>
      <c r="AB267" s="204" t="s">
        <v>11</v>
      </c>
      <c r="AC267" s="248"/>
      <c r="AD267" s="248"/>
      <c r="AE267" s="251"/>
      <c r="AF267" s="248"/>
    </row>
    <row r="268" spans="1:32" s="21" customFormat="1" ht="43.5" customHeight="1" thickBot="1">
      <c r="A268" s="185">
        <f t="shared" si="32"/>
        <v>266</v>
      </c>
      <c r="B268" s="264"/>
      <c r="C268" s="265"/>
      <c r="D268" s="265"/>
      <c r="E268" s="265"/>
      <c r="F268" s="266"/>
      <c r="G268" s="265"/>
      <c r="H268" s="265"/>
      <c r="I268" s="265"/>
      <c r="J268" s="265"/>
      <c r="K268" s="265"/>
      <c r="L268" s="267"/>
      <c r="M268" s="268"/>
      <c r="N268" s="269">
        <v>0</v>
      </c>
      <c r="O268" s="269">
        <f t="shared" si="33"/>
        <v>0</v>
      </c>
      <c r="P268" s="270"/>
      <c r="Q268" s="266"/>
      <c r="R268" s="271"/>
      <c r="S268" s="265"/>
      <c r="T268" s="266"/>
      <c r="U268" s="267"/>
      <c r="V268" s="272"/>
      <c r="W268" s="225">
        <f t="shared" si="34"/>
        <v>0</v>
      </c>
      <c r="X268" s="49"/>
      <c r="Y268" s="50"/>
      <c r="Z268" s="232" t="e">
        <f t="shared" si="35"/>
        <v>#DIV/0!</v>
      </c>
      <c r="AA268" s="352"/>
      <c r="AB268" s="226" t="s">
        <v>11</v>
      </c>
      <c r="AC268" s="268"/>
      <c r="AD268" s="268"/>
      <c r="AE268" s="273"/>
      <c r="AF268" s="268"/>
    </row>
    <row r="269" spans="1:32" s="21" customFormat="1" ht="43.5" customHeight="1">
      <c r="A269" s="185">
        <f t="shared" si="32"/>
        <v>267</v>
      </c>
      <c r="B269" s="104"/>
      <c r="C269" s="105">
        <v>530</v>
      </c>
      <c r="D269" s="106">
        <v>2</v>
      </c>
      <c r="E269" s="105" t="s">
        <v>79</v>
      </c>
      <c r="F269" s="106"/>
      <c r="G269" s="106">
        <v>325</v>
      </c>
      <c r="H269" s="105" t="s">
        <v>205</v>
      </c>
      <c r="I269" s="106" t="s">
        <v>261</v>
      </c>
      <c r="J269" s="106" t="s">
        <v>258</v>
      </c>
      <c r="K269" s="106">
        <v>1</v>
      </c>
      <c r="L269" s="107" t="s">
        <v>76</v>
      </c>
      <c r="M269" s="108"/>
      <c r="N269" s="108">
        <v>2212.1999999999998</v>
      </c>
      <c r="O269" s="108">
        <f t="shared" si="33"/>
        <v>2212.1999999999998</v>
      </c>
      <c r="P269" s="310"/>
      <c r="Q269" s="108" t="s">
        <v>259</v>
      </c>
      <c r="R269" s="109">
        <v>45393</v>
      </c>
      <c r="S269" s="105" t="s">
        <v>260</v>
      </c>
      <c r="T269" s="106" t="s">
        <v>81</v>
      </c>
      <c r="U269" s="106"/>
      <c r="V269" s="110">
        <v>4000</v>
      </c>
      <c r="W269" s="110">
        <f t="shared" si="34"/>
        <v>4000</v>
      </c>
      <c r="X269" s="111"/>
      <c r="Y269" s="112">
        <v>1.28</v>
      </c>
      <c r="Z269" s="233">
        <f>W269/O269/ Y269</f>
        <v>1.412620920350782</v>
      </c>
      <c r="AA269" s="353"/>
      <c r="AB269" s="219" t="s">
        <v>34</v>
      </c>
      <c r="AC269" s="113" t="s">
        <v>512</v>
      </c>
      <c r="AD269" s="113"/>
      <c r="AE269" s="316"/>
      <c r="AF269" s="113"/>
    </row>
    <row r="270" spans="1:32" s="21" customFormat="1" ht="43.5" customHeight="1">
      <c r="A270" s="185">
        <f t="shared" si="32"/>
        <v>268</v>
      </c>
      <c r="B270" s="300"/>
      <c r="C270" s="184">
        <v>545</v>
      </c>
      <c r="D270" s="185">
        <v>1</v>
      </c>
      <c r="E270" s="184" t="s">
        <v>79</v>
      </c>
      <c r="F270" s="185" t="s">
        <v>262</v>
      </c>
      <c r="G270" s="185">
        <v>325</v>
      </c>
      <c r="H270" s="184" t="s">
        <v>116</v>
      </c>
      <c r="I270" s="185" t="s">
        <v>263</v>
      </c>
      <c r="J270" s="185" t="s">
        <v>264</v>
      </c>
      <c r="K270" s="185">
        <v>5</v>
      </c>
      <c r="L270" s="186" t="s">
        <v>76</v>
      </c>
      <c r="M270" s="187"/>
      <c r="N270" s="187">
        <v>10247</v>
      </c>
      <c r="O270" s="187">
        <v>0</v>
      </c>
      <c r="P270" s="249"/>
      <c r="Q270" s="187" t="s">
        <v>265</v>
      </c>
      <c r="R270" s="188">
        <v>45452</v>
      </c>
      <c r="S270" s="184" t="s">
        <v>266</v>
      </c>
      <c r="T270" s="185" t="s">
        <v>81</v>
      </c>
      <c r="U270" s="185"/>
      <c r="V270" s="189">
        <v>16000</v>
      </c>
      <c r="W270" s="189">
        <v>0</v>
      </c>
      <c r="X270" s="101"/>
      <c r="Y270" s="102">
        <v>1.28</v>
      </c>
      <c r="Z270" s="234" t="e">
        <f>W270/O270/ Y270</f>
        <v>#DIV/0!</v>
      </c>
      <c r="AA270" s="248"/>
      <c r="AB270" s="190" t="s">
        <v>468</v>
      </c>
      <c r="AC270" s="302"/>
      <c r="AD270" s="302"/>
      <c r="AE270" s="301"/>
      <c r="AF270" s="302"/>
    </row>
    <row r="271" spans="1:32" s="21" customFormat="1" ht="43.5" customHeight="1">
      <c r="A271" s="185">
        <f t="shared" si="32"/>
        <v>269</v>
      </c>
      <c r="B271" s="300" t="s">
        <v>628</v>
      </c>
      <c r="C271" s="184">
        <v>1394</v>
      </c>
      <c r="D271" s="185">
        <v>1</v>
      </c>
      <c r="E271" s="184" t="s">
        <v>79</v>
      </c>
      <c r="F271" s="247" t="s">
        <v>671</v>
      </c>
      <c r="G271" s="185">
        <v>341</v>
      </c>
      <c r="H271" s="184" t="s">
        <v>116</v>
      </c>
      <c r="I271" s="198">
        <v>2980192100000</v>
      </c>
      <c r="J271" s="185" t="s">
        <v>269</v>
      </c>
      <c r="K271" s="185">
        <v>1</v>
      </c>
      <c r="L271" s="186" t="s">
        <v>221</v>
      </c>
      <c r="M271" s="187"/>
      <c r="N271" s="187">
        <v>1300</v>
      </c>
      <c r="O271" s="187">
        <f t="shared" ref="O271:O280" si="66">N271*K271</f>
        <v>1300</v>
      </c>
      <c r="P271" s="249"/>
      <c r="Q271" s="187" t="s">
        <v>270</v>
      </c>
      <c r="R271" s="188">
        <v>45469</v>
      </c>
      <c r="S271" s="184" t="s">
        <v>271</v>
      </c>
      <c r="T271" s="185" t="s">
        <v>85</v>
      </c>
      <c r="U271" s="193"/>
      <c r="V271" s="187">
        <v>2500</v>
      </c>
      <c r="W271" s="249">
        <f>V271*K271</f>
        <v>2500</v>
      </c>
      <c r="X271" s="101"/>
      <c r="Y271" s="102">
        <v>1.28</v>
      </c>
      <c r="Z271" s="234">
        <f t="shared" ref="Z271:Z288" si="67">W271/O271/Y271</f>
        <v>1.5024038461538463</v>
      </c>
      <c r="AA271" s="248"/>
      <c r="AB271" s="204" t="s">
        <v>11</v>
      </c>
      <c r="AC271" s="302" t="s">
        <v>546</v>
      </c>
      <c r="AD271" s="302"/>
      <c r="AE271" s="301"/>
      <c r="AF271" s="302"/>
    </row>
    <row r="272" spans="1:32" s="21" customFormat="1" ht="43.5" customHeight="1">
      <c r="A272" s="185">
        <f t="shared" si="32"/>
        <v>270</v>
      </c>
      <c r="B272" s="274"/>
      <c r="C272" s="275">
        <v>895</v>
      </c>
      <c r="D272" s="276">
        <v>1</v>
      </c>
      <c r="E272" s="275" t="s">
        <v>79</v>
      </c>
      <c r="F272" s="277"/>
      <c r="G272" s="276">
        <v>341</v>
      </c>
      <c r="H272" s="275" t="s">
        <v>116</v>
      </c>
      <c r="I272" s="278" t="s">
        <v>276</v>
      </c>
      <c r="J272" s="276" t="s">
        <v>277</v>
      </c>
      <c r="K272" s="276">
        <v>1</v>
      </c>
      <c r="L272" s="276" t="s">
        <v>122</v>
      </c>
      <c r="M272" s="279"/>
      <c r="N272" s="279">
        <v>1500</v>
      </c>
      <c r="O272" s="279">
        <f t="shared" si="66"/>
        <v>1500</v>
      </c>
      <c r="P272" s="280"/>
      <c r="Q272" s="279" t="s">
        <v>278</v>
      </c>
      <c r="R272" s="281">
        <v>45473</v>
      </c>
      <c r="S272" s="275" t="s">
        <v>279</v>
      </c>
      <c r="T272" s="276" t="s">
        <v>81</v>
      </c>
      <c r="U272" s="276"/>
      <c r="V272" s="279">
        <v>2620</v>
      </c>
      <c r="W272" s="280">
        <f>V272*K272</f>
        <v>2620</v>
      </c>
      <c r="X272" s="101"/>
      <c r="Y272" s="102">
        <v>1.28</v>
      </c>
      <c r="Z272" s="234">
        <f t="shared" si="67"/>
        <v>1.3645833333333333</v>
      </c>
      <c r="AA272" s="354"/>
      <c r="AB272" s="282" t="s">
        <v>20</v>
      </c>
      <c r="AC272" s="283"/>
      <c r="AD272" s="284"/>
      <c r="AE272" s="285"/>
      <c r="AF272" s="283"/>
    </row>
    <row r="273" spans="1:32" s="21" customFormat="1" ht="43.5" customHeight="1">
      <c r="A273" s="185">
        <f t="shared" si="32"/>
        <v>271</v>
      </c>
      <c r="B273" s="300"/>
      <c r="C273" s="184">
        <v>895</v>
      </c>
      <c r="D273" s="185">
        <v>1</v>
      </c>
      <c r="E273" s="184" t="s">
        <v>79</v>
      </c>
      <c r="F273" s="191" t="s">
        <v>82</v>
      </c>
      <c r="G273" s="185">
        <v>341</v>
      </c>
      <c r="H273" s="184" t="s">
        <v>116</v>
      </c>
      <c r="I273" s="303" t="s">
        <v>276</v>
      </c>
      <c r="J273" s="304" t="s">
        <v>672</v>
      </c>
      <c r="K273" s="185">
        <v>1</v>
      </c>
      <c r="L273" s="185" t="s">
        <v>122</v>
      </c>
      <c r="M273" s="187"/>
      <c r="N273" s="187">
        <v>1500</v>
      </c>
      <c r="O273" s="187">
        <f t="shared" si="66"/>
        <v>1500</v>
      </c>
      <c r="P273" s="249"/>
      <c r="Q273" s="187" t="s">
        <v>278</v>
      </c>
      <c r="R273" s="188">
        <v>45473</v>
      </c>
      <c r="S273" s="184" t="s">
        <v>279</v>
      </c>
      <c r="T273" s="185" t="s">
        <v>81</v>
      </c>
      <c r="U273" s="185"/>
      <c r="V273" s="187">
        <v>2620</v>
      </c>
      <c r="W273" s="249">
        <v>0</v>
      </c>
      <c r="X273" s="101"/>
      <c r="Y273" s="102">
        <v>1.28</v>
      </c>
      <c r="Z273" s="234">
        <f t="shared" si="67"/>
        <v>0</v>
      </c>
      <c r="AA273" s="248"/>
      <c r="AB273" s="203" t="s">
        <v>17</v>
      </c>
      <c r="AC273" s="302" t="s">
        <v>643</v>
      </c>
      <c r="AD273" s="302"/>
      <c r="AE273" s="301"/>
      <c r="AF273" s="302"/>
    </row>
    <row r="274" spans="1:32" s="21" customFormat="1" ht="43.5" customHeight="1">
      <c r="A274" s="185">
        <f t="shared" si="32"/>
        <v>272</v>
      </c>
      <c r="B274" s="300" t="s">
        <v>637</v>
      </c>
      <c r="C274" s="184">
        <v>906</v>
      </c>
      <c r="D274" s="185">
        <v>3</v>
      </c>
      <c r="E274" s="184" t="s">
        <v>79</v>
      </c>
      <c r="F274" s="191" t="s">
        <v>644</v>
      </c>
      <c r="G274" s="185">
        <v>341</v>
      </c>
      <c r="H274" s="184" t="s">
        <v>116</v>
      </c>
      <c r="I274" s="193">
        <v>201138608</v>
      </c>
      <c r="J274" s="185" t="s">
        <v>282</v>
      </c>
      <c r="K274" s="185">
        <v>5</v>
      </c>
      <c r="L274" s="185" t="s">
        <v>76</v>
      </c>
      <c r="M274" s="187"/>
      <c r="N274" s="187">
        <v>457.12</v>
      </c>
      <c r="O274" s="187">
        <f t="shared" si="66"/>
        <v>2285.6</v>
      </c>
      <c r="P274" s="249"/>
      <c r="Q274" s="187" t="s">
        <v>280</v>
      </c>
      <c r="R274" s="188">
        <v>45481</v>
      </c>
      <c r="S274" s="184" t="s">
        <v>281</v>
      </c>
      <c r="T274" s="185" t="s">
        <v>96</v>
      </c>
      <c r="U274" s="185"/>
      <c r="V274" s="187">
        <v>750</v>
      </c>
      <c r="W274" s="249">
        <f t="shared" ref="W274:W288" si="68">V274*K274</f>
        <v>3750</v>
      </c>
      <c r="X274" s="101"/>
      <c r="Y274" s="102">
        <v>1.28</v>
      </c>
      <c r="Z274" s="234">
        <f t="shared" si="67"/>
        <v>1.2818023713685684</v>
      </c>
      <c r="AA274" s="248"/>
      <c r="AB274" s="196" t="s">
        <v>13</v>
      </c>
      <c r="AC274" s="348" t="s">
        <v>819</v>
      </c>
      <c r="AD274" s="305"/>
      <c r="AE274" s="218" t="s">
        <v>166</v>
      </c>
      <c r="AF274" s="305"/>
    </row>
    <row r="275" spans="1:32" s="21" customFormat="1" ht="43.5" customHeight="1">
      <c r="A275" s="185">
        <f t="shared" si="32"/>
        <v>273</v>
      </c>
      <c r="B275" s="274"/>
      <c r="C275" s="275">
        <v>970</v>
      </c>
      <c r="D275" s="276">
        <v>1</v>
      </c>
      <c r="E275" s="275" t="s">
        <v>79</v>
      </c>
      <c r="F275" s="277" t="s">
        <v>588</v>
      </c>
      <c r="G275" s="276">
        <v>341</v>
      </c>
      <c r="H275" s="275" t="s">
        <v>116</v>
      </c>
      <c r="I275" s="278" t="s">
        <v>283</v>
      </c>
      <c r="J275" s="276" t="s">
        <v>284</v>
      </c>
      <c r="K275" s="276">
        <v>1</v>
      </c>
      <c r="L275" s="276" t="s">
        <v>122</v>
      </c>
      <c r="M275" s="279"/>
      <c r="N275" s="286">
        <f>13373.32 + 4000</f>
        <v>17373.32</v>
      </c>
      <c r="O275" s="279">
        <f t="shared" si="66"/>
        <v>17373.32</v>
      </c>
      <c r="P275" s="280"/>
      <c r="Q275" s="279" t="s">
        <v>285</v>
      </c>
      <c r="R275" s="281">
        <v>45481</v>
      </c>
      <c r="S275" s="275" t="s">
        <v>286</v>
      </c>
      <c r="T275" s="276" t="s">
        <v>85</v>
      </c>
      <c r="U275" s="276"/>
      <c r="V275" s="279">
        <v>23100</v>
      </c>
      <c r="W275" s="280">
        <f t="shared" si="68"/>
        <v>23100</v>
      </c>
      <c r="X275" s="101"/>
      <c r="Y275" s="102">
        <v>1.28</v>
      </c>
      <c r="Z275" s="234">
        <f t="shared" si="67"/>
        <v>1.038769504044132</v>
      </c>
      <c r="AA275" s="354"/>
      <c r="AB275" s="287" t="s">
        <v>39</v>
      </c>
      <c r="AC275" s="283" t="s">
        <v>679</v>
      </c>
      <c r="AD275" s="284"/>
      <c r="AE275" s="285"/>
      <c r="AF275" s="283"/>
    </row>
    <row r="276" spans="1:32" s="21" customFormat="1" ht="43.5" customHeight="1">
      <c r="A276" s="185">
        <f t="shared" si="32"/>
        <v>274</v>
      </c>
      <c r="B276" s="247" t="s">
        <v>140</v>
      </c>
      <c r="C276" s="184">
        <v>994</v>
      </c>
      <c r="D276" s="185">
        <v>1</v>
      </c>
      <c r="E276" s="184" t="s">
        <v>79</v>
      </c>
      <c r="F276" s="191" t="s">
        <v>204</v>
      </c>
      <c r="G276" s="185">
        <v>348</v>
      </c>
      <c r="H276" s="184" t="s">
        <v>116</v>
      </c>
      <c r="I276" s="193" t="s">
        <v>287</v>
      </c>
      <c r="J276" s="185" t="s">
        <v>246</v>
      </c>
      <c r="K276" s="185">
        <v>500</v>
      </c>
      <c r="L276" s="185" t="s">
        <v>76</v>
      </c>
      <c r="M276" s="306">
        <v>737</v>
      </c>
      <c r="N276" s="187">
        <v>17.8</v>
      </c>
      <c r="O276" s="187">
        <f t="shared" si="66"/>
        <v>8900</v>
      </c>
      <c r="P276" s="249"/>
      <c r="Q276" s="187" t="s">
        <v>288</v>
      </c>
      <c r="R276" s="188">
        <v>45500</v>
      </c>
      <c r="S276" s="184" t="s">
        <v>289</v>
      </c>
      <c r="T276" s="185" t="s">
        <v>81</v>
      </c>
      <c r="U276" s="185"/>
      <c r="V276" s="239">
        <v>30</v>
      </c>
      <c r="W276" s="239">
        <f t="shared" si="68"/>
        <v>15000</v>
      </c>
      <c r="X276" s="101"/>
      <c r="Y276" s="102">
        <v>1.28</v>
      </c>
      <c r="Z276" s="234">
        <f t="shared" si="67"/>
        <v>1.3167134831460674</v>
      </c>
      <c r="AA276" s="248"/>
      <c r="AB276" s="196" t="s">
        <v>13</v>
      </c>
      <c r="AC276" s="305" t="s">
        <v>557</v>
      </c>
      <c r="AD276" s="305"/>
      <c r="AE276" s="301"/>
      <c r="AF276" s="305"/>
    </row>
    <row r="277" spans="1:32" s="4" customFormat="1" ht="43.5" customHeight="1">
      <c r="A277" s="185">
        <f t="shared" si="32"/>
        <v>275</v>
      </c>
      <c r="B277" s="307"/>
      <c r="C277" s="308"/>
      <c r="D277" s="185">
        <v>3</v>
      </c>
      <c r="E277" s="184" t="s">
        <v>79</v>
      </c>
      <c r="F277" s="191"/>
      <c r="G277" s="185">
        <v>348</v>
      </c>
      <c r="H277" s="184" t="s">
        <v>116</v>
      </c>
      <c r="I277" s="185">
        <v>2863</v>
      </c>
      <c r="J277" s="185" t="s">
        <v>277</v>
      </c>
      <c r="K277" s="185">
        <v>2</v>
      </c>
      <c r="L277" s="185" t="s">
        <v>76</v>
      </c>
      <c r="M277" s="187"/>
      <c r="N277" s="201">
        <v>1500</v>
      </c>
      <c r="O277" s="187">
        <f t="shared" si="66"/>
        <v>3000</v>
      </c>
      <c r="P277" s="249"/>
      <c r="Q277" s="187" t="s">
        <v>290</v>
      </c>
      <c r="R277" s="188">
        <v>45518</v>
      </c>
      <c r="S277" s="184" t="s">
        <v>291</v>
      </c>
      <c r="T277" s="185" t="s">
        <v>81</v>
      </c>
      <c r="U277" s="185"/>
      <c r="V277" s="187">
        <v>2410</v>
      </c>
      <c r="W277" s="249">
        <f t="shared" si="68"/>
        <v>4820</v>
      </c>
      <c r="X277" s="40"/>
      <c r="Y277" s="39">
        <v>1.28</v>
      </c>
      <c r="Z277" s="234">
        <f t="shared" si="67"/>
        <v>1.2552083333333333</v>
      </c>
      <c r="AA277" s="248"/>
      <c r="AB277" s="236" t="s">
        <v>34</v>
      </c>
      <c r="AC277" s="305"/>
      <c r="AD277" s="305"/>
      <c r="AE277" s="301"/>
      <c r="AF277" s="305"/>
    </row>
    <row r="278" spans="1:32" s="4" customFormat="1" ht="43.5" customHeight="1">
      <c r="A278" s="185">
        <f t="shared" si="32"/>
        <v>276</v>
      </c>
      <c r="B278" s="300"/>
      <c r="C278" s="184">
        <v>889</v>
      </c>
      <c r="D278" s="185">
        <v>1</v>
      </c>
      <c r="E278" s="184" t="s">
        <v>79</v>
      </c>
      <c r="F278" s="191" t="s">
        <v>138</v>
      </c>
      <c r="G278" s="185">
        <v>341</v>
      </c>
      <c r="H278" s="184" t="s">
        <v>116</v>
      </c>
      <c r="I278" s="193" t="s">
        <v>272</v>
      </c>
      <c r="J278" s="185" t="s">
        <v>252</v>
      </c>
      <c r="K278" s="185">
        <v>800</v>
      </c>
      <c r="L278" s="186" t="s">
        <v>76</v>
      </c>
      <c r="M278" s="187"/>
      <c r="N278" s="187">
        <v>4.7</v>
      </c>
      <c r="O278" s="187">
        <f t="shared" si="66"/>
        <v>3760</v>
      </c>
      <c r="P278" s="187" t="s">
        <v>273</v>
      </c>
      <c r="Q278" s="187" t="s">
        <v>273</v>
      </c>
      <c r="R278" s="188">
        <v>45473</v>
      </c>
      <c r="S278" s="184" t="s">
        <v>274</v>
      </c>
      <c r="T278" s="185" t="s">
        <v>81</v>
      </c>
      <c r="U278" s="185"/>
      <c r="V278" s="187">
        <v>9</v>
      </c>
      <c r="W278" s="249">
        <f t="shared" si="68"/>
        <v>7200</v>
      </c>
      <c r="X278" s="40"/>
      <c r="Y278" s="39">
        <v>1.28</v>
      </c>
      <c r="Z278" s="234">
        <f t="shared" si="67"/>
        <v>1.4960106382978724</v>
      </c>
      <c r="AA278" s="355" t="s">
        <v>275</v>
      </c>
      <c r="AB278" s="192" t="s">
        <v>631</v>
      </c>
      <c r="AC278" s="309" t="s">
        <v>645</v>
      </c>
      <c r="AD278" s="309"/>
      <c r="AE278" s="301"/>
      <c r="AF278" s="309"/>
    </row>
    <row r="279" spans="1:32" s="21" customFormat="1" ht="43.5" customHeight="1" thickBot="1">
      <c r="A279" s="185">
        <f t="shared" si="32"/>
        <v>277</v>
      </c>
      <c r="B279" s="213"/>
      <c r="C279" s="311">
        <v>889</v>
      </c>
      <c r="D279" s="312">
        <v>1</v>
      </c>
      <c r="E279" s="311" t="s">
        <v>79</v>
      </c>
      <c r="F279" s="320" t="s">
        <v>138</v>
      </c>
      <c r="G279" s="312">
        <v>341</v>
      </c>
      <c r="H279" s="311" t="s">
        <v>116</v>
      </c>
      <c r="I279" s="312" t="s">
        <v>272</v>
      </c>
      <c r="J279" s="312" t="s">
        <v>252</v>
      </c>
      <c r="K279" s="312">
        <v>800</v>
      </c>
      <c r="L279" s="312" t="s">
        <v>76</v>
      </c>
      <c r="M279" s="313"/>
      <c r="N279" s="321">
        <v>4.7</v>
      </c>
      <c r="O279" s="313">
        <f t="shared" si="66"/>
        <v>3760</v>
      </c>
      <c r="P279" s="314" t="s">
        <v>273</v>
      </c>
      <c r="Q279" s="313" t="s">
        <v>273</v>
      </c>
      <c r="R279" s="315">
        <v>45473</v>
      </c>
      <c r="S279" s="311" t="s">
        <v>274</v>
      </c>
      <c r="T279" s="312" t="s">
        <v>81</v>
      </c>
      <c r="U279" s="312"/>
      <c r="V279" s="313">
        <v>9</v>
      </c>
      <c r="W279" s="314">
        <f t="shared" si="68"/>
        <v>7200</v>
      </c>
      <c r="X279" s="149"/>
      <c r="Y279" s="150">
        <v>1.28</v>
      </c>
      <c r="Z279" s="235">
        <f t="shared" si="67"/>
        <v>1.4960106382978724</v>
      </c>
      <c r="AA279" s="356"/>
      <c r="AB279" s="317" t="s">
        <v>11</v>
      </c>
      <c r="AC279" s="318" t="s">
        <v>275</v>
      </c>
      <c r="AD279" s="318"/>
      <c r="AE279" s="319"/>
      <c r="AF279" s="318"/>
    </row>
    <row r="280" spans="1:32" s="21" customFormat="1" ht="43.5" customHeight="1">
      <c r="A280" s="185">
        <f t="shared" si="32"/>
        <v>278</v>
      </c>
      <c r="B280" s="212"/>
      <c r="C280" s="288">
        <v>807</v>
      </c>
      <c r="D280" s="289">
        <v>48</v>
      </c>
      <c r="E280" s="290" t="s">
        <v>224</v>
      </c>
      <c r="F280" s="290" t="s">
        <v>204</v>
      </c>
      <c r="G280" s="290">
        <v>337</v>
      </c>
      <c r="H280" s="290" t="s">
        <v>140</v>
      </c>
      <c r="I280" s="290" t="s">
        <v>229</v>
      </c>
      <c r="J280" s="290" t="s">
        <v>230</v>
      </c>
      <c r="K280" s="290">
        <v>2</v>
      </c>
      <c r="L280" s="291" t="s">
        <v>219</v>
      </c>
      <c r="M280" s="51"/>
      <c r="N280" s="23">
        <v>1024.9000000000001</v>
      </c>
      <c r="O280" s="23">
        <f t="shared" si="66"/>
        <v>2049.8000000000002</v>
      </c>
      <c r="P280" s="292"/>
      <c r="Q280" s="293" t="s">
        <v>225</v>
      </c>
      <c r="R280" s="294"/>
      <c r="S280" s="293"/>
      <c r="T280" s="293"/>
      <c r="U280" s="295"/>
      <c r="V280" s="296">
        <v>1800</v>
      </c>
      <c r="W280" s="297">
        <f t="shared" si="68"/>
        <v>3600</v>
      </c>
      <c r="X280" s="15"/>
      <c r="Y280" s="9">
        <v>1.28</v>
      </c>
      <c r="Z280" s="230">
        <f t="shared" si="67"/>
        <v>1.372085081471363</v>
      </c>
      <c r="AA280" s="357"/>
      <c r="AB280" s="220" t="s">
        <v>22</v>
      </c>
      <c r="AC280" s="298">
        <v>45777</v>
      </c>
      <c r="AD280" s="298"/>
      <c r="AE280" s="299"/>
      <c r="AF280" s="298"/>
    </row>
    <row r="281" spans="1:32" s="21" customFormat="1" ht="43.5" customHeight="1">
      <c r="A281" s="185">
        <f t="shared" si="32"/>
        <v>279</v>
      </c>
      <c r="B281" s="53" t="s">
        <v>490</v>
      </c>
      <c r="C281" s="6">
        <v>1080</v>
      </c>
      <c r="D281" s="6">
        <v>42</v>
      </c>
      <c r="E281" s="6" t="s">
        <v>209</v>
      </c>
      <c r="F281" s="20" t="s">
        <v>592</v>
      </c>
      <c r="G281" s="20">
        <v>357</v>
      </c>
      <c r="H281" s="20" t="s">
        <v>140</v>
      </c>
      <c r="I281" s="210" t="s">
        <v>244</v>
      </c>
      <c r="J281" s="20" t="s">
        <v>213</v>
      </c>
      <c r="K281" s="20">
        <v>45</v>
      </c>
      <c r="L281" s="7" t="s">
        <v>91</v>
      </c>
      <c r="M281" s="17"/>
      <c r="N281" s="22">
        <v>3</v>
      </c>
      <c r="O281" s="10">
        <v>4</v>
      </c>
      <c r="P281" s="138"/>
      <c r="Q281" s="141" t="s">
        <v>243</v>
      </c>
      <c r="R281" s="140"/>
      <c r="S281" s="139"/>
      <c r="T281" s="139"/>
      <c r="U281" s="7"/>
      <c r="V281" s="14">
        <v>13</v>
      </c>
      <c r="W281" s="12">
        <f t="shared" si="68"/>
        <v>585</v>
      </c>
      <c r="X281" s="12"/>
      <c r="Y281" s="9">
        <v>1.28</v>
      </c>
      <c r="Z281" s="230">
        <f t="shared" si="67"/>
        <v>114.2578125</v>
      </c>
      <c r="AA281" s="350"/>
      <c r="AB281" s="181" t="s">
        <v>39</v>
      </c>
      <c r="AC281" s="60"/>
      <c r="AD281" s="172"/>
      <c r="AE281" s="64"/>
      <c r="AF281" s="60"/>
    </row>
    <row r="282" spans="1:32" s="21" customFormat="1" ht="43.5" customHeight="1">
      <c r="A282" s="185">
        <f t="shared" si="32"/>
        <v>280</v>
      </c>
      <c r="B282" s="53"/>
      <c r="C282" s="8">
        <v>503</v>
      </c>
      <c r="D282" s="6">
        <v>6</v>
      </c>
      <c r="E282" s="6" t="s">
        <v>194</v>
      </c>
      <c r="F282" s="6" t="s">
        <v>215</v>
      </c>
      <c r="G282" s="6">
        <v>329</v>
      </c>
      <c r="H282" s="6" t="s">
        <v>140</v>
      </c>
      <c r="I282" s="6" t="s">
        <v>216</v>
      </c>
      <c r="J282" s="6" t="s">
        <v>217</v>
      </c>
      <c r="K282" s="6">
        <v>1</v>
      </c>
      <c r="L282" s="142" t="s">
        <v>125</v>
      </c>
      <c r="M282" s="11"/>
      <c r="N282" s="143">
        <v>18950</v>
      </c>
      <c r="O282" s="143">
        <f t="shared" ref="O282:O288" si="69">N282*K282</f>
        <v>18950</v>
      </c>
      <c r="P282" s="138"/>
      <c r="Q282" s="144">
        <v>55400</v>
      </c>
      <c r="R282" s="145">
        <v>45441</v>
      </c>
      <c r="S282" s="139"/>
      <c r="T282" s="6"/>
      <c r="U282" s="7"/>
      <c r="V282" s="16">
        <v>38000</v>
      </c>
      <c r="W282" s="15">
        <f t="shared" si="68"/>
        <v>38000</v>
      </c>
      <c r="X282" s="15"/>
      <c r="Y282" s="9">
        <v>1.23</v>
      </c>
      <c r="Z282" s="230">
        <f t="shared" si="67"/>
        <v>1.6303065405324237</v>
      </c>
      <c r="AA282" s="350"/>
      <c r="AB282" s="200" t="s">
        <v>25</v>
      </c>
      <c r="AC282" s="60"/>
      <c r="AD282" s="172"/>
      <c r="AE282" s="64"/>
      <c r="AF282" s="60"/>
    </row>
    <row r="283" spans="1:32" s="21" customFormat="1" ht="43.5" customHeight="1">
      <c r="A283" s="185">
        <f t="shared" si="32"/>
        <v>281</v>
      </c>
      <c r="B283" s="8"/>
      <c r="C283" s="8"/>
      <c r="D283" s="19">
        <v>39</v>
      </c>
      <c r="E283" s="6" t="s">
        <v>224</v>
      </c>
      <c r="F283" s="18" t="s">
        <v>777</v>
      </c>
      <c r="G283" s="6">
        <v>337</v>
      </c>
      <c r="H283" s="152" t="s">
        <v>140</v>
      </c>
      <c r="I283" s="152" t="s">
        <v>207</v>
      </c>
      <c r="J283" s="152" t="s">
        <v>228</v>
      </c>
      <c r="K283" s="152">
        <v>1</v>
      </c>
      <c r="L283" s="153" t="s">
        <v>219</v>
      </c>
      <c r="M283" s="17">
        <v>509</v>
      </c>
      <c r="N283" s="154">
        <v>561</v>
      </c>
      <c r="O283" s="154">
        <f t="shared" si="69"/>
        <v>561</v>
      </c>
      <c r="P283" s="155"/>
      <c r="Q283" s="152" t="s">
        <v>225</v>
      </c>
      <c r="R283" s="156"/>
      <c r="S283" s="6"/>
      <c r="T283" s="6"/>
      <c r="U283" s="7"/>
      <c r="V283" s="221">
        <v>500</v>
      </c>
      <c r="W283" s="15">
        <f t="shared" si="68"/>
        <v>500</v>
      </c>
      <c r="X283" s="15"/>
      <c r="Y283" s="9">
        <v>1.28</v>
      </c>
      <c r="Z283" s="230">
        <f t="shared" si="67"/>
        <v>0.696301247771836</v>
      </c>
      <c r="AA283" s="350"/>
      <c r="AB283" s="204" t="s">
        <v>11</v>
      </c>
      <c r="AC283" s="60" t="s">
        <v>778</v>
      </c>
      <c r="AD283" s="172"/>
      <c r="AE283" s="64"/>
      <c r="AF283" s="60"/>
    </row>
    <row r="284" spans="1:32" s="21" customFormat="1" ht="43.5" customHeight="1">
      <c r="A284" s="185">
        <f t="shared" si="32"/>
        <v>282</v>
      </c>
      <c r="B284" s="53"/>
      <c r="C284" s="115"/>
      <c r="D284" s="52">
        <v>12</v>
      </c>
      <c r="E284" s="52" t="s">
        <v>224</v>
      </c>
      <c r="F284" s="52" t="s">
        <v>776</v>
      </c>
      <c r="G284" s="52">
        <v>337</v>
      </c>
      <c r="H284" s="52" t="s">
        <v>140</v>
      </c>
      <c r="I284" s="52" t="s">
        <v>227</v>
      </c>
      <c r="J284" s="52" t="s">
        <v>228</v>
      </c>
      <c r="K284" s="52">
        <v>1</v>
      </c>
      <c r="L284" s="54" t="s">
        <v>219</v>
      </c>
      <c r="M284" s="53" t="s">
        <v>779</v>
      </c>
      <c r="N284" s="55">
        <v>850</v>
      </c>
      <c r="O284" s="154">
        <f t="shared" si="69"/>
        <v>850</v>
      </c>
      <c r="P284" s="136" t="s">
        <v>225</v>
      </c>
      <c r="Q284" s="135"/>
      <c r="R284" s="137"/>
      <c r="S284" s="134"/>
      <c r="T284" s="135"/>
      <c r="U284" s="54"/>
      <c r="V284" s="215">
        <v>1050</v>
      </c>
      <c r="W284" s="15">
        <f t="shared" si="68"/>
        <v>1050</v>
      </c>
      <c r="X284" s="62"/>
      <c r="Y284" s="63">
        <v>1.28</v>
      </c>
      <c r="Z284" s="230">
        <f t="shared" si="67"/>
        <v>0.96507352941176472</v>
      </c>
      <c r="AA284" s="350"/>
      <c r="AB284" s="204" t="s">
        <v>11</v>
      </c>
      <c r="AC284" s="60" t="s">
        <v>780</v>
      </c>
      <c r="AD284" s="172"/>
      <c r="AE284" s="64"/>
      <c r="AF284" s="60"/>
    </row>
    <row r="285" spans="1:32" s="21" customFormat="1" ht="43.5" customHeight="1">
      <c r="A285" s="185">
        <f t="shared" si="32"/>
        <v>283</v>
      </c>
      <c r="B285" s="53"/>
      <c r="C285" s="52"/>
      <c r="D285" s="52"/>
      <c r="E285" s="52"/>
      <c r="F285" s="52"/>
      <c r="G285" s="52"/>
      <c r="H285" s="52"/>
      <c r="I285" s="52"/>
      <c r="J285" s="52"/>
      <c r="K285" s="52"/>
      <c r="L285" s="54"/>
      <c r="M285" s="60"/>
      <c r="N285" s="55">
        <v>0</v>
      </c>
      <c r="O285" s="55">
        <f t="shared" si="69"/>
        <v>0</v>
      </c>
      <c r="P285" s="136"/>
      <c r="Q285" s="135"/>
      <c r="R285" s="137"/>
      <c r="S285" s="134"/>
      <c r="T285" s="135"/>
      <c r="U285" s="54"/>
      <c r="V285" s="99"/>
      <c r="W285" s="15">
        <f t="shared" si="68"/>
        <v>0</v>
      </c>
      <c r="X285" s="62"/>
      <c r="Y285" s="63"/>
      <c r="Z285" s="229" t="e">
        <f t="shared" si="67"/>
        <v>#DIV/0!</v>
      </c>
      <c r="AA285" s="350"/>
      <c r="AB285" s="204" t="s">
        <v>11</v>
      </c>
      <c r="AC285" s="60"/>
      <c r="AD285" s="172"/>
      <c r="AE285" s="64"/>
      <c r="AF285" s="60"/>
    </row>
    <row r="286" spans="1:32" s="21" customFormat="1" ht="43.5" customHeight="1">
      <c r="A286" s="185">
        <f t="shared" si="32"/>
        <v>284</v>
      </c>
      <c r="B286" s="53"/>
      <c r="C286" s="52"/>
      <c r="D286" s="52"/>
      <c r="E286" s="52"/>
      <c r="F286" s="52"/>
      <c r="G286" s="52"/>
      <c r="H286" s="52"/>
      <c r="I286" s="52"/>
      <c r="J286" s="52"/>
      <c r="K286" s="52"/>
      <c r="L286" s="54"/>
      <c r="M286" s="60"/>
      <c r="N286" s="55">
        <v>0</v>
      </c>
      <c r="O286" s="55">
        <f t="shared" si="69"/>
        <v>0</v>
      </c>
      <c r="P286" s="56"/>
      <c r="Q286" s="59"/>
      <c r="R286" s="58"/>
      <c r="S286" s="52"/>
      <c r="T286" s="59"/>
      <c r="U286" s="54"/>
      <c r="V286" s="99"/>
      <c r="W286" s="15">
        <f t="shared" si="68"/>
        <v>0</v>
      </c>
      <c r="X286" s="62"/>
      <c r="Y286" s="63"/>
      <c r="Z286" s="229" t="e">
        <f t="shared" si="67"/>
        <v>#DIV/0!</v>
      </c>
      <c r="AA286" s="350"/>
      <c r="AB286" s="204" t="s">
        <v>11</v>
      </c>
      <c r="AC286" s="60"/>
      <c r="AD286" s="172"/>
      <c r="AE286" s="64"/>
      <c r="AF286" s="60"/>
    </row>
    <row r="287" spans="1:32" s="21" customFormat="1" ht="43.5" customHeight="1">
      <c r="A287" s="185">
        <f t="shared" si="32"/>
        <v>285</v>
      </c>
      <c r="B287" s="53"/>
      <c r="C287" s="52"/>
      <c r="D287" s="52"/>
      <c r="E287" s="52"/>
      <c r="F287" s="52"/>
      <c r="G287" s="52"/>
      <c r="H287" s="52"/>
      <c r="I287" s="52"/>
      <c r="J287" s="52"/>
      <c r="K287" s="52"/>
      <c r="L287" s="54"/>
      <c r="M287" s="60"/>
      <c r="N287" s="55">
        <v>0</v>
      </c>
      <c r="O287" s="55">
        <f t="shared" si="69"/>
        <v>0</v>
      </c>
      <c r="P287" s="56"/>
      <c r="Q287" s="59"/>
      <c r="R287" s="58"/>
      <c r="S287" s="52"/>
      <c r="T287" s="59"/>
      <c r="U287" s="54"/>
      <c r="V287" s="99"/>
      <c r="W287" s="15">
        <f t="shared" si="68"/>
        <v>0</v>
      </c>
      <c r="X287" s="62"/>
      <c r="Y287" s="63"/>
      <c r="Z287" s="229" t="e">
        <f t="shared" si="67"/>
        <v>#DIV/0!</v>
      </c>
      <c r="AA287" s="350"/>
      <c r="AB287" s="204" t="s">
        <v>11</v>
      </c>
      <c r="AC287" s="60"/>
      <c r="AD287" s="172"/>
      <c r="AE287" s="64"/>
      <c r="AF287" s="60"/>
    </row>
    <row r="288" spans="1:32" s="21" customFormat="1" ht="43.5" customHeight="1">
      <c r="A288" s="185">
        <f t="shared" si="32"/>
        <v>286</v>
      </c>
      <c r="B288" s="53"/>
      <c r="C288" s="52"/>
      <c r="D288" s="52"/>
      <c r="E288" s="52"/>
      <c r="F288" s="52"/>
      <c r="G288" s="52"/>
      <c r="H288" s="52"/>
      <c r="I288" s="52"/>
      <c r="J288" s="52"/>
      <c r="K288" s="52"/>
      <c r="L288" s="54"/>
      <c r="M288" s="60"/>
      <c r="N288" s="55">
        <v>0</v>
      </c>
      <c r="O288" s="55">
        <f t="shared" si="69"/>
        <v>0</v>
      </c>
      <c r="P288" s="56"/>
      <c r="Q288" s="59"/>
      <c r="R288" s="58"/>
      <c r="S288" s="52"/>
      <c r="T288" s="59"/>
      <c r="U288" s="54"/>
      <c r="V288" s="99"/>
      <c r="W288" s="15">
        <f t="shared" si="68"/>
        <v>0</v>
      </c>
      <c r="X288" s="62"/>
      <c r="Y288" s="63"/>
      <c r="Z288" s="229" t="e">
        <f t="shared" si="67"/>
        <v>#DIV/0!</v>
      </c>
      <c r="AA288" s="350"/>
      <c r="AB288" s="226" t="s">
        <v>11</v>
      </c>
      <c r="AC288" s="60"/>
      <c r="AD288" s="172"/>
      <c r="AE288" s="64"/>
      <c r="AF288" s="60"/>
    </row>
    <row r="289" spans="1:32" s="222" customFormat="1" ht="21">
      <c r="A289" s="5"/>
      <c r="B289" s="98"/>
      <c r="C289" s="5"/>
      <c r="D289" s="5"/>
      <c r="E289" s="5"/>
      <c r="F289" s="5"/>
      <c r="G289" s="5"/>
      <c r="H289" s="5"/>
      <c r="I289" s="13"/>
      <c r="J289" s="5"/>
      <c r="K289" s="5"/>
      <c r="L289" s="5"/>
      <c r="M289" s="5"/>
      <c r="N289" s="223">
        <f>SUBTOTAL(9, N3:N288)</f>
        <v>765259.25429999991</v>
      </c>
      <c r="O289" s="223">
        <f>SUBTOTAL(9, O3:O288)</f>
        <v>1489654.9790000001</v>
      </c>
      <c r="P289" s="5"/>
      <c r="Q289" s="5"/>
      <c r="R289" s="94"/>
      <c r="S289" s="5"/>
      <c r="T289" s="5"/>
      <c r="U289" s="5"/>
      <c r="V289" s="224">
        <f>SUBTOTAL(9, V3:V288)</f>
        <v>1298967.4500000002</v>
      </c>
      <c r="W289" s="168" t="e">
        <f>SUBTOTAL(9, W3:W288)</f>
        <v>#VALUE!</v>
      </c>
      <c r="X289" s="97"/>
      <c r="Y289" s="5"/>
      <c r="Z289" s="5"/>
      <c r="AA289" s="358"/>
      <c r="AB289" s="322"/>
      <c r="AC289" s="94"/>
      <c r="AD289" s="94"/>
      <c r="AE289" s="167"/>
      <c r="AF289" s="94"/>
    </row>
    <row r="293" spans="1:32">
      <c r="Q293" s="5" t="s">
        <v>202</v>
      </c>
    </row>
    <row r="297" spans="1:32" ht="21">
      <c r="J297" s="359" t="s">
        <v>797</v>
      </c>
      <c r="K297" s="360" t="s">
        <v>798</v>
      </c>
      <c r="L297" s="361" t="s">
        <v>3</v>
      </c>
      <c r="M297" s="362" t="s">
        <v>250</v>
      </c>
      <c r="N297" s="362" t="s">
        <v>837</v>
      </c>
      <c r="O297" s="362" t="s">
        <v>838</v>
      </c>
      <c r="P297" s="362" t="s">
        <v>839</v>
      </c>
      <c r="Q297" s="362" t="s">
        <v>800</v>
      </c>
      <c r="R297" s="363" t="s">
        <v>840</v>
      </c>
      <c r="S297" s="362" t="s">
        <v>801</v>
      </c>
      <c r="T297" s="362" t="s">
        <v>841</v>
      </c>
      <c r="U297" s="363" t="s">
        <v>842</v>
      </c>
      <c r="V297" s="360" t="s">
        <v>843</v>
      </c>
      <c r="W297" s="362" t="s">
        <v>844</v>
      </c>
      <c r="X297" s="363" t="s">
        <v>845</v>
      </c>
    </row>
    <row r="298" spans="1:32" ht="21">
      <c r="J298" s="364">
        <v>17</v>
      </c>
      <c r="K298" s="363" t="s">
        <v>866</v>
      </c>
      <c r="L298" s="365" t="s">
        <v>867</v>
      </c>
      <c r="M298" s="366">
        <v>1</v>
      </c>
      <c r="N298" s="367" t="s">
        <v>848</v>
      </c>
      <c r="O298" s="368"/>
      <c r="P298" s="362" t="s">
        <v>91</v>
      </c>
      <c r="Q298" s="376">
        <v>415</v>
      </c>
      <c r="R298" s="368"/>
      <c r="S298" s="376">
        <v>415</v>
      </c>
      <c r="T298" s="367" t="s">
        <v>166</v>
      </c>
      <c r="U298" s="368"/>
      <c r="V298" s="368"/>
      <c r="W298" s="368"/>
      <c r="X298" s="368"/>
    </row>
    <row r="299" spans="1:32" ht="21">
      <c r="J299" s="369">
        <v>18</v>
      </c>
      <c r="K299" s="370" t="s">
        <v>868</v>
      </c>
      <c r="L299" s="371" t="s">
        <v>869</v>
      </c>
      <c r="M299" s="372">
        <v>1</v>
      </c>
      <c r="N299" s="373" t="s">
        <v>848</v>
      </c>
      <c r="O299" s="373" t="s">
        <v>142</v>
      </c>
      <c r="P299" s="374" t="s">
        <v>849</v>
      </c>
      <c r="Q299" s="377">
        <v>5600</v>
      </c>
      <c r="R299" s="375"/>
      <c r="S299" s="377">
        <v>5600</v>
      </c>
      <c r="T299" s="373" t="s">
        <v>166</v>
      </c>
      <c r="U299" s="375"/>
      <c r="V299" s="375"/>
      <c r="W299" s="371" t="s">
        <v>870</v>
      </c>
      <c r="X299" s="375"/>
    </row>
    <row r="300" spans="1:32">
      <c r="J300" s="740"/>
      <c r="K300" s="741"/>
      <c r="L300" s="741"/>
      <c r="M300" s="741"/>
      <c r="N300" s="741"/>
      <c r="O300" s="741"/>
      <c r="P300" s="741"/>
      <c r="Q300" s="741"/>
      <c r="R300" s="741"/>
      <c r="S300" s="741"/>
      <c r="T300" s="741"/>
      <c r="U300" s="741"/>
      <c r="V300" s="741"/>
      <c r="W300" s="741"/>
      <c r="X300" s="742"/>
    </row>
    <row r="306" spans="11:17">
      <c r="K306" s="735"/>
      <c r="L306" s="736"/>
      <c r="M306" s="736"/>
      <c r="N306" s="736"/>
      <c r="O306" s="736"/>
      <c r="P306" s="736"/>
      <c r="Q306" s="737"/>
    </row>
    <row r="307" spans="11:17">
      <c r="K307" s="329" t="s">
        <v>797</v>
      </c>
      <c r="L307" s="329" t="s">
        <v>798</v>
      </c>
      <c r="M307" s="329" t="s">
        <v>3</v>
      </c>
      <c r="N307" s="329" t="s">
        <v>250</v>
      </c>
      <c r="O307" s="329" t="s">
        <v>799</v>
      </c>
      <c r="P307" s="329" t="s">
        <v>800</v>
      </c>
      <c r="Q307" s="329" t="s">
        <v>801</v>
      </c>
    </row>
    <row r="308" spans="11:17" ht="22.5">
      <c r="K308" s="330">
        <v>1</v>
      </c>
      <c r="L308" s="331" t="s">
        <v>889</v>
      </c>
      <c r="M308" s="331" t="s">
        <v>890</v>
      </c>
      <c r="N308" s="330">
        <v>1</v>
      </c>
      <c r="O308" s="378" t="s">
        <v>891</v>
      </c>
      <c r="P308" s="333">
        <v>620</v>
      </c>
      <c r="Q308" s="334">
        <v>620</v>
      </c>
    </row>
    <row r="309" spans="11:17" ht="22.5">
      <c r="K309" s="330">
        <v>2</v>
      </c>
      <c r="L309" s="331" t="s">
        <v>892</v>
      </c>
      <c r="M309" s="331" t="s">
        <v>893</v>
      </c>
      <c r="N309" s="330">
        <v>1</v>
      </c>
      <c r="O309" s="378" t="s">
        <v>891</v>
      </c>
      <c r="P309" s="379">
        <v>1200</v>
      </c>
      <c r="Q309" s="336">
        <v>1200</v>
      </c>
    </row>
    <row r="310" spans="11:17" ht="22.5">
      <c r="K310" s="330">
        <v>3</v>
      </c>
      <c r="L310" s="331" t="s">
        <v>894</v>
      </c>
      <c r="M310" s="331" t="s">
        <v>252</v>
      </c>
      <c r="N310" s="330">
        <v>50</v>
      </c>
      <c r="O310" s="380" t="s">
        <v>895</v>
      </c>
      <c r="P310" s="333">
        <v>297</v>
      </c>
      <c r="Q310" s="336">
        <v>14850</v>
      </c>
    </row>
    <row r="311" spans="11:17" ht="22.5">
      <c r="K311" s="330">
        <v>4</v>
      </c>
      <c r="L311" s="331" t="s">
        <v>896</v>
      </c>
      <c r="M311" s="331" t="s">
        <v>897</v>
      </c>
      <c r="N311" s="330">
        <v>300</v>
      </c>
      <c r="O311" s="332" t="s">
        <v>898</v>
      </c>
      <c r="P311" s="333">
        <v>4.5</v>
      </c>
      <c r="Q311" s="336">
        <v>1350</v>
      </c>
    </row>
    <row r="312" spans="11:17" ht="22.5">
      <c r="K312" s="330">
        <v>5</v>
      </c>
      <c r="L312" s="331" t="s">
        <v>899</v>
      </c>
      <c r="M312" s="331" t="s">
        <v>222</v>
      </c>
      <c r="N312" s="330">
        <v>4</v>
      </c>
      <c r="O312" s="335" t="s">
        <v>900</v>
      </c>
      <c r="P312" s="379">
        <v>1415</v>
      </c>
      <c r="Q312" s="336">
        <v>5660</v>
      </c>
    </row>
    <row r="313" spans="11:17" ht="45">
      <c r="K313" s="330">
        <v>6</v>
      </c>
      <c r="L313" s="331" t="s">
        <v>901</v>
      </c>
      <c r="M313" s="335" t="s">
        <v>902</v>
      </c>
      <c r="N313" s="330">
        <v>1</v>
      </c>
      <c r="O313" s="332" t="s">
        <v>898</v>
      </c>
      <c r="P313" s="379">
        <v>1455</v>
      </c>
      <c r="Q313" s="336">
        <v>1455</v>
      </c>
    </row>
    <row r="314" spans="11:17" ht="22.5">
      <c r="K314" s="330">
        <v>7</v>
      </c>
      <c r="L314" s="331" t="s">
        <v>903</v>
      </c>
      <c r="M314" s="331" t="s">
        <v>135</v>
      </c>
      <c r="N314" s="330">
        <v>2</v>
      </c>
      <c r="O314" s="335" t="s">
        <v>900</v>
      </c>
      <c r="P314" s="333">
        <v>285</v>
      </c>
      <c r="Q314" s="334">
        <v>570</v>
      </c>
    </row>
    <row r="315" spans="11:17" ht="22.5">
      <c r="K315" s="330">
        <v>8</v>
      </c>
      <c r="L315" s="330">
        <v>1015597</v>
      </c>
      <c r="M315" s="331" t="s">
        <v>904</v>
      </c>
      <c r="N315" s="330">
        <v>21</v>
      </c>
      <c r="O315" s="335" t="s">
        <v>805</v>
      </c>
      <c r="P315" s="333">
        <v>155</v>
      </c>
      <c r="Q315" s="336">
        <v>3255</v>
      </c>
    </row>
  </sheetData>
  <autoFilter ref="A1:AE288" xr:uid="{7A83242C-7221-461E-A704-B2C579520AFA}">
    <filterColumn colId="13" showButton="0"/>
    <filterColumn colId="21" showButton="0"/>
  </autoFilter>
  <mergeCells count="31">
    <mergeCell ref="AF1:AF2"/>
    <mergeCell ref="AE1:AE2"/>
    <mergeCell ref="T1:T2"/>
    <mergeCell ref="M1:M2"/>
    <mergeCell ref="U1:U2"/>
    <mergeCell ref="V1:W1"/>
    <mergeCell ref="Y1:Y2"/>
    <mergeCell ref="Z1:Z2"/>
    <mergeCell ref="AB1:AB2"/>
    <mergeCell ref="AC1:AC2"/>
    <mergeCell ref="X1:X2"/>
    <mergeCell ref="AA1:AA2"/>
    <mergeCell ref="N1:O1"/>
    <mergeCell ref="P1:P2"/>
    <mergeCell ref="Q1:Q2"/>
    <mergeCell ref="R1:R2"/>
    <mergeCell ref="K306:Q306"/>
    <mergeCell ref="G1:G2"/>
    <mergeCell ref="A1:A2"/>
    <mergeCell ref="C1:C2"/>
    <mergeCell ref="D1:D2"/>
    <mergeCell ref="E1:E2"/>
    <mergeCell ref="F1:F2"/>
    <mergeCell ref="B1:B2"/>
    <mergeCell ref="J300:X300"/>
    <mergeCell ref="S1:S2"/>
    <mergeCell ref="H1:H2"/>
    <mergeCell ref="I1:I2"/>
    <mergeCell ref="J1:J2"/>
    <mergeCell ref="K1:K2"/>
    <mergeCell ref="L1:L2"/>
  </mergeCells>
  <phoneticPr fontId="3" type="noConversion"/>
  <conditionalFormatting sqref="A1:A1048576">
    <cfRule type="duplicateValues" dxfId="74" priority="29"/>
  </conditionalFormatting>
  <conditionalFormatting sqref="B1:B92 B94:B282 B284:B1048576">
    <cfRule type="containsText" dxfId="73" priority="51" operator="containsText" text="Olivia">
      <formula>NOT(ISERROR(SEARCH("Olivia",B1)))</formula>
    </cfRule>
    <cfRule type="cellIs" dxfId="72" priority="52" operator="equal">
      <formula>$B$87</formula>
    </cfRule>
  </conditionalFormatting>
  <conditionalFormatting sqref="B94:B282 B1:B92 B284:B1048576">
    <cfRule type="cellIs" dxfId="71" priority="50" operator="equal">
      <formula>$B$119</formula>
    </cfRule>
  </conditionalFormatting>
  <conditionalFormatting sqref="B198">
    <cfRule type="containsText" dxfId="70" priority="12" operator="containsText" text="Heico">
      <formula>NOT(ISERROR(SEARCH("Heico",B198)))</formula>
    </cfRule>
    <cfRule type="containsText" dxfId="69" priority="13" operator="containsText" text="DASI">
      <formula>NOT(ISERROR(SEARCH("DASI",B198)))</formula>
    </cfRule>
    <cfRule type="containsText" dxfId="68" priority="14" operator="containsText" text="satair">
      <formula>NOT(ISERROR(SEARCH("satair",B198)))</formula>
    </cfRule>
    <cfRule type="containsText" dxfId="67" priority="15" operator="containsText" text="Heico">
      <formula>NOT(ISERROR(SEARCH("Heico",B198)))</formula>
    </cfRule>
    <cfRule type="containsText" dxfId="66" priority="16" operator="containsText" text="DASI">
      <formula>NOT(ISERROR(SEARCH("DASI",B198)))</formula>
    </cfRule>
    <cfRule type="containsText" dxfId="65" priority="17" operator="containsText" text="Wencor">
      <formula>NOT(ISERROR(SEARCH("Wencor",B198)))</formula>
    </cfRule>
    <cfRule type="containsText" dxfId="64" priority="18" operator="containsText" text="Boeing">
      <formula>NOT(ISERROR(SEARCH("Boeing",B198)))</formula>
    </cfRule>
  </conditionalFormatting>
  <conditionalFormatting sqref="B159:C164 B165:E165 B166:F191 B192:E192 B193:F201 E159:F164 AC165:AD165">
    <cfRule type="containsText" dxfId="63" priority="30" operator="containsText" text="TruServ">
      <formula>NOT(ISERROR(SEARCH("TruServ",B159)))</formula>
    </cfRule>
  </conditionalFormatting>
  <conditionalFormatting sqref="B1:F92 B94:F130 B131:E131 B132:F157 B158:E158 B284:F1048576 C93:F93 I158">
    <cfRule type="containsText" dxfId="62" priority="56" operator="containsText" text="TruServ">
      <formula>NOT(ISERROR(SEARCH("TruServ",B1)))</formula>
    </cfRule>
  </conditionalFormatting>
  <conditionalFormatting sqref="B114:F130">
    <cfRule type="containsText" dxfId="61" priority="108" operator="containsText" text="TruServ">
      <formula>NOT(ISERROR(SEARCH("TruServ",B114)))</formula>
    </cfRule>
  </conditionalFormatting>
  <conditionalFormatting sqref="B202:F282">
    <cfRule type="containsText" dxfId="60" priority="35" operator="containsText" text="TruServ">
      <formula>NOT(ISERROR(SEARCH("TruServ",B202)))</formula>
    </cfRule>
  </conditionalFormatting>
  <conditionalFormatting sqref="C1:C1048576">
    <cfRule type="duplicateValues" dxfId="59" priority="19"/>
  </conditionalFormatting>
  <conditionalFormatting sqref="F1:F112 F114:F130 F132:F157 I158 F159:F164 AC165:AD165 F166:F191 F193:F277 F279:F282 F284:F1048576">
    <cfRule type="containsText" dxfId="58" priority="83" operator="containsText" text="Heico">
      <formula>NOT(ISERROR(SEARCH("Heico",F1)))</formula>
    </cfRule>
    <cfRule type="containsText" dxfId="57" priority="84" operator="containsText" text="DASI">
      <formula>NOT(ISERROR(SEARCH("DASI",F1)))</formula>
    </cfRule>
    <cfRule type="containsText" dxfId="56" priority="149" operator="containsText" text="Boeing">
      <formula>NOT(ISERROR(SEARCH("Boeing",F1)))</formula>
    </cfRule>
  </conditionalFormatting>
  <conditionalFormatting sqref="F1:F130">
    <cfRule type="containsText" dxfId="55" priority="45" operator="containsText" text="Heico">
      <formula>NOT(ISERROR(SEARCH("Heico",F1)))</formula>
    </cfRule>
    <cfRule type="containsText" dxfId="54" priority="46" operator="containsText" text="DASI">
      <formula>NOT(ISERROR(SEARCH("DASI",F1)))</formula>
    </cfRule>
  </conditionalFormatting>
  <conditionalFormatting sqref="F113">
    <cfRule type="containsText" dxfId="53" priority="40" operator="containsText" text="satair">
      <formula>NOT(ISERROR(SEARCH("satair",F113)))</formula>
    </cfRule>
    <cfRule type="containsText" dxfId="52" priority="41" operator="containsText" text="Heico">
      <formula>NOT(ISERROR(SEARCH("Heico",F113)))</formula>
    </cfRule>
    <cfRule type="containsText" dxfId="51" priority="42" operator="containsText" text="DASI">
      <formula>NOT(ISERROR(SEARCH("DASI",F113)))</formula>
    </cfRule>
    <cfRule type="containsText" dxfId="50" priority="48" operator="containsText" text="Wencor">
      <formula>NOT(ISERROR(SEARCH("Wencor",F113)))</formula>
    </cfRule>
    <cfRule type="containsText" dxfId="49" priority="49" operator="containsText" text="Boeing">
      <formula>NOT(ISERROR(SEARCH("Boeing",F113)))</formula>
    </cfRule>
  </conditionalFormatting>
  <conditionalFormatting sqref="F113:F130">
    <cfRule type="containsText" dxfId="48" priority="44" operator="containsText" text="satair">
      <formula>NOT(ISERROR(SEARCH("satair",F113)))</formula>
    </cfRule>
  </conditionalFormatting>
  <conditionalFormatting sqref="F114:F130 F1:F112 F132:F157 I158 F159:F164 AC165:AD165 F166:F191 F193:F277 F279:F282 F284:F1048576">
    <cfRule type="containsText" dxfId="47" priority="143" operator="containsText" text="Wencor">
      <formula>NOT(ISERROR(SEARCH("Wencor",F1)))</formula>
    </cfRule>
  </conditionalFormatting>
  <conditionalFormatting sqref="F131">
    <cfRule type="containsText" dxfId="46" priority="55" operator="containsText" text="DASI">
      <formula>NOT(ISERROR(SEARCH("DASI",F131)))</formula>
    </cfRule>
  </conditionalFormatting>
  <conditionalFormatting sqref="F132:F157 I158 F159:F164 AC165:AD165 F166:F191 F193:F277 F279:F282 F284:F1048576">
    <cfRule type="containsText" dxfId="45" priority="66" operator="containsText" text="DASI">
      <formula>NOT(ISERROR(SEARCH("DASI",F132)))</formula>
    </cfRule>
  </conditionalFormatting>
  <conditionalFormatting sqref="F164">
    <cfRule type="containsText" dxfId="44" priority="31" operator="containsText" text="TruServ">
      <formula>NOT(ISERROR(SEARCH("TruServ",F164)))</formula>
    </cfRule>
  </conditionalFormatting>
  <conditionalFormatting sqref="F193:F277 F132:F157 I158 F159:F164 AC165:AD165 F166:F191 F279:F282 F1:F112 F114:F130">
    <cfRule type="containsText" dxfId="43" priority="82" operator="containsText" text="satair">
      <formula>NOT(ISERROR(SEARCH("satair",F1)))</formula>
    </cfRule>
  </conditionalFormatting>
  <conditionalFormatting sqref="F277">
    <cfRule type="containsText" dxfId="42" priority="69" operator="containsText" text="Wencor">
      <formula>NOT(ISERROR(SEARCH("Wencor",F277)))</formula>
    </cfRule>
    <cfRule type="containsText" dxfId="41" priority="70" operator="containsText" text="Boeing">
      <formula>NOT(ISERROR(SEARCH("Boeing",F277)))</formula>
    </cfRule>
  </conditionalFormatting>
  <conditionalFormatting sqref="F278">
    <cfRule type="containsText" dxfId="40" priority="32" operator="containsText" text="satair">
      <formula>NOT(ISERROR(SEARCH("satair",F278)))</formula>
    </cfRule>
    <cfRule type="containsText" dxfId="39" priority="33" operator="containsText" text="Heico">
      <formula>NOT(ISERROR(SEARCH("Heico",F278)))</formula>
    </cfRule>
    <cfRule type="containsText" dxfId="38" priority="34" operator="containsText" text="DASI">
      <formula>NOT(ISERROR(SEARCH("DASI",F278)))</formula>
    </cfRule>
    <cfRule type="containsText" dxfId="37" priority="36" operator="containsText" text="Wencor">
      <formula>NOT(ISERROR(SEARCH("Wencor",F278)))</formula>
    </cfRule>
    <cfRule type="containsText" dxfId="36" priority="37" operator="containsText" text="Boeing">
      <formula>NOT(ISERROR(SEARCH("Boeing",F278)))</formula>
    </cfRule>
  </conditionalFormatting>
  <conditionalFormatting sqref="F283">
    <cfRule type="containsText" dxfId="35" priority="54" operator="containsText" text="DASI">
      <formula>NOT(ISERROR(SEARCH("DASI",F283)))</formula>
    </cfRule>
  </conditionalFormatting>
  <conditionalFormatting sqref="F284:F1048576 F132:F157 I158 F193:F277 F279:F282 F159:F164 AC165:AD165 F166:F191">
    <cfRule type="containsText" dxfId="34" priority="65" operator="containsText" text="Heico">
      <formula>NOT(ISERROR(SEARCH("Heico",F132)))</formula>
    </cfRule>
  </conditionalFormatting>
  <conditionalFormatting sqref="F284:F1048576">
    <cfRule type="containsText" dxfId="33" priority="64" operator="containsText" text="satair">
      <formula>NOT(ISERROR(SEARCH("satair",F284)))</formula>
    </cfRule>
  </conditionalFormatting>
  <conditionalFormatting sqref="I113">
    <cfRule type="duplicateValues" dxfId="32" priority="43"/>
    <cfRule type="duplicateValues" dxfId="31" priority="53"/>
  </conditionalFormatting>
  <conditionalFormatting sqref="I278">
    <cfRule type="duplicateValues" dxfId="30" priority="38"/>
  </conditionalFormatting>
  <conditionalFormatting sqref="I279:I282 J158 I159:I171 I114:I147 I150:I157 I1:I112 I284:I1048576 I173:I277">
    <cfRule type="duplicateValues" dxfId="29" priority="67"/>
    <cfRule type="duplicateValues" dxfId="28" priority="2644"/>
  </conditionalFormatting>
  <conditionalFormatting sqref="AB55">
    <cfRule type="containsText" dxfId="27" priority="8" operator="containsText" text="DASI">
      <formula>NOT(ISERROR(SEARCH("DASI",AB55)))</formula>
    </cfRule>
    <cfRule type="duplicateValues" dxfId="26" priority="9"/>
  </conditionalFormatting>
  <conditionalFormatting sqref="AB69">
    <cfRule type="containsText" dxfId="25" priority="27" operator="containsText" text="DASI">
      <formula>NOT(ISERROR(SEARCH("DASI",AB69)))</formula>
    </cfRule>
    <cfRule type="duplicateValues" dxfId="24" priority="28"/>
  </conditionalFormatting>
  <conditionalFormatting sqref="AD191:AD196">
    <cfRule type="duplicateValues" dxfId="23" priority="10"/>
    <cfRule type="duplicateValues" dxfId="22" priority="11"/>
  </conditionalFormatting>
  <pageMargins left="0.7" right="0.7" top="0.75" bottom="0.75" header="0.3" footer="0.3"/>
  <pageSetup paperSize="11" scale="3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8FFB7-DD46-4C92-B2E3-D6585A012E77}">
  <sheetPr>
    <pageSetUpPr fitToPage="1"/>
  </sheetPr>
  <dimension ref="A1:AF327"/>
  <sheetViews>
    <sheetView showGridLines="0" zoomScale="55" zoomScaleNormal="55" workbookViewId="0">
      <pane ySplit="2" topLeftCell="A140" activePane="bottomLeft" state="frozen"/>
      <selection activeCell="I1" sqref="I1:I2"/>
      <selection pane="bottomLeft" activeCell="I1" sqref="I1:I2"/>
    </sheetView>
  </sheetViews>
  <sheetFormatPr defaultColWidth="8.85546875" defaultRowHeight="17.25"/>
  <cols>
    <col min="1" max="1" width="8.42578125" style="5" customWidth="1"/>
    <col min="2" max="2" width="15.140625" style="98" customWidth="1"/>
    <col min="3" max="4" width="10.85546875" style="5" customWidth="1"/>
    <col min="5" max="5" width="11.140625" style="5" customWidth="1"/>
    <col min="6" max="6" width="32.42578125" style="5" customWidth="1"/>
    <col min="7" max="8" width="10.85546875" style="5" customWidth="1"/>
    <col min="9" max="9" width="35.42578125" style="13" customWidth="1"/>
    <col min="10" max="10" width="32.42578125" style="5" customWidth="1"/>
    <col min="11" max="11" width="15.42578125" style="5" customWidth="1"/>
    <col min="12" max="12" width="13.85546875" style="5" customWidth="1"/>
    <col min="13" max="13" width="15.42578125" style="5" customWidth="1"/>
    <col min="14" max="14" width="19.42578125" style="5" customWidth="1"/>
    <col min="15" max="15" width="19.85546875" style="5" customWidth="1"/>
    <col min="16" max="16" width="15.42578125" style="5" hidden="1" customWidth="1"/>
    <col min="17" max="17" width="34.42578125" style="322" customWidth="1"/>
    <col min="18" max="18" width="29.42578125" style="5" customWidth="1"/>
    <col min="19" max="19" width="21.42578125" style="94" customWidth="1"/>
    <col min="20" max="20" width="32.42578125" style="5" hidden="1" customWidth="1"/>
    <col min="21" max="21" width="15.85546875" style="5" customWidth="1"/>
    <col min="22" max="22" width="27.42578125" style="5" customWidth="1"/>
    <col min="23" max="23" width="17" style="95" customWidth="1"/>
    <col min="24" max="24" width="18" style="96" customWidth="1"/>
    <col min="25" max="25" width="18.140625" style="97" customWidth="1"/>
    <col min="26" max="26" width="21.140625" style="5" customWidth="1"/>
    <col min="27" max="27" width="20.42578125" style="5" customWidth="1"/>
    <col min="28" max="28" width="15.42578125" style="358" customWidth="1"/>
    <col min="29" max="29" width="63.85546875" style="409" customWidth="1"/>
    <col min="30" max="30" width="59.42578125" style="409" customWidth="1"/>
    <col min="31" max="31" width="19.85546875" style="167" bestFit="1" customWidth="1"/>
    <col min="32" max="32" width="23.42578125" style="94" bestFit="1" customWidth="1"/>
    <col min="33" max="16384" width="8.85546875" style="13"/>
  </cols>
  <sheetData>
    <row r="1" spans="1:32" ht="35.25" customHeight="1">
      <c r="A1" s="757" t="s">
        <v>0</v>
      </c>
      <c r="B1" s="760" t="s">
        <v>386</v>
      </c>
      <c r="C1" s="756" t="s">
        <v>66</v>
      </c>
      <c r="D1" s="756" t="s">
        <v>70</v>
      </c>
      <c r="E1" s="756" t="s">
        <v>9</v>
      </c>
      <c r="F1" s="756" t="s">
        <v>8</v>
      </c>
      <c r="G1" s="756" t="s">
        <v>1</v>
      </c>
      <c r="H1" s="757" t="s">
        <v>67</v>
      </c>
      <c r="I1" s="757" t="s">
        <v>2</v>
      </c>
      <c r="J1" s="757" t="s">
        <v>3</v>
      </c>
      <c r="K1" s="756" t="s">
        <v>71</v>
      </c>
      <c r="L1" s="757" t="s">
        <v>10</v>
      </c>
      <c r="M1" s="756" t="s">
        <v>914</v>
      </c>
      <c r="N1" s="757" t="s">
        <v>6</v>
      </c>
      <c r="O1" s="757"/>
      <c r="P1" s="757" t="s">
        <v>63</v>
      </c>
      <c r="Q1" s="743" t="s">
        <v>23</v>
      </c>
      <c r="R1" s="743" t="s">
        <v>33</v>
      </c>
      <c r="S1" s="755" t="s">
        <v>32</v>
      </c>
      <c r="T1" s="743" t="s">
        <v>68</v>
      </c>
      <c r="U1" s="743" t="s">
        <v>36</v>
      </c>
      <c r="V1" s="748" t="s">
        <v>64</v>
      </c>
      <c r="W1" s="743" t="s">
        <v>7</v>
      </c>
      <c r="X1" s="743"/>
      <c r="Y1" s="753" t="s">
        <v>69</v>
      </c>
      <c r="Z1" s="749" t="s">
        <v>38</v>
      </c>
      <c r="AA1" s="751" t="s">
        <v>24</v>
      </c>
      <c r="AB1" s="743" t="s">
        <v>528</v>
      </c>
      <c r="AC1" s="755" t="s">
        <v>1032</v>
      </c>
      <c r="AD1" s="758" t="s">
        <v>1033</v>
      </c>
      <c r="AE1" s="746" t="s">
        <v>667</v>
      </c>
      <c r="AF1" s="744" t="s">
        <v>668</v>
      </c>
    </row>
    <row r="2" spans="1:32" ht="42" customHeight="1">
      <c r="A2" s="757"/>
      <c r="B2" s="760"/>
      <c r="C2" s="756"/>
      <c r="D2" s="756"/>
      <c r="E2" s="756"/>
      <c r="F2" s="756"/>
      <c r="G2" s="756"/>
      <c r="H2" s="757"/>
      <c r="I2" s="757"/>
      <c r="J2" s="757"/>
      <c r="K2" s="756"/>
      <c r="L2" s="757"/>
      <c r="M2" s="756"/>
      <c r="N2" s="521" t="s">
        <v>4</v>
      </c>
      <c r="O2" s="521" t="s">
        <v>5</v>
      </c>
      <c r="P2" s="757"/>
      <c r="Q2" s="743"/>
      <c r="R2" s="743"/>
      <c r="S2" s="755"/>
      <c r="T2" s="743"/>
      <c r="U2" s="743"/>
      <c r="V2" s="748"/>
      <c r="W2" s="237" t="s">
        <v>4</v>
      </c>
      <c r="X2" s="237" t="s">
        <v>5</v>
      </c>
      <c r="Y2" s="754"/>
      <c r="Z2" s="750"/>
      <c r="AA2" s="751"/>
      <c r="AB2" s="743"/>
      <c r="AC2" s="743"/>
      <c r="AD2" s="759"/>
      <c r="AE2" s="747"/>
      <c r="AF2" s="745"/>
    </row>
    <row r="3" spans="1:32" s="21" customFormat="1" ht="43.5" customHeight="1">
      <c r="A3" s="402">
        <v>1</v>
      </c>
      <c r="B3" s="395"/>
      <c r="C3" s="402">
        <v>1015</v>
      </c>
      <c r="D3" s="402">
        <v>1</v>
      </c>
      <c r="E3" s="402" t="s">
        <v>79</v>
      </c>
      <c r="F3" s="402" t="s">
        <v>78</v>
      </c>
      <c r="G3" s="402">
        <v>350</v>
      </c>
      <c r="H3" s="402" t="s">
        <v>77</v>
      </c>
      <c r="I3" s="402" t="s">
        <v>74</v>
      </c>
      <c r="J3" s="402" t="s">
        <v>75</v>
      </c>
      <c r="K3" s="402">
        <v>0</v>
      </c>
      <c r="L3" s="412" t="s">
        <v>76</v>
      </c>
      <c r="M3" s="418">
        <v>8</v>
      </c>
      <c r="N3" s="422">
        <v>29345.63</v>
      </c>
      <c r="O3" s="422">
        <f t="shared" ref="O3:O8" si="0">N3*K3</f>
        <v>0</v>
      </c>
      <c r="P3" s="423"/>
      <c r="Q3" s="421" t="s">
        <v>560</v>
      </c>
      <c r="R3" s="419"/>
      <c r="S3" s="424"/>
      <c r="T3" s="402" t="s">
        <v>115</v>
      </c>
      <c r="U3" s="419" t="s">
        <v>81</v>
      </c>
      <c r="V3" s="412" t="s">
        <v>82</v>
      </c>
      <c r="W3" s="413">
        <v>45460</v>
      </c>
      <c r="X3" s="414">
        <f t="shared" ref="X3:X32" si="1">W3*K3</f>
        <v>0</v>
      </c>
      <c r="Y3" s="415"/>
      <c r="Z3" s="416">
        <v>1.28</v>
      </c>
      <c r="AA3" s="417" t="e">
        <f t="shared" ref="AA3:AA66" si="2">X3/O3/Z3</f>
        <v>#DIV/0!</v>
      </c>
      <c r="AB3" s="420"/>
      <c r="AC3" s="418"/>
      <c r="AD3" s="418"/>
      <c r="AE3" s="425"/>
      <c r="AF3" s="418"/>
    </row>
    <row r="4" spans="1:32" s="21" customFormat="1" ht="43.5" customHeight="1">
      <c r="A4" s="402">
        <f t="shared" ref="A4:A67" si="3">A3+1</f>
        <v>2</v>
      </c>
      <c r="B4" s="395"/>
      <c r="C4" s="402">
        <v>1016</v>
      </c>
      <c r="D4" s="402">
        <v>1</v>
      </c>
      <c r="E4" s="402" t="s">
        <v>79</v>
      </c>
      <c r="F4" s="402" t="s">
        <v>78</v>
      </c>
      <c r="G4" s="402">
        <v>350</v>
      </c>
      <c r="H4" s="402" t="s">
        <v>77</v>
      </c>
      <c r="I4" s="402" t="s">
        <v>74</v>
      </c>
      <c r="J4" s="402" t="s">
        <v>75</v>
      </c>
      <c r="K4" s="402">
        <v>0</v>
      </c>
      <c r="L4" s="412" t="s">
        <v>76</v>
      </c>
      <c r="M4" s="418">
        <v>8</v>
      </c>
      <c r="N4" s="422">
        <v>29345.63</v>
      </c>
      <c r="O4" s="422">
        <f t="shared" si="0"/>
        <v>0</v>
      </c>
      <c r="P4" s="423"/>
      <c r="Q4" s="421" t="s">
        <v>560</v>
      </c>
      <c r="R4" s="419"/>
      <c r="S4" s="424"/>
      <c r="T4" s="402" t="s">
        <v>115</v>
      </c>
      <c r="U4" s="419" t="s">
        <v>81</v>
      </c>
      <c r="V4" s="412" t="s">
        <v>82</v>
      </c>
      <c r="W4" s="413">
        <v>45460</v>
      </c>
      <c r="X4" s="414">
        <f t="shared" si="1"/>
        <v>0</v>
      </c>
      <c r="Y4" s="415"/>
      <c r="Z4" s="416">
        <v>1.28</v>
      </c>
      <c r="AA4" s="417" t="e">
        <f t="shared" si="2"/>
        <v>#DIV/0!</v>
      </c>
      <c r="AB4" s="420"/>
      <c r="AC4" s="418"/>
      <c r="AD4" s="418"/>
      <c r="AE4" s="425"/>
      <c r="AF4" s="418"/>
    </row>
    <row r="5" spans="1:32" s="21" customFormat="1" ht="43.5" customHeight="1">
      <c r="A5" s="402">
        <f t="shared" si="3"/>
        <v>3</v>
      </c>
      <c r="B5" s="395"/>
      <c r="C5" s="402">
        <v>1017</v>
      </c>
      <c r="D5" s="402">
        <v>1</v>
      </c>
      <c r="E5" s="402" t="s">
        <v>79</v>
      </c>
      <c r="F5" s="402" t="s">
        <v>80</v>
      </c>
      <c r="G5" s="402">
        <v>350</v>
      </c>
      <c r="H5" s="402" t="s">
        <v>77</v>
      </c>
      <c r="I5" s="402" t="s">
        <v>74</v>
      </c>
      <c r="J5" s="402" t="s">
        <v>75</v>
      </c>
      <c r="K5" s="402">
        <v>0</v>
      </c>
      <c r="L5" s="412" t="s">
        <v>76</v>
      </c>
      <c r="M5" s="418">
        <v>8</v>
      </c>
      <c r="N5" s="422">
        <v>33500</v>
      </c>
      <c r="O5" s="422">
        <f t="shared" si="0"/>
        <v>0</v>
      </c>
      <c r="P5" s="423"/>
      <c r="Q5" s="421" t="s">
        <v>560</v>
      </c>
      <c r="R5" s="419"/>
      <c r="S5" s="424"/>
      <c r="T5" s="402" t="s">
        <v>115</v>
      </c>
      <c r="U5" s="419" t="s">
        <v>81</v>
      </c>
      <c r="V5" s="412" t="s">
        <v>82</v>
      </c>
      <c r="W5" s="413">
        <v>45460</v>
      </c>
      <c r="X5" s="414">
        <f t="shared" si="1"/>
        <v>0</v>
      </c>
      <c r="Y5" s="415"/>
      <c r="Z5" s="416">
        <v>1.28</v>
      </c>
      <c r="AA5" s="417" t="e">
        <f t="shared" si="2"/>
        <v>#DIV/0!</v>
      </c>
      <c r="AB5" s="420"/>
      <c r="AC5" s="418"/>
      <c r="AD5" s="418"/>
      <c r="AE5" s="425"/>
      <c r="AF5" s="418"/>
    </row>
    <row r="6" spans="1:32" s="21" customFormat="1" ht="43.5" customHeight="1">
      <c r="A6" s="402">
        <f t="shared" si="3"/>
        <v>4</v>
      </c>
      <c r="B6" s="395"/>
      <c r="C6" s="402">
        <v>1087</v>
      </c>
      <c r="D6" s="402">
        <v>1</v>
      </c>
      <c r="E6" s="402" t="s">
        <v>79</v>
      </c>
      <c r="F6" s="402" t="s">
        <v>112</v>
      </c>
      <c r="G6" s="402">
        <v>350</v>
      </c>
      <c r="H6" s="402" t="s">
        <v>77</v>
      </c>
      <c r="I6" s="402" t="s">
        <v>83</v>
      </c>
      <c r="J6" s="402" t="s">
        <v>84</v>
      </c>
      <c r="K6" s="402">
        <v>50</v>
      </c>
      <c r="L6" s="412" t="s">
        <v>76</v>
      </c>
      <c r="M6" s="418"/>
      <c r="N6" s="422">
        <v>5</v>
      </c>
      <c r="O6" s="422">
        <f t="shared" si="0"/>
        <v>250</v>
      </c>
      <c r="P6" s="426"/>
      <c r="Q6" s="390" t="s">
        <v>39</v>
      </c>
      <c r="R6" s="419" t="s">
        <v>86</v>
      </c>
      <c r="S6" s="424">
        <v>45518</v>
      </c>
      <c r="T6" s="402" t="s">
        <v>93</v>
      </c>
      <c r="U6" s="419" t="s">
        <v>85</v>
      </c>
      <c r="V6" s="412"/>
      <c r="W6" s="413">
        <v>39</v>
      </c>
      <c r="X6" s="414">
        <f t="shared" si="1"/>
        <v>1950</v>
      </c>
      <c r="Y6" s="415"/>
      <c r="Z6" s="416">
        <v>1.28</v>
      </c>
      <c r="AA6" s="417">
        <f t="shared" si="2"/>
        <v>6.09375</v>
      </c>
      <c r="AB6" s="420"/>
      <c r="AC6" s="418"/>
      <c r="AD6" s="418"/>
      <c r="AE6" s="425"/>
      <c r="AF6" s="418"/>
    </row>
    <row r="7" spans="1:32" s="21" customFormat="1" ht="43.5" customHeight="1">
      <c r="A7" s="402">
        <f t="shared" si="3"/>
        <v>5</v>
      </c>
      <c r="B7" s="395"/>
      <c r="C7" s="402">
        <v>1088</v>
      </c>
      <c r="D7" s="402">
        <v>1</v>
      </c>
      <c r="E7" s="402" t="s">
        <v>79</v>
      </c>
      <c r="F7" s="402" t="s">
        <v>100</v>
      </c>
      <c r="G7" s="402">
        <v>350</v>
      </c>
      <c r="H7" s="402" t="s">
        <v>77</v>
      </c>
      <c r="I7" s="402" t="s">
        <v>87</v>
      </c>
      <c r="J7" s="402" t="s">
        <v>89</v>
      </c>
      <c r="K7" s="402">
        <v>1</v>
      </c>
      <c r="L7" s="412" t="s">
        <v>91</v>
      </c>
      <c r="M7" s="418"/>
      <c r="N7" s="422">
        <v>289.10000000000002</v>
      </c>
      <c r="O7" s="422">
        <f t="shared" si="0"/>
        <v>289.10000000000002</v>
      </c>
      <c r="P7" s="426"/>
      <c r="Q7" s="390" t="s">
        <v>39</v>
      </c>
      <c r="R7" s="419" t="s">
        <v>94</v>
      </c>
      <c r="S7" s="424">
        <v>45521</v>
      </c>
      <c r="T7" s="402" t="s">
        <v>92</v>
      </c>
      <c r="U7" s="419" t="s">
        <v>81</v>
      </c>
      <c r="V7" s="412"/>
      <c r="W7" s="413">
        <v>530</v>
      </c>
      <c r="X7" s="414">
        <f t="shared" si="1"/>
        <v>530</v>
      </c>
      <c r="Y7" s="415"/>
      <c r="Z7" s="416">
        <v>1.28</v>
      </c>
      <c r="AA7" s="417">
        <f t="shared" si="2"/>
        <v>1.4322466274645449</v>
      </c>
      <c r="AB7" s="420"/>
      <c r="AC7" s="418"/>
      <c r="AD7" s="418"/>
      <c r="AE7" s="425"/>
      <c r="AF7" s="418"/>
    </row>
    <row r="8" spans="1:32" s="21" customFormat="1" ht="43.5" customHeight="1">
      <c r="A8" s="402">
        <f t="shared" si="3"/>
        <v>6</v>
      </c>
      <c r="B8" s="395"/>
      <c r="C8" s="402">
        <v>1089</v>
      </c>
      <c r="D8" s="402">
        <v>2</v>
      </c>
      <c r="E8" s="402" t="s">
        <v>79</v>
      </c>
      <c r="F8" s="402" t="s">
        <v>100</v>
      </c>
      <c r="G8" s="402">
        <v>350</v>
      </c>
      <c r="H8" s="402" t="s">
        <v>77</v>
      </c>
      <c r="I8" s="402" t="s">
        <v>88</v>
      </c>
      <c r="J8" s="402" t="s">
        <v>90</v>
      </c>
      <c r="K8" s="402">
        <v>16</v>
      </c>
      <c r="L8" s="412" t="s">
        <v>91</v>
      </c>
      <c r="M8" s="418"/>
      <c r="N8" s="422">
        <v>62</v>
      </c>
      <c r="O8" s="422">
        <f t="shared" si="0"/>
        <v>992</v>
      </c>
      <c r="P8" s="426"/>
      <c r="Q8" s="390" t="s">
        <v>39</v>
      </c>
      <c r="R8" s="419" t="s">
        <v>94</v>
      </c>
      <c r="S8" s="424">
        <v>45521</v>
      </c>
      <c r="T8" s="402" t="s">
        <v>92</v>
      </c>
      <c r="U8" s="419" t="s">
        <v>81</v>
      </c>
      <c r="V8" s="419" t="s">
        <v>99</v>
      </c>
      <c r="W8" s="413">
        <v>110</v>
      </c>
      <c r="X8" s="414">
        <f t="shared" si="1"/>
        <v>1760</v>
      </c>
      <c r="Y8" s="415"/>
      <c r="Z8" s="416">
        <v>1.28</v>
      </c>
      <c r="AA8" s="417">
        <f t="shared" si="2"/>
        <v>1.3860887096774193</v>
      </c>
      <c r="AB8" s="420"/>
      <c r="AC8" s="418"/>
      <c r="AD8" s="418"/>
      <c r="AE8" s="425"/>
      <c r="AF8" s="418"/>
    </row>
    <row r="9" spans="1:32" s="21" customFormat="1" ht="43.5" customHeight="1">
      <c r="A9" s="402">
        <f t="shared" si="3"/>
        <v>7</v>
      </c>
      <c r="B9" s="395" t="s">
        <v>332</v>
      </c>
      <c r="C9" s="402">
        <v>1090</v>
      </c>
      <c r="D9" s="402">
        <v>1</v>
      </c>
      <c r="E9" s="402" t="s">
        <v>79</v>
      </c>
      <c r="F9" s="402" t="s">
        <v>103</v>
      </c>
      <c r="G9" s="402">
        <v>350</v>
      </c>
      <c r="H9" s="402" t="s">
        <v>77</v>
      </c>
      <c r="I9" s="402" t="s">
        <v>95</v>
      </c>
      <c r="J9" s="402" t="s">
        <v>102</v>
      </c>
      <c r="K9" s="402">
        <v>2</v>
      </c>
      <c r="L9" s="412" t="s">
        <v>76</v>
      </c>
      <c r="M9" s="418"/>
      <c r="N9" s="422">
        <v>3684.02</v>
      </c>
      <c r="O9" s="422">
        <v>0</v>
      </c>
      <c r="P9" s="426"/>
      <c r="Q9" s="388" t="s">
        <v>20</v>
      </c>
      <c r="R9" s="419" t="s">
        <v>98</v>
      </c>
      <c r="S9" s="424">
        <v>45518</v>
      </c>
      <c r="T9" s="402" t="s">
        <v>97</v>
      </c>
      <c r="U9" s="419" t="s">
        <v>96</v>
      </c>
      <c r="V9" s="402" t="s">
        <v>101</v>
      </c>
      <c r="W9" s="413">
        <v>5890</v>
      </c>
      <c r="X9" s="414">
        <f t="shared" si="1"/>
        <v>11780</v>
      </c>
      <c r="Y9" s="415"/>
      <c r="Z9" s="416">
        <v>1.28</v>
      </c>
      <c r="AA9" s="417" t="e">
        <f t="shared" si="2"/>
        <v>#DIV/0!</v>
      </c>
      <c r="AB9" s="418"/>
      <c r="AC9" s="427"/>
      <c r="AD9" s="427"/>
      <c r="AE9" s="425"/>
      <c r="AF9" s="425"/>
    </row>
    <row r="10" spans="1:32" s="21" customFormat="1" ht="43.5" customHeight="1">
      <c r="A10" s="402">
        <f t="shared" si="3"/>
        <v>8</v>
      </c>
      <c r="B10" s="395"/>
      <c r="C10" s="402">
        <v>1163</v>
      </c>
      <c r="D10" s="402">
        <v>1</v>
      </c>
      <c r="E10" s="402" t="s">
        <v>79</v>
      </c>
      <c r="F10" s="402" t="s">
        <v>109</v>
      </c>
      <c r="G10" s="402">
        <v>350</v>
      </c>
      <c r="H10" s="402" t="s">
        <v>77</v>
      </c>
      <c r="I10" s="402" t="s">
        <v>104</v>
      </c>
      <c r="J10" s="402" t="s">
        <v>105</v>
      </c>
      <c r="K10" s="402">
        <v>3</v>
      </c>
      <c r="L10" s="412" t="s">
        <v>76</v>
      </c>
      <c r="M10" s="418"/>
      <c r="N10" s="422">
        <v>133</v>
      </c>
      <c r="O10" s="422">
        <f t="shared" ref="O10:O32" si="4">N10*K10</f>
        <v>399</v>
      </c>
      <c r="P10" s="426"/>
      <c r="Q10" s="390" t="s">
        <v>39</v>
      </c>
      <c r="R10" s="419" t="s">
        <v>107</v>
      </c>
      <c r="S10" s="424">
        <v>45556</v>
      </c>
      <c r="T10" s="402" t="s">
        <v>108</v>
      </c>
      <c r="U10" s="419" t="s">
        <v>85</v>
      </c>
      <c r="V10" s="412"/>
      <c r="W10" s="413">
        <v>700</v>
      </c>
      <c r="X10" s="414">
        <f t="shared" si="1"/>
        <v>2100</v>
      </c>
      <c r="Y10" s="415"/>
      <c r="Z10" s="416">
        <v>1.28</v>
      </c>
      <c r="AA10" s="417">
        <f t="shared" si="2"/>
        <v>4.1118421052631584</v>
      </c>
      <c r="AB10" s="418"/>
      <c r="AC10" s="418"/>
      <c r="AD10" s="418"/>
      <c r="AE10" s="425"/>
      <c r="AF10" s="418"/>
    </row>
    <row r="11" spans="1:32" s="21" customFormat="1" ht="43.5" customHeight="1">
      <c r="A11" s="402">
        <f t="shared" si="3"/>
        <v>9</v>
      </c>
      <c r="B11" s="395"/>
      <c r="C11" s="402">
        <v>1164</v>
      </c>
      <c r="D11" s="402">
        <v>2</v>
      </c>
      <c r="E11" s="402" t="s">
        <v>79</v>
      </c>
      <c r="F11" s="402" t="s">
        <v>109</v>
      </c>
      <c r="G11" s="402">
        <v>350</v>
      </c>
      <c r="H11" s="402" t="s">
        <v>77</v>
      </c>
      <c r="I11" s="402" t="s">
        <v>493</v>
      </c>
      <c r="J11" s="402" t="s">
        <v>106</v>
      </c>
      <c r="K11" s="402">
        <v>2</v>
      </c>
      <c r="L11" s="412" t="s">
        <v>76</v>
      </c>
      <c r="M11" s="418"/>
      <c r="N11" s="422">
        <v>125</v>
      </c>
      <c r="O11" s="422">
        <f t="shared" si="4"/>
        <v>250</v>
      </c>
      <c r="P11" s="426"/>
      <c r="Q11" s="390" t="s">
        <v>39</v>
      </c>
      <c r="R11" s="419" t="s">
        <v>107</v>
      </c>
      <c r="S11" s="424">
        <v>45556</v>
      </c>
      <c r="T11" s="402" t="s">
        <v>108</v>
      </c>
      <c r="U11" s="419" t="s">
        <v>85</v>
      </c>
      <c r="V11" s="412"/>
      <c r="W11" s="413">
        <v>900</v>
      </c>
      <c r="X11" s="414">
        <f t="shared" si="1"/>
        <v>1800</v>
      </c>
      <c r="Y11" s="415"/>
      <c r="Z11" s="416">
        <v>1.28</v>
      </c>
      <c r="AA11" s="417">
        <f t="shared" si="2"/>
        <v>5.625</v>
      </c>
      <c r="AB11" s="418"/>
      <c r="AC11" s="418"/>
      <c r="AD11" s="418"/>
      <c r="AE11" s="425"/>
      <c r="AF11" s="418"/>
    </row>
    <row r="12" spans="1:32" s="21" customFormat="1" ht="43.5" customHeight="1">
      <c r="A12" s="402">
        <f t="shared" si="3"/>
        <v>10</v>
      </c>
      <c r="B12" s="395"/>
      <c r="C12" s="402">
        <v>1165</v>
      </c>
      <c r="D12" s="402">
        <v>1</v>
      </c>
      <c r="E12" s="402" t="s">
        <v>79</v>
      </c>
      <c r="F12" s="402" t="s">
        <v>144</v>
      </c>
      <c r="G12" s="402">
        <v>350</v>
      </c>
      <c r="H12" s="402" t="s">
        <v>77</v>
      </c>
      <c r="I12" s="402" t="s">
        <v>110</v>
      </c>
      <c r="J12" s="402" t="s">
        <v>111</v>
      </c>
      <c r="K12" s="402">
        <v>3</v>
      </c>
      <c r="L12" s="412" t="s">
        <v>76</v>
      </c>
      <c r="M12" s="418"/>
      <c r="N12" s="422">
        <v>1565</v>
      </c>
      <c r="O12" s="422">
        <f t="shared" si="4"/>
        <v>4695</v>
      </c>
      <c r="P12" s="426"/>
      <c r="Q12" s="390" t="s">
        <v>39</v>
      </c>
      <c r="R12" s="419" t="s">
        <v>113</v>
      </c>
      <c r="S12" s="424">
        <v>45556</v>
      </c>
      <c r="T12" s="402" t="s">
        <v>114</v>
      </c>
      <c r="U12" s="419" t="s">
        <v>85</v>
      </c>
      <c r="V12" s="412"/>
      <c r="W12" s="413">
        <v>4100</v>
      </c>
      <c r="X12" s="414">
        <f t="shared" si="1"/>
        <v>12300</v>
      </c>
      <c r="Y12" s="415"/>
      <c r="Z12" s="416">
        <v>1.28</v>
      </c>
      <c r="AA12" s="417">
        <f t="shared" si="2"/>
        <v>2.0467252396166131</v>
      </c>
      <c r="AB12" s="420"/>
      <c r="AC12" s="418"/>
      <c r="AD12" s="418"/>
      <c r="AE12" s="425"/>
      <c r="AF12" s="418"/>
    </row>
    <row r="13" spans="1:32" s="21" customFormat="1" ht="43.5" customHeight="1">
      <c r="A13" s="402">
        <f t="shared" si="3"/>
        <v>11</v>
      </c>
      <c r="B13" s="395" t="s">
        <v>143</v>
      </c>
      <c r="C13" s="402">
        <v>1168</v>
      </c>
      <c r="D13" s="402">
        <v>1</v>
      </c>
      <c r="E13" s="402" t="s">
        <v>79</v>
      </c>
      <c r="F13" s="402" t="s">
        <v>404</v>
      </c>
      <c r="G13" s="402">
        <v>367</v>
      </c>
      <c r="H13" s="402" t="s">
        <v>253</v>
      </c>
      <c r="I13" s="402" t="s">
        <v>117</v>
      </c>
      <c r="J13" s="402" t="s">
        <v>118</v>
      </c>
      <c r="K13" s="402">
        <v>10</v>
      </c>
      <c r="L13" s="412" t="s">
        <v>76</v>
      </c>
      <c r="M13" s="418"/>
      <c r="N13" s="422">
        <f>1.05*1250</f>
        <v>1312.5</v>
      </c>
      <c r="O13" s="422">
        <f t="shared" si="4"/>
        <v>13125</v>
      </c>
      <c r="P13" s="426"/>
      <c r="Q13" s="390" t="s">
        <v>39</v>
      </c>
      <c r="R13" s="419" t="s">
        <v>119</v>
      </c>
      <c r="S13" s="424"/>
      <c r="T13" s="402"/>
      <c r="U13" s="419" t="s">
        <v>85</v>
      </c>
      <c r="V13" s="412"/>
      <c r="W13" s="413">
        <v>2200</v>
      </c>
      <c r="X13" s="414">
        <f t="shared" si="1"/>
        <v>22000</v>
      </c>
      <c r="Y13" s="415"/>
      <c r="Z13" s="416">
        <v>1.28</v>
      </c>
      <c r="AA13" s="417">
        <f t="shared" si="2"/>
        <v>1.3095238095238095</v>
      </c>
      <c r="AB13" s="420"/>
      <c r="AC13" s="418" t="s">
        <v>120</v>
      </c>
      <c r="AD13" s="418"/>
      <c r="AE13" s="425"/>
      <c r="AF13" s="418"/>
    </row>
    <row r="14" spans="1:32" s="21" customFormat="1" ht="43.5" customHeight="1">
      <c r="A14" s="402">
        <f t="shared" si="3"/>
        <v>12</v>
      </c>
      <c r="B14" s="395" t="s">
        <v>140</v>
      </c>
      <c r="C14" s="402">
        <v>1169</v>
      </c>
      <c r="D14" s="402">
        <v>2</v>
      </c>
      <c r="E14" s="402" t="s">
        <v>79</v>
      </c>
      <c r="F14" s="402" t="s">
        <v>406</v>
      </c>
      <c r="G14" s="402">
        <v>367</v>
      </c>
      <c r="H14" s="402" t="s">
        <v>253</v>
      </c>
      <c r="I14" s="402">
        <v>9615325060</v>
      </c>
      <c r="J14" s="402" t="s">
        <v>121</v>
      </c>
      <c r="K14" s="402">
        <v>1</v>
      </c>
      <c r="L14" s="412" t="s">
        <v>122</v>
      </c>
      <c r="M14" s="418"/>
      <c r="N14" s="422">
        <v>1500</v>
      </c>
      <c r="O14" s="422">
        <f t="shared" si="4"/>
        <v>1500</v>
      </c>
      <c r="P14" s="426"/>
      <c r="Q14" s="390" t="s">
        <v>39</v>
      </c>
      <c r="R14" s="419" t="s">
        <v>119</v>
      </c>
      <c r="S14" s="424"/>
      <c r="T14" s="402"/>
      <c r="U14" s="419" t="s">
        <v>85</v>
      </c>
      <c r="V14" s="412"/>
      <c r="W14" s="413">
        <v>4000</v>
      </c>
      <c r="X14" s="414">
        <f t="shared" si="1"/>
        <v>4000</v>
      </c>
      <c r="Y14" s="415"/>
      <c r="Z14" s="416">
        <v>1.28</v>
      </c>
      <c r="AA14" s="417">
        <f t="shared" si="2"/>
        <v>2.083333333333333</v>
      </c>
      <c r="AB14" s="418"/>
      <c r="AC14" s="418"/>
      <c r="AD14" s="418"/>
      <c r="AE14" s="425"/>
      <c r="AF14" s="418"/>
    </row>
    <row r="15" spans="1:32" s="21" customFormat="1" ht="43.5" customHeight="1">
      <c r="A15" s="402">
        <f t="shared" si="3"/>
        <v>13</v>
      </c>
      <c r="B15" s="395" t="s">
        <v>491</v>
      </c>
      <c r="C15" s="402">
        <v>1170</v>
      </c>
      <c r="D15" s="402">
        <v>1</v>
      </c>
      <c r="E15" s="402" t="s">
        <v>79</v>
      </c>
      <c r="F15" s="402" t="s">
        <v>321</v>
      </c>
      <c r="G15" s="402">
        <v>367</v>
      </c>
      <c r="H15" s="402" t="s">
        <v>516</v>
      </c>
      <c r="I15" s="402" t="s">
        <v>123</v>
      </c>
      <c r="J15" s="402" t="s">
        <v>124</v>
      </c>
      <c r="K15" s="402">
        <v>1</v>
      </c>
      <c r="L15" s="412" t="s">
        <v>125</v>
      </c>
      <c r="M15" s="418"/>
      <c r="N15" s="422">
        <v>8000</v>
      </c>
      <c r="O15" s="422">
        <f t="shared" si="4"/>
        <v>8000</v>
      </c>
      <c r="P15" s="426"/>
      <c r="Q15" s="390" t="s">
        <v>39</v>
      </c>
      <c r="R15" s="419" t="s">
        <v>126</v>
      </c>
      <c r="S15" s="424"/>
      <c r="T15" s="402"/>
      <c r="U15" s="419" t="s">
        <v>85</v>
      </c>
      <c r="V15" s="412"/>
      <c r="W15" s="413">
        <v>11550</v>
      </c>
      <c r="X15" s="414">
        <f t="shared" si="1"/>
        <v>11550</v>
      </c>
      <c r="Y15" s="415"/>
      <c r="Z15" s="416">
        <v>1.28</v>
      </c>
      <c r="AA15" s="417">
        <f t="shared" si="2"/>
        <v>1.1279296875</v>
      </c>
      <c r="AB15" s="418"/>
      <c r="AC15" s="395" t="s">
        <v>515</v>
      </c>
      <c r="AD15" s="395"/>
      <c r="AE15" s="425"/>
      <c r="AF15" s="395"/>
    </row>
    <row r="16" spans="1:32" s="21" customFormat="1" ht="43.5" customHeight="1">
      <c r="A16" s="402">
        <f t="shared" si="3"/>
        <v>14</v>
      </c>
      <c r="B16" s="395" t="s">
        <v>662</v>
      </c>
      <c r="C16" s="419">
        <v>1396</v>
      </c>
      <c r="D16" s="402">
        <v>1</v>
      </c>
      <c r="E16" s="402" t="s">
        <v>79</v>
      </c>
      <c r="F16" s="402" t="s">
        <v>683</v>
      </c>
      <c r="G16" s="402">
        <v>367</v>
      </c>
      <c r="H16" s="402" t="s">
        <v>253</v>
      </c>
      <c r="I16" s="402" t="s">
        <v>123</v>
      </c>
      <c r="J16" s="402" t="s">
        <v>124</v>
      </c>
      <c r="K16" s="402">
        <v>1</v>
      </c>
      <c r="L16" s="412" t="s">
        <v>125</v>
      </c>
      <c r="M16" s="418"/>
      <c r="N16" s="422">
        <v>7500</v>
      </c>
      <c r="O16" s="422">
        <f t="shared" si="4"/>
        <v>7500</v>
      </c>
      <c r="P16" s="426"/>
      <c r="Q16" s="389" t="s">
        <v>62</v>
      </c>
      <c r="R16" s="419" t="s">
        <v>126</v>
      </c>
      <c r="S16" s="424"/>
      <c r="T16" s="402"/>
      <c r="U16" s="419" t="s">
        <v>85</v>
      </c>
      <c r="V16" s="412"/>
      <c r="W16" s="413">
        <v>11550</v>
      </c>
      <c r="X16" s="414">
        <f t="shared" si="1"/>
        <v>11550</v>
      </c>
      <c r="Y16" s="415"/>
      <c r="Z16" s="416">
        <v>1.28</v>
      </c>
      <c r="AA16" s="417">
        <f t="shared" si="2"/>
        <v>1.203125</v>
      </c>
      <c r="AB16" s="418"/>
      <c r="AC16" s="418"/>
      <c r="AD16" s="418"/>
      <c r="AE16" s="428"/>
      <c r="AF16" s="418"/>
    </row>
    <row r="17" spans="1:32" s="21" customFormat="1" ht="43.5" customHeight="1">
      <c r="A17" s="402">
        <f t="shared" si="3"/>
        <v>15</v>
      </c>
      <c r="B17" s="395"/>
      <c r="C17" s="402">
        <v>1171</v>
      </c>
      <c r="D17" s="402">
        <v>2</v>
      </c>
      <c r="E17" s="402" t="s">
        <v>79</v>
      </c>
      <c r="F17" s="402" t="s">
        <v>127</v>
      </c>
      <c r="G17" s="402">
        <v>367</v>
      </c>
      <c r="H17" s="402" t="s">
        <v>370</v>
      </c>
      <c r="I17" s="402" t="s">
        <v>128</v>
      </c>
      <c r="J17" s="402" t="s">
        <v>129</v>
      </c>
      <c r="K17" s="402">
        <v>2</v>
      </c>
      <c r="L17" s="412" t="s">
        <v>122</v>
      </c>
      <c r="M17" s="418"/>
      <c r="N17" s="422">
        <v>2650</v>
      </c>
      <c r="O17" s="422">
        <f t="shared" si="4"/>
        <v>5300</v>
      </c>
      <c r="P17" s="426"/>
      <c r="Q17" s="390" t="s">
        <v>39</v>
      </c>
      <c r="R17" s="419" t="s">
        <v>126</v>
      </c>
      <c r="S17" s="424"/>
      <c r="T17" s="402"/>
      <c r="U17" s="419" t="s">
        <v>85</v>
      </c>
      <c r="V17" s="412"/>
      <c r="W17" s="413">
        <v>5700</v>
      </c>
      <c r="X17" s="414">
        <f t="shared" si="1"/>
        <v>11400</v>
      </c>
      <c r="Y17" s="415"/>
      <c r="Z17" s="416">
        <v>1.28</v>
      </c>
      <c r="AA17" s="417">
        <f t="shared" si="2"/>
        <v>1.6804245283018868</v>
      </c>
      <c r="AB17" s="418"/>
      <c r="AC17" s="418"/>
      <c r="AD17" s="418"/>
      <c r="AE17" s="425"/>
      <c r="AF17" s="418"/>
    </row>
    <row r="18" spans="1:32" s="21" customFormat="1" ht="43.5" customHeight="1">
      <c r="A18" s="402">
        <f t="shared" si="3"/>
        <v>16</v>
      </c>
      <c r="B18" s="395"/>
      <c r="C18" s="402">
        <v>1172</v>
      </c>
      <c r="D18" s="402">
        <v>1</v>
      </c>
      <c r="E18" s="402" t="s">
        <v>139</v>
      </c>
      <c r="F18" s="402" t="s">
        <v>100</v>
      </c>
      <c r="G18" s="402">
        <v>368</v>
      </c>
      <c r="H18" s="402" t="s">
        <v>140</v>
      </c>
      <c r="I18" s="402" t="s">
        <v>130</v>
      </c>
      <c r="J18" s="402" t="s">
        <v>131</v>
      </c>
      <c r="K18" s="412">
        <v>3</v>
      </c>
      <c r="L18" s="412" t="s">
        <v>91</v>
      </c>
      <c r="M18" s="401" t="s">
        <v>296</v>
      </c>
      <c r="N18" s="422">
        <v>32.35</v>
      </c>
      <c r="O18" s="422">
        <f t="shared" si="4"/>
        <v>97.050000000000011</v>
      </c>
      <c r="P18" s="426"/>
      <c r="Q18" s="390" t="s">
        <v>39</v>
      </c>
      <c r="R18" s="419">
        <v>14030601</v>
      </c>
      <c r="S18" s="424">
        <v>45563</v>
      </c>
      <c r="T18" s="402" t="s">
        <v>141</v>
      </c>
      <c r="U18" s="419" t="s">
        <v>142</v>
      </c>
      <c r="V18" s="412"/>
      <c r="W18" s="413">
        <v>68</v>
      </c>
      <c r="X18" s="414">
        <f t="shared" si="1"/>
        <v>204</v>
      </c>
      <c r="Y18" s="415"/>
      <c r="Z18" s="416">
        <v>1.28</v>
      </c>
      <c r="AA18" s="417">
        <f t="shared" si="2"/>
        <v>1.6421947449768159</v>
      </c>
      <c r="AB18" s="420"/>
      <c r="AC18" s="418"/>
      <c r="AD18" s="418"/>
      <c r="AE18" s="425"/>
      <c r="AF18" s="418"/>
    </row>
    <row r="19" spans="1:32" s="21" customFormat="1" ht="43.5" customHeight="1">
      <c r="A19" s="402">
        <f t="shared" si="3"/>
        <v>17</v>
      </c>
      <c r="B19" s="395" t="s">
        <v>582</v>
      </c>
      <c r="C19" s="411">
        <v>1509</v>
      </c>
      <c r="D19" s="402">
        <v>1</v>
      </c>
      <c r="E19" s="402" t="s">
        <v>139</v>
      </c>
      <c r="F19" s="402" t="s">
        <v>212</v>
      </c>
      <c r="G19" s="402">
        <v>368</v>
      </c>
      <c r="H19" s="402" t="s">
        <v>140</v>
      </c>
      <c r="I19" s="402" t="s">
        <v>130</v>
      </c>
      <c r="J19" s="402" t="s">
        <v>131</v>
      </c>
      <c r="K19" s="412">
        <v>1</v>
      </c>
      <c r="L19" s="412" t="s">
        <v>91</v>
      </c>
      <c r="M19" s="401" t="s">
        <v>296</v>
      </c>
      <c r="N19" s="422">
        <v>65</v>
      </c>
      <c r="O19" s="422">
        <f t="shared" si="4"/>
        <v>65</v>
      </c>
      <c r="P19" s="426"/>
      <c r="Q19" s="390" t="s">
        <v>39</v>
      </c>
      <c r="R19" s="419">
        <v>14030601</v>
      </c>
      <c r="S19" s="424">
        <v>45563</v>
      </c>
      <c r="T19" s="402" t="s">
        <v>141</v>
      </c>
      <c r="U19" s="419" t="s">
        <v>142</v>
      </c>
      <c r="V19" s="412"/>
      <c r="W19" s="413">
        <v>68</v>
      </c>
      <c r="X19" s="414">
        <f t="shared" si="1"/>
        <v>68</v>
      </c>
      <c r="Y19" s="415"/>
      <c r="Z19" s="416">
        <v>1.28</v>
      </c>
      <c r="AA19" s="417">
        <f t="shared" si="2"/>
        <v>0.81730769230769229</v>
      </c>
      <c r="AB19" s="418"/>
      <c r="AC19" s="418"/>
      <c r="AD19" s="418"/>
      <c r="AE19" s="425"/>
      <c r="AF19" s="418"/>
    </row>
    <row r="20" spans="1:32" s="21" customFormat="1" ht="43.5" customHeight="1">
      <c r="A20" s="402">
        <f t="shared" si="3"/>
        <v>18</v>
      </c>
      <c r="B20" s="395"/>
      <c r="C20" s="402">
        <v>1173</v>
      </c>
      <c r="D20" s="402">
        <v>2</v>
      </c>
      <c r="E20" s="402" t="s">
        <v>139</v>
      </c>
      <c r="F20" s="402" t="s">
        <v>138</v>
      </c>
      <c r="G20" s="402">
        <v>368</v>
      </c>
      <c r="H20" s="402" t="s">
        <v>140</v>
      </c>
      <c r="I20" s="402" t="s">
        <v>132</v>
      </c>
      <c r="J20" s="402" t="s">
        <v>133</v>
      </c>
      <c r="K20" s="412">
        <v>10</v>
      </c>
      <c r="L20" s="412" t="s">
        <v>76</v>
      </c>
      <c r="M20" s="418"/>
      <c r="N20" s="422">
        <v>7.15</v>
      </c>
      <c r="O20" s="422">
        <f t="shared" si="4"/>
        <v>71.5</v>
      </c>
      <c r="P20" s="426"/>
      <c r="Q20" s="390" t="s">
        <v>39</v>
      </c>
      <c r="R20" s="419">
        <v>14030601</v>
      </c>
      <c r="S20" s="424">
        <v>45563</v>
      </c>
      <c r="T20" s="402" t="s">
        <v>141</v>
      </c>
      <c r="U20" s="419" t="s">
        <v>142</v>
      </c>
      <c r="V20" s="412"/>
      <c r="W20" s="413">
        <v>24</v>
      </c>
      <c r="X20" s="414">
        <f t="shared" si="1"/>
        <v>240</v>
      </c>
      <c r="Y20" s="415"/>
      <c r="Z20" s="416">
        <v>1.28</v>
      </c>
      <c r="AA20" s="417">
        <f t="shared" si="2"/>
        <v>2.6223776223776225</v>
      </c>
      <c r="AB20" s="420"/>
      <c r="AC20" s="418"/>
      <c r="AD20" s="418"/>
      <c r="AE20" s="425"/>
      <c r="AF20" s="418"/>
    </row>
    <row r="21" spans="1:32" s="21" customFormat="1" ht="43.5" customHeight="1">
      <c r="A21" s="402">
        <f t="shared" si="3"/>
        <v>19</v>
      </c>
      <c r="B21" s="395"/>
      <c r="C21" s="402">
        <v>1174</v>
      </c>
      <c r="D21" s="402">
        <v>3</v>
      </c>
      <c r="E21" s="402" t="s">
        <v>139</v>
      </c>
      <c r="F21" s="402" t="s">
        <v>138</v>
      </c>
      <c r="G21" s="402">
        <v>368</v>
      </c>
      <c r="H21" s="402" t="s">
        <v>140</v>
      </c>
      <c r="I21" s="402" t="s">
        <v>134</v>
      </c>
      <c r="J21" s="402" t="s">
        <v>135</v>
      </c>
      <c r="K21" s="412">
        <v>80</v>
      </c>
      <c r="L21" s="412" t="s">
        <v>76</v>
      </c>
      <c r="M21" s="418"/>
      <c r="N21" s="422">
        <v>0.77</v>
      </c>
      <c r="O21" s="422">
        <f t="shared" si="4"/>
        <v>61.6</v>
      </c>
      <c r="P21" s="426"/>
      <c r="Q21" s="390" t="s">
        <v>39</v>
      </c>
      <c r="R21" s="419">
        <v>14030601</v>
      </c>
      <c r="S21" s="424">
        <v>45563</v>
      </c>
      <c r="T21" s="402" t="s">
        <v>141</v>
      </c>
      <c r="U21" s="419" t="s">
        <v>142</v>
      </c>
      <c r="V21" s="412"/>
      <c r="W21" s="413">
        <v>3</v>
      </c>
      <c r="X21" s="414">
        <f t="shared" si="1"/>
        <v>240</v>
      </c>
      <c r="Y21" s="415"/>
      <c r="Z21" s="416">
        <v>1.28</v>
      </c>
      <c r="AA21" s="417">
        <f t="shared" si="2"/>
        <v>3.0438311688311686</v>
      </c>
      <c r="AB21" s="420"/>
      <c r="AC21" s="418"/>
      <c r="AD21" s="418"/>
      <c r="AE21" s="425"/>
      <c r="AF21" s="418"/>
    </row>
    <row r="22" spans="1:32" s="21" customFormat="1" ht="43.5" customHeight="1">
      <c r="A22" s="402">
        <f t="shared" si="3"/>
        <v>20</v>
      </c>
      <c r="B22" s="395"/>
      <c r="C22" s="402">
        <v>1175</v>
      </c>
      <c r="D22" s="402">
        <v>4</v>
      </c>
      <c r="E22" s="402" t="s">
        <v>139</v>
      </c>
      <c r="F22" s="402" t="s">
        <v>100</v>
      </c>
      <c r="G22" s="402">
        <v>368</v>
      </c>
      <c r="H22" s="402" t="s">
        <v>140</v>
      </c>
      <c r="I22" s="402" t="s">
        <v>136</v>
      </c>
      <c r="J22" s="402" t="s">
        <v>137</v>
      </c>
      <c r="K22" s="412">
        <v>6</v>
      </c>
      <c r="L22" s="412" t="s">
        <v>91</v>
      </c>
      <c r="M22" s="418"/>
      <c r="N22" s="422">
        <v>74</v>
      </c>
      <c r="O22" s="422">
        <f t="shared" si="4"/>
        <v>444</v>
      </c>
      <c r="P22" s="426"/>
      <c r="Q22" s="390" t="s">
        <v>39</v>
      </c>
      <c r="R22" s="419">
        <v>14030601</v>
      </c>
      <c r="S22" s="424">
        <v>45563</v>
      </c>
      <c r="T22" s="402" t="s">
        <v>141</v>
      </c>
      <c r="U22" s="419" t="s">
        <v>142</v>
      </c>
      <c r="V22" s="412"/>
      <c r="W22" s="413">
        <v>120</v>
      </c>
      <c r="X22" s="414">
        <f t="shared" si="1"/>
        <v>720</v>
      </c>
      <c r="Y22" s="415"/>
      <c r="Z22" s="416">
        <v>1.28</v>
      </c>
      <c r="AA22" s="417">
        <f t="shared" si="2"/>
        <v>1.2668918918918919</v>
      </c>
      <c r="AB22" s="420"/>
      <c r="AC22" s="418"/>
      <c r="AD22" s="418"/>
      <c r="AE22" s="425"/>
      <c r="AF22" s="418"/>
    </row>
    <row r="23" spans="1:32" s="21" customFormat="1" ht="43.5" customHeight="1">
      <c r="A23" s="402">
        <f t="shared" si="3"/>
        <v>21</v>
      </c>
      <c r="B23" s="395"/>
      <c r="C23" s="402">
        <v>1183</v>
      </c>
      <c r="D23" s="402">
        <v>1</v>
      </c>
      <c r="E23" s="402" t="s">
        <v>184</v>
      </c>
      <c r="F23" s="402" t="s">
        <v>316</v>
      </c>
      <c r="G23" s="402">
        <v>371</v>
      </c>
      <c r="H23" s="402" t="s">
        <v>77</v>
      </c>
      <c r="I23" s="402" t="s">
        <v>145</v>
      </c>
      <c r="J23" s="402" t="s">
        <v>146</v>
      </c>
      <c r="K23" s="402">
        <v>2</v>
      </c>
      <c r="L23" s="412" t="s">
        <v>91</v>
      </c>
      <c r="M23" s="418"/>
      <c r="N23" s="422">
        <v>75</v>
      </c>
      <c r="O23" s="422">
        <f t="shared" si="4"/>
        <v>150</v>
      </c>
      <c r="P23" s="426"/>
      <c r="Q23" s="390" t="s">
        <v>39</v>
      </c>
      <c r="R23" s="419" t="s">
        <v>179</v>
      </c>
      <c r="S23" s="424" t="s">
        <v>180</v>
      </c>
      <c r="T23" s="402"/>
      <c r="U23" s="419" t="s">
        <v>142</v>
      </c>
      <c r="V23" s="412"/>
      <c r="W23" s="413">
        <v>340</v>
      </c>
      <c r="X23" s="414">
        <f t="shared" si="1"/>
        <v>680</v>
      </c>
      <c r="Y23" s="415">
        <v>35</v>
      </c>
      <c r="Z23" s="416">
        <v>1.28</v>
      </c>
      <c r="AA23" s="417">
        <f t="shared" si="2"/>
        <v>3.5416666666666665</v>
      </c>
      <c r="AB23" s="420"/>
      <c r="AC23" s="418" t="s">
        <v>147</v>
      </c>
      <c r="AD23" s="418"/>
      <c r="AE23" s="425"/>
      <c r="AF23" s="418"/>
    </row>
    <row r="24" spans="1:32" s="21" customFormat="1" ht="43.5" customHeight="1">
      <c r="A24" s="402">
        <f t="shared" si="3"/>
        <v>22</v>
      </c>
      <c r="B24" s="395"/>
      <c r="C24" s="402">
        <v>1184</v>
      </c>
      <c r="D24" s="402">
        <v>2</v>
      </c>
      <c r="E24" s="402" t="s">
        <v>184</v>
      </c>
      <c r="F24" s="402" t="s">
        <v>317</v>
      </c>
      <c r="G24" s="402">
        <v>371</v>
      </c>
      <c r="H24" s="402" t="s">
        <v>77</v>
      </c>
      <c r="I24" s="402" t="s">
        <v>304</v>
      </c>
      <c r="J24" s="402" t="s">
        <v>148</v>
      </c>
      <c r="K24" s="402">
        <v>1</v>
      </c>
      <c r="L24" s="412" t="s">
        <v>76</v>
      </c>
      <c r="M24" s="418"/>
      <c r="N24" s="422">
        <v>1948.05</v>
      </c>
      <c r="O24" s="422">
        <f t="shared" si="4"/>
        <v>1948.05</v>
      </c>
      <c r="P24" s="426"/>
      <c r="Q24" s="390" t="s">
        <v>39</v>
      </c>
      <c r="R24" s="419" t="s">
        <v>179</v>
      </c>
      <c r="S24" s="424" t="s">
        <v>180</v>
      </c>
      <c r="T24" s="402"/>
      <c r="U24" s="419" t="s">
        <v>142</v>
      </c>
      <c r="V24" s="412" t="s">
        <v>305</v>
      </c>
      <c r="W24" s="413">
        <v>4510</v>
      </c>
      <c r="X24" s="414">
        <f t="shared" si="1"/>
        <v>4510</v>
      </c>
      <c r="Y24" s="415">
        <v>35</v>
      </c>
      <c r="Z24" s="416">
        <v>1.28</v>
      </c>
      <c r="AA24" s="417">
        <f t="shared" si="2"/>
        <v>1.8086997253663919</v>
      </c>
      <c r="AB24" s="420"/>
      <c r="AC24" s="418" t="s">
        <v>147</v>
      </c>
      <c r="AD24" s="418"/>
      <c r="AE24" s="425"/>
      <c r="AF24" s="418"/>
    </row>
    <row r="25" spans="1:32" s="21" customFormat="1" ht="43.5" customHeight="1">
      <c r="A25" s="402">
        <f t="shared" si="3"/>
        <v>23</v>
      </c>
      <c r="B25" s="395"/>
      <c r="C25" s="402">
        <v>1185</v>
      </c>
      <c r="D25" s="402">
        <v>3</v>
      </c>
      <c r="E25" s="402" t="s">
        <v>184</v>
      </c>
      <c r="F25" s="402" t="s">
        <v>181</v>
      </c>
      <c r="G25" s="402">
        <v>371</v>
      </c>
      <c r="H25" s="402" t="s">
        <v>77</v>
      </c>
      <c r="I25" s="402" t="s">
        <v>149</v>
      </c>
      <c r="J25" s="402" t="s">
        <v>150</v>
      </c>
      <c r="K25" s="402">
        <v>1</v>
      </c>
      <c r="L25" s="412" t="s">
        <v>76</v>
      </c>
      <c r="M25" s="418"/>
      <c r="N25" s="422">
        <v>258.99</v>
      </c>
      <c r="O25" s="422">
        <f t="shared" si="4"/>
        <v>258.99</v>
      </c>
      <c r="P25" s="426"/>
      <c r="Q25" s="390" t="s">
        <v>39</v>
      </c>
      <c r="R25" s="419" t="s">
        <v>179</v>
      </c>
      <c r="S25" s="424" t="s">
        <v>180</v>
      </c>
      <c r="T25" s="402"/>
      <c r="U25" s="419" t="s">
        <v>142</v>
      </c>
      <c r="V25" s="412"/>
      <c r="W25" s="413">
        <v>550</v>
      </c>
      <c r="X25" s="414">
        <f t="shared" si="1"/>
        <v>550</v>
      </c>
      <c r="Y25" s="415">
        <v>35</v>
      </c>
      <c r="Z25" s="416">
        <v>1.28</v>
      </c>
      <c r="AA25" s="417">
        <f t="shared" si="2"/>
        <v>1.6590891540213908</v>
      </c>
      <c r="AB25" s="420"/>
      <c r="AC25" s="418" t="s">
        <v>147</v>
      </c>
      <c r="AD25" s="418"/>
      <c r="AE25" s="425"/>
      <c r="AF25" s="418"/>
    </row>
    <row r="26" spans="1:32" s="21" customFormat="1" ht="43.5" customHeight="1">
      <c r="A26" s="402">
        <f t="shared" si="3"/>
        <v>24</v>
      </c>
      <c r="B26" s="395"/>
      <c r="C26" s="402">
        <v>1186</v>
      </c>
      <c r="D26" s="402">
        <v>4</v>
      </c>
      <c r="E26" s="402" t="s">
        <v>184</v>
      </c>
      <c r="F26" s="402" t="s">
        <v>138</v>
      </c>
      <c r="G26" s="402">
        <v>371</v>
      </c>
      <c r="H26" s="402" t="s">
        <v>77</v>
      </c>
      <c r="I26" s="402" t="s">
        <v>151</v>
      </c>
      <c r="J26" s="402" t="s">
        <v>152</v>
      </c>
      <c r="K26" s="402">
        <v>5</v>
      </c>
      <c r="L26" s="412" t="s">
        <v>76</v>
      </c>
      <c r="M26" s="418"/>
      <c r="N26" s="422">
        <v>436.38</v>
      </c>
      <c r="O26" s="422">
        <f t="shared" si="4"/>
        <v>2181.9</v>
      </c>
      <c r="P26" s="426"/>
      <c r="Q26" s="390" t="s">
        <v>39</v>
      </c>
      <c r="R26" s="419" t="s">
        <v>179</v>
      </c>
      <c r="S26" s="424" t="s">
        <v>180</v>
      </c>
      <c r="T26" s="402"/>
      <c r="U26" s="419" t="s">
        <v>142</v>
      </c>
      <c r="V26" s="412"/>
      <c r="W26" s="413">
        <v>640</v>
      </c>
      <c r="X26" s="414">
        <f t="shared" si="1"/>
        <v>3200</v>
      </c>
      <c r="Y26" s="415">
        <v>35</v>
      </c>
      <c r="Z26" s="416">
        <v>1.28</v>
      </c>
      <c r="AA26" s="417">
        <f t="shared" si="2"/>
        <v>1.145790366194601</v>
      </c>
      <c r="AB26" s="420"/>
      <c r="AC26" s="418" t="s">
        <v>147</v>
      </c>
      <c r="AD26" s="418"/>
      <c r="AE26" s="425"/>
      <c r="AF26" s="418"/>
    </row>
    <row r="27" spans="1:32" s="21" customFormat="1" ht="43.5" customHeight="1">
      <c r="A27" s="402">
        <f t="shared" si="3"/>
        <v>25</v>
      </c>
      <c r="B27" s="395"/>
      <c r="C27" s="402">
        <v>1187</v>
      </c>
      <c r="D27" s="402">
        <v>5</v>
      </c>
      <c r="E27" s="402" t="s">
        <v>184</v>
      </c>
      <c r="F27" s="402" t="s">
        <v>100</v>
      </c>
      <c r="G27" s="402">
        <v>371</v>
      </c>
      <c r="H27" s="402" t="s">
        <v>77</v>
      </c>
      <c r="I27" s="402" t="s">
        <v>153</v>
      </c>
      <c r="J27" s="402" t="s">
        <v>154</v>
      </c>
      <c r="K27" s="402">
        <v>10</v>
      </c>
      <c r="L27" s="412" t="s">
        <v>91</v>
      </c>
      <c r="M27" s="418"/>
      <c r="N27" s="422">
        <v>43.75</v>
      </c>
      <c r="O27" s="422">
        <f t="shared" si="4"/>
        <v>437.5</v>
      </c>
      <c r="P27" s="426"/>
      <c r="Q27" s="390" t="s">
        <v>39</v>
      </c>
      <c r="R27" s="419" t="s">
        <v>179</v>
      </c>
      <c r="S27" s="424" t="s">
        <v>180</v>
      </c>
      <c r="T27" s="402"/>
      <c r="U27" s="419" t="s">
        <v>142</v>
      </c>
      <c r="V27" s="412"/>
      <c r="W27" s="413">
        <v>80</v>
      </c>
      <c r="X27" s="414">
        <f t="shared" si="1"/>
        <v>800</v>
      </c>
      <c r="Y27" s="415">
        <v>35</v>
      </c>
      <c r="Z27" s="416">
        <v>1.28</v>
      </c>
      <c r="AA27" s="417">
        <f t="shared" si="2"/>
        <v>1.4285714285714286</v>
      </c>
      <c r="AB27" s="420"/>
      <c r="AC27" s="418" t="s">
        <v>147</v>
      </c>
      <c r="AD27" s="418"/>
      <c r="AE27" s="425"/>
      <c r="AF27" s="418"/>
    </row>
    <row r="28" spans="1:32" s="21" customFormat="1" ht="43.5" customHeight="1">
      <c r="A28" s="402">
        <f t="shared" si="3"/>
        <v>26</v>
      </c>
      <c r="B28" s="395"/>
      <c r="C28" s="402">
        <v>1188</v>
      </c>
      <c r="D28" s="402">
        <v>6</v>
      </c>
      <c r="E28" s="402" t="s">
        <v>184</v>
      </c>
      <c r="F28" s="402" t="s">
        <v>100</v>
      </c>
      <c r="G28" s="402">
        <v>371</v>
      </c>
      <c r="H28" s="402" t="s">
        <v>77</v>
      </c>
      <c r="I28" s="402" t="s">
        <v>155</v>
      </c>
      <c r="J28" s="402" t="s">
        <v>156</v>
      </c>
      <c r="K28" s="402">
        <v>2</v>
      </c>
      <c r="L28" s="412" t="s">
        <v>122</v>
      </c>
      <c r="M28" s="418"/>
      <c r="N28" s="422">
        <v>1250</v>
      </c>
      <c r="O28" s="422">
        <f t="shared" si="4"/>
        <v>2500</v>
      </c>
      <c r="P28" s="426"/>
      <c r="Q28" s="390" t="s">
        <v>39</v>
      </c>
      <c r="R28" s="419" t="s">
        <v>179</v>
      </c>
      <c r="S28" s="424" t="s">
        <v>180</v>
      </c>
      <c r="T28" s="402"/>
      <c r="U28" s="419" t="s">
        <v>142</v>
      </c>
      <c r="V28" s="412" t="s">
        <v>157</v>
      </c>
      <c r="W28" s="413">
        <v>3180</v>
      </c>
      <c r="X28" s="414">
        <f t="shared" si="1"/>
        <v>6360</v>
      </c>
      <c r="Y28" s="415">
        <v>35</v>
      </c>
      <c r="Z28" s="416">
        <v>1.28</v>
      </c>
      <c r="AA28" s="417">
        <f t="shared" si="2"/>
        <v>1.9875</v>
      </c>
      <c r="AB28" s="420"/>
      <c r="AC28" s="418" t="s">
        <v>147</v>
      </c>
      <c r="AD28" s="418"/>
      <c r="AE28" s="425"/>
      <c r="AF28" s="418"/>
    </row>
    <row r="29" spans="1:32" s="21" customFormat="1" ht="43.5" customHeight="1">
      <c r="A29" s="402">
        <f t="shared" si="3"/>
        <v>27</v>
      </c>
      <c r="B29" s="395"/>
      <c r="C29" s="402">
        <v>1189</v>
      </c>
      <c r="D29" s="402">
        <v>7</v>
      </c>
      <c r="E29" s="402" t="s">
        <v>184</v>
      </c>
      <c r="F29" s="402" t="s">
        <v>100</v>
      </c>
      <c r="G29" s="402">
        <v>371</v>
      </c>
      <c r="H29" s="402" t="s">
        <v>77</v>
      </c>
      <c r="I29" s="402" t="s">
        <v>158</v>
      </c>
      <c r="J29" s="402" t="s">
        <v>159</v>
      </c>
      <c r="K29" s="402">
        <v>1</v>
      </c>
      <c r="L29" s="412" t="s">
        <v>91</v>
      </c>
      <c r="M29" s="418"/>
      <c r="N29" s="422">
        <v>1064</v>
      </c>
      <c r="O29" s="422">
        <f t="shared" si="4"/>
        <v>1064</v>
      </c>
      <c r="P29" s="426"/>
      <c r="Q29" s="390" t="s">
        <v>39</v>
      </c>
      <c r="R29" s="419" t="s">
        <v>179</v>
      </c>
      <c r="S29" s="424" t="s">
        <v>180</v>
      </c>
      <c r="T29" s="402"/>
      <c r="U29" s="419" t="s">
        <v>142</v>
      </c>
      <c r="V29" s="412" t="s">
        <v>160</v>
      </c>
      <c r="W29" s="413">
        <v>1840</v>
      </c>
      <c r="X29" s="414">
        <f t="shared" si="1"/>
        <v>1840</v>
      </c>
      <c r="Y29" s="415">
        <v>35</v>
      </c>
      <c r="Z29" s="416">
        <v>1.28</v>
      </c>
      <c r="AA29" s="417">
        <f t="shared" si="2"/>
        <v>1.3510338345864661</v>
      </c>
      <c r="AB29" s="420"/>
      <c r="AC29" s="418" t="s">
        <v>147</v>
      </c>
      <c r="AD29" s="418"/>
      <c r="AE29" s="425"/>
      <c r="AF29" s="418"/>
    </row>
    <row r="30" spans="1:32" s="21" customFormat="1" ht="43.5" customHeight="1">
      <c r="A30" s="402">
        <f t="shared" si="3"/>
        <v>28</v>
      </c>
      <c r="B30" s="395"/>
      <c r="C30" s="402">
        <v>1190</v>
      </c>
      <c r="D30" s="402">
        <v>8</v>
      </c>
      <c r="E30" s="402" t="s">
        <v>184</v>
      </c>
      <c r="F30" s="402" t="s">
        <v>182</v>
      </c>
      <c r="G30" s="402">
        <v>371</v>
      </c>
      <c r="H30" s="402" t="s">
        <v>77</v>
      </c>
      <c r="I30" s="402" t="s">
        <v>161</v>
      </c>
      <c r="J30" s="402" t="s">
        <v>162</v>
      </c>
      <c r="K30" s="402">
        <v>50</v>
      </c>
      <c r="L30" s="412" t="s">
        <v>76</v>
      </c>
      <c r="M30" s="418"/>
      <c r="N30" s="422">
        <v>49.7</v>
      </c>
      <c r="O30" s="422">
        <f t="shared" si="4"/>
        <v>2485</v>
      </c>
      <c r="P30" s="426"/>
      <c r="Q30" s="390" t="s">
        <v>39</v>
      </c>
      <c r="R30" s="419" t="s">
        <v>179</v>
      </c>
      <c r="S30" s="424" t="s">
        <v>180</v>
      </c>
      <c r="T30" s="402"/>
      <c r="U30" s="419" t="s">
        <v>142</v>
      </c>
      <c r="V30" s="412" t="s">
        <v>163</v>
      </c>
      <c r="W30" s="413">
        <v>74</v>
      </c>
      <c r="X30" s="414">
        <f t="shared" si="1"/>
        <v>3700</v>
      </c>
      <c r="Y30" s="415">
        <v>35</v>
      </c>
      <c r="Z30" s="416">
        <v>1.28</v>
      </c>
      <c r="AA30" s="417">
        <f t="shared" si="2"/>
        <v>1.1632293762575452</v>
      </c>
      <c r="AB30" s="420"/>
      <c r="AC30" s="418" t="s">
        <v>147</v>
      </c>
      <c r="AD30" s="418"/>
      <c r="AE30" s="425"/>
      <c r="AF30" s="418"/>
    </row>
    <row r="31" spans="1:32" s="21" customFormat="1" ht="43.5" customHeight="1">
      <c r="A31" s="402">
        <f t="shared" si="3"/>
        <v>29</v>
      </c>
      <c r="B31" s="395"/>
      <c r="C31" s="402">
        <v>1191</v>
      </c>
      <c r="D31" s="402">
        <v>9</v>
      </c>
      <c r="E31" s="402" t="s">
        <v>184</v>
      </c>
      <c r="F31" s="402" t="s">
        <v>100</v>
      </c>
      <c r="G31" s="402">
        <v>371</v>
      </c>
      <c r="H31" s="402" t="s">
        <v>140</v>
      </c>
      <c r="I31" s="402" t="s">
        <v>164</v>
      </c>
      <c r="J31" s="402" t="s">
        <v>165</v>
      </c>
      <c r="K31" s="402">
        <v>1</v>
      </c>
      <c r="L31" s="412" t="s">
        <v>91</v>
      </c>
      <c r="M31" s="418"/>
      <c r="N31" s="422">
        <v>2785</v>
      </c>
      <c r="O31" s="422">
        <f t="shared" si="4"/>
        <v>2785</v>
      </c>
      <c r="P31" s="426"/>
      <c r="Q31" s="390" t="s">
        <v>39</v>
      </c>
      <c r="R31" s="419" t="s">
        <v>179</v>
      </c>
      <c r="S31" s="424" t="s">
        <v>180</v>
      </c>
      <c r="T31" s="402"/>
      <c r="U31" s="419" t="s">
        <v>142</v>
      </c>
      <c r="V31" s="412" t="s">
        <v>167</v>
      </c>
      <c r="W31" s="413">
        <v>4470</v>
      </c>
      <c r="X31" s="414">
        <f t="shared" si="1"/>
        <v>4470</v>
      </c>
      <c r="Y31" s="415"/>
      <c r="Z31" s="416">
        <v>1.28</v>
      </c>
      <c r="AA31" s="417">
        <f t="shared" si="2"/>
        <v>1.2539272890484741</v>
      </c>
      <c r="AB31" s="420"/>
      <c r="AC31" s="418" t="s">
        <v>166</v>
      </c>
      <c r="AD31" s="418"/>
      <c r="AE31" s="425"/>
      <c r="AF31" s="418"/>
    </row>
    <row r="32" spans="1:32" s="21" customFormat="1" ht="43.5" customHeight="1">
      <c r="A32" s="402">
        <f t="shared" si="3"/>
        <v>30</v>
      </c>
      <c r="B32" s="395"/>
      <c r="C32" s="402">
        <v>1192</v>
      </c>
      <c r="D32" s="402">
        <v>10</v>
      </c>
      <c r="E32" s="402" t="s">
        <v>184</v>
      </c>
      <c r="F32" s="402" t="s">
        <v>306</v>
      </c>
      <c r="G32" s="402">
        <v>371</v>
      </c>
      <c r="H32" s="402" t="s">
        <v>140</v>
      </c>
      <c r="I32" s="402" t="s">
        <v>168</v>
      </c>
      <c r="J32" s="402" t="s">
        <v>169</v>
      </c>
      <c r="K32" s="402">
        <v>1</v>
      </c>
      <c r="L32" s="412" t="s">
        <v>91</v>
      </c>
      <c r="M32" s="418"/>
      <c r="N32" s="422">
        <v>110</v>
      </c>
      <c r="O32" s="422">
        <f t="shared" si="4"/>
        <v>110</v>
      </c>
      <c r="P32" s="426"/>
      <c r="Q32" s="390" t="s">
        <v>39</v>
      </c>
      <c r="R32" s="419" t="s">
        <v>179</v>
      </c>
      <c r="S32" s="424" t="s">
        <v>180</v>
      </c>
      <c r="T32" s="402"/>
      <c r="U32" s="419" t="s">
        <v>142</v>
      </c>
      <c r="V32" s="412" t="s">
        <v>170</v>
      </c>
      <c r="W32" s="413">
        <v>316</v>
      </c>
      <c r="X32" s="414">
        <f t="shared" si="1"/>
        <v>316</v>
      </c>
      <c r="Y32" s="415"/>
      <c r="Z32" s="416">
        <v>1.28</v>
      </c>
      <c r="AA32" s="417">
        <f t="shared" si="2"/>
        <v>2.2443181818181817</v>
      </c>
      <c r="AB32" s="420"/>
      <c r="AC32" s="418" t="s">
        <v>166</v>
      </c>
      <c r="AD32" s="418"/>
      <c r="AE32" s="425"/>
      <c r="AF32" s="418"/>
    </row>
    <row r="33" spans="1:32" s="21" customFormat="1" ht="43.5" customHeight="1">
      <c r="A33" s="402">
        <f t="shared" si="3"/>
        <v>31</v>
      </c>
      <c r="B33" s="395"/>
      <c r="C33" s="402">
        <v>1193</v>
      </c>
      <c r="D33" s="402">
        <v>11</v>
      </c>
      <c r="E33" s="402" t="s">
        <v>184</v>
      </c>
      <c r="F33" s="402" t="s">
        <v>183</v>
      </c>
      <c r="G33" s="402">
        <v>371</v>
      </c>
      <c r="H33" s="402" t="s">
        <v>140</v>
      </c>
      <c r="I33" s="402" t="s">
        <v>171</v>
      </c>
      <c r="J33" s="402" t="s">
        <v>172</v>
      </c>
      <c r="K33" s="402">
        <v>1</v>
      </c>
      <c r="L33" s="412" t="s">
        <v>122</v>
      </c>
      <c r="M33" s="418"/>
      <c r="N33" s="422">
        <v>4500</v>
      </c>
      <c r="O33" s="422">
        <v>0</v>
      </c>
      <c r="P33" s="426"/>
      <c r="Q33" s="429" t="s">
        <v>468</v>
      </c>
      <c r="R33" s="419" t="s">
        <v>179</v>
      </c>
      <c r="S33" s="424" t="s">
        <v>180</v>
      </c>
      <c r="T33" s="402"/>
      <c r="U33" s="419" t="s">
        <v>142</v>
      </c>
      <c r="V33" s="412"/>
      <c r="W33" s="413">
        <v>7370</v>
      </c>
      <c r="X33" s="414">
        <v>0</v>
      </c>
      <c r="Y33" s="415"/>
      <c r="Z33" s="416">
        <v>1.28</v>
      </c>
      <c r="AA33" s="417" t="e">
        <f t="shared" si="2"/>
        <v>#DIV/0!</v>
      </c>
      <c r="AB33" s="418"/>
      <c r="AC33" s="418" t="s">
        <v>381</v>
      </c>
      <c r="AD33" s="418"/>
      <c r="AE33" s="425"/>
      <c r="AF33" s="418"/>
    </row>
    <row r="34" spans="1:32" s="21" customFormat="1" ht="43.5" customHeight="1">
      <c r="A34" s="402">
        <f t="shared" si="3"/>
        <v>32</v>
      </c>
      <c r="B34" s="395" t="s">
        <v>387</v>
      </c>
      <c r="C34" s="402">
        <v>1290</v>
      </c>
      <c r="D34" s="402">
        <v>11</v>
      </c>
      <c r="E34" s="402" t="s">
        <v>184</v>
      </c>
      <c r="F34" s="402" t="s">
        <v>382</v>
      </c>
      <c r="G34" s="402">
        <v>371</v>
      </c>
      <c r="H34" s="402" t="s">
        <v>140</v>
      </c>
      <c r="I34" s="402" t="s">
        <v>393</v>
      </c>
      <c r="J34" s="402" t="s">
        <v>172</v>
      </c>
      <c r="K34" s="402">
        <v>1</v>
      </c>
      <c r="L34" s="412" t="s">
        <v>125</v>
      </c>
      <c r="M34" s="418"/>
      <c r="N34" s="422">
        <v>4500</v>
      </c>
      <c r="O34" s="422">
        <f t="shared" ref="O34:O97" si="5">N34*K34</f>
        <v>4500</v>
      </c>
      <c r="P34" s="426"/>
      <c r="Q34" s="390" t="s">
        <v>39</v>
      </c>
      <c r="R34" s="419" t="s">
        <v>179</v>
      </c>
      <c r="S34" s="424" t="s">
        <v>180</v>
      </c>
      <c r="T34" s="402"/>
      <c r="U34" s="419" t="s">
        <v>142</v>
      </c>
      <c r="V34" s="412"/>
      <c r="W34" s="413">
        <v>7370</v>
      </c>
      <c r="X34" s="414">
        <f t="shared" ref="X34:X65" si="6">W34*K34</f>
        <v>7370</v>
      </c>
      <c r="Y34" s="415"/>
      <c r="Z34" s="416">
        <v>1.28</v>
      </c>
      <c r="AA34" s="417">
        <f t="shared" si="2"/>
        <v>1.2795138888888888</v>
      </c>
      <c r="AB34" s="420"/>
      <c r="AC34" s="418" t="s">
        <v>166</v>
      </c>
      <c r="AD34" s="418"/>
      <c r="AE34" s="425"/>
      <c r="AF34" s="418"/>
    </row>
    <row r="35" spans="1:32" s="21" customFormat="1" ht="43.5" customHeight="1">
      <c r="A35" s="402">
        <f t="shared" si="3"/>
        <v>33</v>
      </c>
      <c r="B35" s="395"/>
      <c r="C35" s="402">
        <v>1194</v>
      </c>
      <c r="D35" s="402">
        <v>12</v>
      </c>
      <c r="E35" s="402" t="s">
        <v>184</v>
      </c>
      <c r="F35" s="402" t="s">
        <v>182</v>
      </c>
      <c r="G35" s="402">
        <v>371</v>
      </c>
      <c r="H35" s="402" t="s">
        <v>140</v>
      </c>
      <c r="I35" s="402" t="s">
        <v>173</v>
      </c>
      <c r="J35" s="402" t="s">
        <v>150</v>
      </c>
      <c r="K35" s="402">
        <v>50</v>
      </c>
      <c r="L35" s="412" t="s">
        <v>76</v>
      </c>
      <c r="M35" s="418"/>
      <c r="N35" s="422">
        <v>0.97</v>
      </c>
      <c r="O35" s="422">
        <f t="shared" si="5"/>
        <v>48.5</v>
      </c>
      <c r="P35" s="426"/>
      <c r="Q35" s="390" t="s">
        <v>39</v>
      </c>
      <c r="R35" s="419" t="s">
        <v>179</v>
      </c>
      <c r="S35" s="424" t="s">
        <v>180</v>
      </c>
      <c r="T35" s="402"/>
      <c r="U35" s="419" t="s">
        <v>142</v>
      </c>
      <c r="V35" s="412" t="s">
        <v>174</v>
      </c>
      <c r="W35" s="413">
        <v>3.3</v>
      </c>
      <c r="X35" s="414">
        <f t="shared" si="6"/>
        <v>165</v>
      </c>
      <c r="Y35" s="415"/>
      <c r="Z35" s="416">
        <v>1.28</v>
      </c>
      <c r="AA35" s="417">
        <f t="shared" si="2"/>
        <v>2.6578608247422677</v>
      </c>
      <c r="AB35" s="420"/>
      <c r="AC35" s="418" t="s">
        <v>166</v>
      </c>
      <c r="AD35" s="418"/>
      <c r="AE35" s="425"/>
      <c r="AF35" s="418"/>
    </row>
    <row r="36" spans="1:32" s="21" customFormat="1" ht="43.5" customHeight="1">
      <c r="A36" s="402">
        <f t="shared" si="3"/>
        <v>34</v>
      </c>
      <c r="B36" s="395"/>
      <c r="C36" s="402">
        <v>1195</v>
      </c>
      <c r="D36" s="402">
        <v>13</v>
      </c>
      <c r="E36" s="402" t="s">
        <v>184</v>
      </c>
      <c r="F36" s="402" t="s">
        <v>138</v>
      </c>
      <c r="G36" s="402">
        <v>371</v>
      </c>
      <c r="H36" s="402" t="s">
        <v>140</v>
      </c>
      <c r="I36" s="402" t="s">
        <v>175</v>
      </c>
      <c r="J36" s="402" t="s">
        <v>176</v>
      </c>
      <c r="K36" s="402">
        <v>10</v>
      </c>
      <c r="L36" s="412" t="s">
        <v>76</v>
      </c>
      <c r="M36" s="418"/>
      <c r="N36" s="422">
        <v>15.76</v>
      </c>
      <c r="O36" s="422">
        <f t="shared" si="5"/>
        <v>157.6</v>
      </c>
      <c r="P36" s="423"/>
      <c r="Q36" s="390" t="s">
        <v>39</v>
      </c>
      <c r="R36" s="419" t="s">
        <v>179</v>
      </c>
      <c r="S36" s="424" t="s">
        <v>180</v>
      </c>
      <c r="T36" s="402"/>
      <c r="U36" s="419" t="s">
        <v>142</v>
      </c>
      <c r="V36" s="412"/>
      <c r="W36" s="413">
        <v>19</v>
      </c>
      <c r="X36" s="414">
        <f t="shared" si="6"/>
        <v>190</v>
      </c>
      <c r="Y36" s="415">
        <v>35</v>
      </c>
      <c r="Z36" s="416">
        <v>1.28</v>
      </c>
      <c r="AA36" s="417">
        <f t="shared" si="2"/>
        <v>0.94186230964466999</v>
      </c>
      <c r="AB36" s="420"/>
      <c r="AC36" s="418" t="s">
        <v>147</v>
      </c>
      <c r="AD36" s="418"/>
      <c r="AE36" s="425"/>
      <c r="AF36" s="418"/>
    </row>
    <row r="37" spans="1:32" s="21" customFormat="1" ht="43.5" customHeight="1">
      <c r="A37" s="402">
        <f t="shared" si="3"/>
        <v>35</v>
      </c>
      <c r="B37" s="395"/>
      <c r="C37" s="402">
        <v>1196</v>
      </c>
      <c r="D37" s="402">
        <v>14</v>
      </c>
      <c r="E37" s="402" t="s">
        <v>184</v>
      </c>
      <c r="F37" s="402" t="s">
        <v>321</v>
      </c>
      <c r="G37" s="402">
        <v>371</v>
      </c>
      <c r="H37" s="402" t="s">
        <v>140</v>
      </c>
      <c r="I37" s="402" t="s">
        <v>297</v>
      </c>
      <c r="J37" s="402" t="s">
        <v>177</v>
      </c>
      <c r="K37" s="402">
        <v>1</v>
      </c>
      <c r="L37" s="412" t="s">
        <v>125</v>
      </c>
      <c r="M37" s="418"/>
      <c r="N37" s="422">
        <v>3250</v>
      </c>
      <c r="O37" s="422">
        <f t="shared" si="5"/>
        <v>3250</v>
      </c>
      <c r="P37" s="423"/>
      <c r="Q37" s="390" t="s">
        <v>39</v>
      </c>
      <c r="R37" s="419" t="s">
        <v>179</v>
      </c>
      <c r="S37" s="424" t="s">
        <v>180</v>
      </c>
      <c r="T37" s="402"/>
      <c r="U37" s="419" t="s">
        <v>142</v>
      </c>
      <c r="V37" s="412"/>
      <c r="W37" s="413">
        <v>5830</v>
      </c>
      <c r="X37" s="414">
        <f t="shared" si="6"/>
        <v>5830</v>
      </c>
      <c r="Y37" s="415">
        <v>35</v>
      </c>
      <c r="Z37" s="416">
        <v>1.28</v>
      </c>
      <c r="AA37" s="417">
        <f t="shared" si="2"/>
        <v>1.4014423076923077</v>
      </c>
      <c r="AB37" s="418"/>
      <c r="AC37" s="418" t="s">
        <v>166</v>
      </c>
      <c r="AD37" s="418"/>
      <c r="AE37" s="425"/>
      <c r="AF37" s="418"/>
    </row>
    <row r="38" spans="1:32" s="21" customFormat="1" ht="43.5" customHeight="1">
      <c r="A38" s="402">
        <f t="shared" si="3"/>
        <v>36</v>
      </c>
      <c r="B38" s="395"/>
      <c r="C38" s="402">
        <v>1197</v>
      </c>
      <c r="D38" s="402">
        <v>15</v>
      </c>
      <c r="E38" s="402" t="s">
        <v>184</v>
      </c>
      <c r="F38" s="402" t="s">
        <v>100</v>
      </c>
      <c r="G38" s="402">
        <v>371</v>
      </c>
      <c r="H38" s="402" t="s">
        <v>140</v>
      </c>
      <c r="I38" s="402" t="s">
        <v>191</v>
      </c>
      <c r="J38" s="402" t="s">
        <v>178</v>
      </c>
      <c r="K38" s="402">
        <v>2</v>
      </c>
      <c r="L38" s="412" t="s">
        <v>76</v>
      </c>
      <c r="M38" s="418"/>
      <c r="N38" s="422">
        <v>47</v>
      </c>
      <c r="O38" s="422">
        <f t="shared" si="5"/>
        <v>94</v>
      </c>
      <c r="P38" s="423"/>
      <c r="Q38" s="390" t="s">
        <v>39</v>
      </c>
      <c r="R38" s="419" t="s">
        <v>179</v>
      </c>
      <c r="S38" s="424" t="s">
        <v>180</v>
      </c>
      <c r="T38" s="402"/>
      <c r="U38" s="419" t="s">
        <v>142</v>
      </c>
      <c r="V38" s="412"/>
      <c r="W38" s="413">
        <v>138</v>
      </c>
      <c r="X38" s="414">
        <f t="shared" si="6"/>
        <v>276</v>
      </c>
      <c r="Y38" s="415">
        <v>35</v>
      </c>
      <c r="Z38" s="416">
        <v>1.28</v>
      </c>
      <c r="AA38" s="417">
        <f t="shared" si="2"/>
        <v>2.2938829787234041</v>
      </c>
      <c r="AB38" s="420"/>
      <c r="AC38" s="418" t="s">
        <v>147</v>
      </c>
      <c r="AD38" s="418"/>
      <c r="AE38" s="425"/>
      <c r="AF38" s="418"/>
    </row>
    <row r="39" spans="1:32" s="21" customFormat="1" ht="43.5" customHeight="1">
      <c r="A39" s="402">
        <f t="shared" si="3"/>
        <v>37</v>
      </c>
      <c r="B39" s="395"/>
      <c r="C39" s="402">
        <v>1204</v>
      </c>
      <c r="D39" s="402">
        <v>16</v>
      </c>
      <c r="E39" s="402" t="s">
        <v>184</v>
      </c>
      <c r="F39" s="402" t="s">
        <v>138</v>
      </c>
      <c r="G39" s="402">
        <v>371</v>
      </c>
      <c r="H39" s="402" t="s">
        <v>77</v>
      </c>
      <c r="I39" s="402" t="s">
        <v>303</v>
      </c>
      <c r="J39" s="402" t="s">
        <v>133</v>
      </c>
      <c r="K39" s="402">
        <v>10</v>
      </c>
      <c r="L39" s="412" t="s">
        <v>76</v>
      </c>
      <c r="M39" s="418"/>
      <c r="N39" s="422">
        <v>5.34</v>
      </c>
      <c r="O39" s="422">
        <f t="shared" si="5"/>
        <v>53.4</v>
      </c>
      <c r="P39" s="423"/>
      <c r="Q39" s="390" t="s">
        <v>39</v>
      </c>
      <c r="R39" s="419" t="s">
        <v>179</v>
      </c>
      <c r="S39" s="424" t="s">
        <v>180</v>
      </c>
      <c r="T39" s="402"/>
      <c r="U39" s="419" t="s">
        <v>142</v>
      </c>
      <c r="V39" s="412"/>
      <c r="W39" s="413">
        <v>15</v>
      </c>
      <c r="X39" s="414">
        <f t="shared" si="6"/>
        <v>150</v>
      </c>
      <c r="Y39" s="415">
        <v>35</v>
      </c>
      <c r="Z39" s="416">
        <v>1.28</v>
      </c>
      <c r="AA39" s="417">
        <f t="shared" si="2"/>
        <v>2.1945224719101124</v>
      </c>
      <c r="AB39" s="420"/>
      <c r="AC39" s="418" t="s">
        <v>147</v>
      </c>
      <c r="AD39" s="418"/>
      <c r="AE39" s="425"/>
      <c r="AF39" s="418"/>
    </row>
    <row r="40" spans="1:32" s="21" customFormat="1" ht="43.5" customHeight="1">
      <c r="A40" s="402">
        <f t="shared" si="3"/>
        <v>38</v>
      </c>
      <c r="B40" s="395" t="s">
        <v>387</v>
      </c>
      <c r="C40" s="402">
        <v>1262</v>
      </c>
      <c r="D40" s="402">
        <v>17</v>
      </c>
      <c r="E40" s="402" t="s">
        <v>184</v>
      </c>
      <c r="F40" s="402" t="s">
        <v>405</v>
      </c>
      <c r="G40" s="402">
        <v>371</v>
      </c>
      <c r="H40" s="402" t="s">
        <v>140</v>
      </c>
      <c r="I40" s="402" t="s">
        <v>587</v>
      </c>
      <c r="J40" s="402" t="s">
        <v>362</v>
      </c>
      <c r="K40" s="402">
        <v>1</v>
      </c>
      <c r="L40" s="412" t="s">
        <v>125</v>
      </c>
      <c r="M40" s="418"/>
      <c r="N40" s="422">
        <v>2350</v>
      </c>
      <c r="O40" s="422">
        <f t="shared" si="5"/>
        <v>2350</v>
      </c>
      <c r="P40" s="423"/>
      <c r="Q40" s="390" t="s">
        <v>39</v>
      </c>
      <c r="R40" s="419" t="s">
        <v>179</v>
      </c>
      <c r="S40" s="424">
        <v>45580</v>
      </c>
      <c r="T40" s="402"/>
      <c r="U40" s="419" t="s">
        <v>142</v>
      </c>
      <c r="V40" s="412" t="s">
        <v>361</v>
      </c>
      <c r="W40" s="413">
        <v>5000</v>
      </c>
      <c r="X40" s="414">
        <f t="shared" si="6"/>
        <v>5000</v>
      </c>
      <c r="Y40" s="415"/>
      <c r="Z40" s="416">
        <v>1.28</v>
      </c>
      <c r="AA40" s="417">
        <f t="shared" si="2"/>
        <v>1.6622340425531914</v>
      </c>
      <c r="AB40" s="418">
        <v>142</v>
      </c>
      <c r="AC40" s="418"/>
      <c r="AD40" s="418"/>
      <c r="AE40" s="425"/>
      <c r="AF40" s="418"/>
    </row>
    <row r="41" spans="1:32" s="21" customFormat="1" ht="43.5" customHeight="1">
      <c r="A41" s="402">
        <f t="shared" si="3"/>
        <v>39</v>
      </c>
      <c r="B41" s="395" t="s">
        <v>387</v>
      </c>
      <c r="C41" s="402">
        <v>1198</v>
      </c>
      <c r="D41" s="402">
        <v>1</v>
      </c>
      <c r="E41" s="402" t="s">
        <v>79</v>
      </c>
      <c r="F41" s="402" t="s">
        <v>513</v>
      </c>
      <c r="G41" s="402">
        <v>367</v>
      </c>
      <c r="H41" s="402" t="s">
        <v>77</v>
      </c>
      <c r="I41" s="402" t="s">
        <v>185</v>
      </c>
      <c r="J41" s="402" t="s">
        <v>187</v>
      </c>
      <c r="K41" s="402">
        <v>2</v>
      </c>
      <c r="L41" s="412" t="s">
        <v>122</v>
      </c>
      <c r="M41" s="418"/>
      <c r="N41" s="422">
        <v>7000</v>
      </c>
      <c r="O41" s="422">
        <f t="shared" si="5"/>
        <v>14000</v>
      </c>
      <c r="P41" s="423"/>
      <c r="Q41" s="389" t="s">
        <v>62</v>
      </c>
      <c r="R41" s="419" t="s">
        <v>189</v>
      </c>
      <c r="S41" s="424">
        <v>45564</v>
      </c>
      <c r="T41" s="402" t="s">
        <v>190</v>
      </c>
      <c r="U41" s="419" t="s">
        <v>517</v>
      </c>
      <c r="V41" s="412"/>
      <c r="W41" s="413">
        <v>11520</v>
      </c>
      <c r="X41" s="414">
        <f t="shared" si="6"/>
        <v>23040</v>
      </c>
      <c r="Y41" s="415"/>
      <c r="Z41" s="416">
        <v>1.28</v>
      </c>
      <c r="AA41" s="417">
        <f t="shared" si="2"/>
        <v>1.2857142857142856</v>
      </c>
      <c r="AB41" s="418"/>
      <c r="AC41" s="418"/>
      <c r="AD41" s="418" t="s">
        <v>682</v>
      </c>
      <c r="AE41" s="425"/>
      <c r="AF41" s="418"/>
    </row>
    <row r="42" spans="1:32" s="21" customFormat="1" ht="43.5" customHeight="1">
      <c r="A42" s="402">
        <f t="shared" si="3"/>
        <v>40</v>
      </c>
      <c r="B42" s="395"/>
      <c r="C42" s="402">
        <v>1199</v>
      </c>
      <c r="D42" s="402">
        <v>2</v>
      </c>
      <c r="E42" s="402" t="s">
        <v>79</v>
      </c>
      <c r="F42" s="402" t="s">
        <v>371</v>
      </c>
      <c r="G42" s="402">
        <v>367</v>
      </c>
      <c r="H42" s="402" t="s">
        <v>77</v>
      </c>
      <c r="I42" s="402" t="s">
        <v>186</v>
      </c>
      <c r="J42" s="402" t="s">
        <v>188</v>
      </c>
      <c r="K42" s="402">
        <v>3</v>
      </c>
      <c r="L42" s="412" t="s">
        <v>76</v>
      </c>
      <c r="M42" s="418"/>
      <c r="N42" s="422">
        <v>217.48</v>
      </c>
      <c r="O42" s="422">
        <f t="shared" si="5"/>
        <v>652.43999999999994</v>
      </c>
      <c r="P42" s="423"/>
      <c r="Q42" s="390" t="s">
        <v>39</v>
      </c>
      <c r="R42" s="419" t="s">
        <v>189</v>
      </c>
      <c r="S42" s="424">
        <v>45564</v>
      </c>
      <c r="T42" s="402" t="s">
        <v>190</v>
      </c>
      <c r="U42" s="419" t="s">
        <v>85</v>
      </c>
      <c r="V42" s="412"/>
      <c r="W42" s="413">
        <v>440</v>
      </c>
      <c r="X42" s="414">
        <f t="shared" si="6"/>
        <v>1320</v>
      </c>
      <c r="Y42" s="415"/>
      <c r="Z42" s="416">
        <v>1.28</v>
      </c>
      <c r="AA42" s="417">
        <f t="shared" si="2"/>
        <v>1.5806051131138497</v>
      </c>
      <c r="AB42" s="418"/>
      <c r="AC42" s="418"/>
      <c r="AD42" s="418"/>
      <c r="AE42" s="425"/>
      <c r="AF42" s="418"/>
    </row>
    <row r="43" spans="1:32" s="21" customFormat="1" ht="43.5" customHeight="1">
      <c r="A43" s="402">
        <f t="shared" si="3"/>
        <v>41</v>
      </c>
      <c r="B43" s="395" t="s">
        <v>140</v>
      </c>
      <c r="C43" s="402">
        <v>1201</v>
      </c>
      <c r="D43" s="402">
        <v>1</v>
      </c>
      <c r="E43" s="402" t="s">
        <v>139</v>
      </c>
      <c r="F43" s="395" t="s">
        <v>469</v>
      </c>
      <c r="G43" s="402">
        <v>368</v>
      </c>
      <c r="H43" s="402" t="s">
        <v>140</v>
      </c>
      <c r="I43" s="402" t="s">
        <v>293</v>
      </c>
      <c r="J43" s="402" t="s">
        <v>294</v>
      </c>
      <c r="K43" s="402">
        <v>5</v>
      </c>
      <c r="L43" s="412" t="s">
        <v>91</v>
      </c>
      <c r="M43" s="418" t="s">
        <v>719</v>
      </c>
      <c r="N43" s="422">
        <v>30</v>
      </c>
      <c r="O43" s="422">
        <f t="shared" si="5"/>
        <v>150</v>
      </c>
      <c r="P43" s="423"/>
      <c r="Q43" s="390" t="s">
        <v>39</v>
      </c>
      <c r="R43" s="419" t="s">
        <v>295</v>
      </c>
      <c r="S43" s="424">
        <v>45564</v>
      </c>
      <c r="T43" s="402"/>
      <c r="U43" s="419" t="s">
        <v>142</v>
      </c>
      <c r="V43" s="412"/>
      <c r="W43" s="413">
        <v>90</v>
      </c>
      <c r="X43" s="414">
        <f t="shared" si="6"/>
        <v>450</v>
      </c>
      <c r="Y43" s="423"/>
      <c r="Z43" s="416">
        <v>1.28</v>
      </c>
      <c r="AA43" s="417">
        <f t="shared" si="2"/>
        <v>2.34375</v>
      </c>
      <c r="AB43" s="418"/>
      <c r="AC43" s="418" t="s">
        <v>410</v>
      </c>
      <c r="AD43" s="418"/>
      <c r="AE43" s="425"/>
      <c r="AF43" s="418"/>
    </row>
    <row r="44" spans="1:32" s="21" customFormat="1" ht="43.5" customHeight="1">
      <c r="A44" s="402">
        <f t="shared" si="3"/>
        <v>42</v>
      </c>
      <c r="B44" s="395" t="s">
        <v>140</v>
      </c>
      <c r="C44" s="402">
        <v>1202</v>
      </c>
      <c r="D44" s="402">
        <v>1</v>
      </c>
      <c r="E44" s="402" t="s">
        <v>79</v>
      </c>
      <c r="F44" s="402" t="s">
        <v>470</v>
      </c>
      <c r="G44" s="402">
        <v>367</v>
      </c>
      <c r="H44" s="402" t="s">
        <v>253</v>
      </c>
      <c r="I44" s="402" t="s">
        <v>299</v>
      </c>
      <c r="J44" s="402" t="s">
        <v>150</v>
      </c>
      <c r="K44" s="402">
        <v>2</v>
      </c>
      <c r="L44" s="412" t="s">
        <v>76</v>
      </c>
      <c r="M44" s="418"/>
      <c r="N44" s="422">
        <v>105.5</v>
      </c>
      <c r="O44" s="422">
        <f t="shared" si="5"/>
        <v>211</v>
      </c>
      <c r="P44" s="423"/>
      <c r="Q44" s="390" t="s">
        <v>39</v>
      </c>
      <c r="R44" s="419" t="s">
        <v>298</v>
      </c>
      <c r="S44" s="424">
        <v>45566</v>
      </c>
      <c r="T44" s="402"/>
      <c r="U44" s="419" t="s">
        <v>81</v>
      </c>
      <c r="V44" s="412"/>
      <c r="W44" s="413">
        <v>310</v>
      </c>
      <c r="X44" s="414">
        <f t="shared" si="6"/>
        <v>620</v>
      </c>
      <c r="Y44" s="423"/>
      <c r="Z44" s="416">
        <v>1.28</v>
      </c>
      <c r="AA44" s="417">
        <f t="shared" si="2"/>
        <v>2.2956161137440758</v>
      </c>
      <c r="AB44" s="418"/>
      <c r="AC44" s="418"/>
      <c r="AD44" s="418"/>
      <c r="AE44" s="425"/>
      <c r="AF44" s="418"/>
    </row>
    <row r="45" spans="1:32" s="21" customFormat="1" ht="43.5" customHeight="1">
      <c r="A45" s="402">
        <f t="shared" si="3"/>
        <v>43</v>
      </c>
      <c r="B45" s="395"/>
      <c r="C45" s="402">
        <v>1203</v>
      </c>
      <c r="D45" s="402">
        <v>1</v>
      </c>
      <c r="E45" s="402" t="s">
        <v>79</v>
      </c>
      <c r="F45" s="402" t="s">
        <v>212</v>
      </c>
      <c r="G45" s="402">
        <v>367</v>
      </c>
      <c r="H45" s="402" t="s">
        <v>253</v>
      </c>
      <c r="I45" s="402" t="s">
        <v>300</v>
      </c>
      <c r="J45" s="402" t="s">
        <v>301</v>
      </c>
      <c r="K45" s="402">
        <v>1</v>
      </c>
      <c r="L45" s="412" t="s">
        <v>91</v>
      </c>
      <c r="M45" s="418"/>
      <c r="N45" s="422">
        <v>1400</v>
      </c>
      <c r="O45" s="422">
        <f t="shared" si="5"/>
        <v>1400</v>
      </c>
      <c r="P45" s="423"/>
      <c r="Q45" s="390" t="s">
        <v>39</v>
      </c>
      <c r="R45" s="419" t="s">
        <v>302</v>
      </c>
      <c r="S45" s="424">
        <v>45567</v>
      </c>
      <c r="T45" s="402"/>
      <c r="U45" s="419"/>
      <c r="V45" s="412"/>
      <c r="W45" s="413">
        <v>2620</v>
      </c>
      <c r="X45" s="414">
        <f t="shared" si="6"/>
        <v>2620</v>
      </c>
      <c r="Y45" s="415"/>
      <c r="Z45" s="416">
        <v>1.28</v>
      </c>
      <c r="AA45" s="417">
        <f t="shared" si="2"/>
        <v>1.4620535714285714</v>
      </c>
      <c r="AB45" s="418"/>
      <c r="AC45" s="418" t="s">
        <v>367</v>
      </c>
      <c r="AD45" s="418"/>
      <c r="AE45" s="425"/>
      <c r="AF45" s="418"/>
    </row>
    <row r="46" spans="1:32" s="21" customFormat="1" ht="43.5" customHeight="1">
      <c r="A46" s="402">
        <f t="shared" si="3"/>
        <v>44</v>
      </c>
      <c r="B46" s="395"/>
      <c r="C46" s="402">
        <v>1231</v>
      </c>
      <c r="D46" s="402">
        <v>1</v>
      </c>
      <c r="E46" s="402" t="s">
        <v>139</v>
      </c>
      <c r="F46" s="402" t="s">
        <v>138</v>
      </c>
      <c r="G46" s="402">
        <v>368</v>
      </c>
      <c r="H46" s="402" t="s">
        <v>140</v>
      </c>
      <c r="I46" s="402" t="s">
        <v>307</v>
      </c>
      <c r="J46" s="402" t="s">
        <v>311</v>
      </c>
      <c r="K46" s="402">
        <v>4</v>
      </c>
      <c r="L46" s="412" t="s">
        <v>76</v>
      </c>
      <c r="M46" s="418"/>
      <c r="N46" s="422">
        <v>87.1</v>
      </c>
      <c r="O46" s="422">
        <f t="shared" si="5"/>
        <v>348.4</v>
      </c>
      <c r="P46" s="423"/>
      <c r="Q46" s="390" t="s">
        <v>39</v>
      </c>
      <c r="R46" s="419">
        <v>14030617</v>
      </c>
      <c r="S46" s="424"/>
      <c r="T46" s="402"/>
      <c r="U46" s="419" t="s">
        <v>142</v>
      </c>
      <c r="V46" s="412"/>
      <c r="W46" s="413">
        <v>160</v>
      </c>
      <c r="X46" s="414">
        <f t="shared" si="6"/>
        <v>640</v>
      </c>
      <c r="Y46" s="415"/>
      <c r="Z46" s="416">
        <v>1.28</v>
      </c>
      <c r="AA46" s="417">
        <f t="shared" si="2"/>
        <v>1.4351320321469576</v>
      </c>
      <c r="AB46" s="420"/>
      <c r="AC46" s="418"/>
      <c r="AD46" s="418"/>
      <c r="AE46" s="425"/>
      <c r="AF46" s="418"/>
    </row>
    <row r="47" spans="1:32" s="21" customFormat="1" ht="43.5" customHeight="1">
      <c r="A47" s="402">
        <f t="shared" si="3"/>
        <v>45</v>
      </c>
      <c r="B47" s="395"/>
      <c r="C47" s="402">
        <v>1232</v>
      </c>
      <c r="D47" s="402">
        <v>2</v>
      </c>
      <c r="E47" s="402" t="s">
        <v>139</v>
      </c>
      <c r="F47" s="402" t="s">
        <v>138</v>
      </c>
      <c r="G47" s="402">
        <v>368</v>
      </c>
      <c r="H47" s="402" t="s">
        <v>140</v>
      </c>
      <c r="I47" s="402" t="s">
        <v>308</v>
      </c>
      <c r="J47" s="402" t="s">
        <v>311</v>
      </c>
      <c r="K47" s="402">
        <v>4</v>
      </c>
      <c r="L47" s="412" t="s">
        <v>76</v>
      </c>
      <c r="M47" s="418"/>
      <c r="N47" s="422">
        <v>201.24</v>
      </c>
      <c r="O47" s="422">
        <f t="shared" si="5"/>
        <v>804.96</v>
      </c>
      <c r="P47" s="423"/>
      <c r="Q47" s="390" t="s">
        <v>39</v>
      </c>
      <c r="R47" s="419">
        <v>14030617</v>
      </c>
      <c r="S47" s="424"/>
      <c r="T47" s="402"/>
      <c r="U47" s="419" t="s">
        <v>142</v>
      </c>
      <c r="V47" s="412"/>
      <c r="W47" s="413">
        <v>340</v>
      </c>
      <c r="X47" s="414">
        <f t="shared" si="6"/>
        <v>1360</v>
      </c>
      <c r="Y47" s="415"/>
      <c r="Z47" s="416">
        <v>1.28</v>
      </c>
      <c r="AA47" s="417">
        <f t="shared" si="2"/>
        <v>1.3199413635460147</v>
      </c>
      <c r="AB47" s="420"/>
      <c r="AC47" s="418"/>
      <c r="AD47" s="418"/>
      <c r="AE47" s="425"/>
      <c r="AF47" s="418"/>
    </row>
    <row r="48" spans="1:32" s="21" customFormat="1" ht="43.5" customHeight="1">
      <c r="A48" s="402">
        <f t="shared" si="3"/>
        <v>46</v>
      </c>
      <c r="B48" s="395"/>
      <c r="C48" s="402">
        <v>1233</v>
      </c>
      <c r="D48" s="402">
        <v>3</v>
      </c>
      <c r="E48" s="402" t="s">
        <v>139</v>
      </c>
      <c r="F48" s="402" t="s">
        <v>138</v>
      </c>
      <c r="G48" s="402">
        <v>368</v>
      </c>
      <c r="H48" s="402" t="s">
        <v>140</v>
      </c>
      <c r="I48" s="402" t="s">
        <v>309</v>
      </c>
      <c r="J48" s="402" t="s">
        <v>312</v>
      </c>
      <c r="K48" s="402">
        <v>12</v>
      </c>
      <c r="L48" s="412" t="s">
        <v>76</v>
      </c>
      <c r="M48" s="418"/>
      <c r="N48" s="422">
        <v>163.30000000000001</v>
      </c>
      <c r="O48" s="422">
        <f t="shared" si="5"/>
        <v>1959.6000000000001</v>
      </c>
      <c r="P48" s="423"/>
      <c r="Q48" s="390" t="s">
        <v>39</v>
      </c>
      <c r="R48" s="419">
        <v>14030617</v>
      </c>
      <c r="S48" s="424"/>
      <c r="T48" s="402"/>
      <c r="U48" s="419" t="s">
        <v>142</v>
      </c>
      <c r="V48" s="412"/>
      <c r="W48" s="413">
        <v>240</v>
      </c>
      <c r="X48" s="414">
        <f t="shared" si="6"/>
        <v>2880</v>
      </c>
      <c r="Y48" s="415"/>
      <c r="Z48" s="416">
        <v>1.28</v>
      </c>
      <c r="AA48" s="417">
        <f t="shared" si="2"/>
        <v>1.1481935088793631</v>
      </c>
      <c r="AB48" s="420"/>
      <c r="AC48" s="418"/>
      <c r="AD48" s="418"/>
      <c r="AE48" s="425"/>
      <c r="AF48" s="418"/>
    </row>
    <row r="49" spans="1:32" s="21" customFormat="1" ht="43.5" customHeight="1">
      <c r="A49" s="402">
        <f t="shared" si="3"/>
        <v>47</v>
      </c>
      <c r="B49" s="395" t="s">
        <v>387</v>
      </c>
      <c r="C49" s="402">
        <v>1234</v>
      </c>
      <c r="D49" s="402">
        <v>4</v>
      </c>
      <c r="E49" s="402" t="s">
        <v>139</v>
      </c>
      <c r="F49" s="402" t="s">
        <v>313</v>
      </c>
      <c r="G49" s="402">
        <v>368</v>
      </c>
      <c r="H49" s="402" t="s">
        <v>140</v>
      </c>
      <c r="I49" s="402" t="s">
        <v>310</v>
      </c>
      <c r="J49" s="402" t="s">
        <v>277</v>
      </c>
      <c r="K49" s="402">
        <v>20</v>
      </c>
      <c r="L49" s="412" t="s">
        <v>76</v>
      </c>
      <c r="M49" s="418"/>
      <c r="N49" s="422">
        <v>92.09</v>
      </c>
      <c r="O49" s="422">
        <f t="shared" si="5"/>
        <v>1841.8000000000002</v>
      </c>
      <c r="P49" s="423"/>
      <c r="Q49" s="390" t="s">
        <v>39</v>
      </c>
      <c r="R49" s="419">
        <v>14030617</v>
      </c>
      <c r="S49" s="424"/>
      <c r="T49" s="402"/>
      <c r="U49" s="419" t="s">
        <v>142</v>
      </c>
      <c r="V49" s="412"/>
      <c r="W49" s="413">
        <v>150</v>
      </c>
      <c r="X49" s="414">
        <f t="shared" si="6"/>
        <v>3000</v>
      </c>
      <c r="Y49" s="415"/>
      <c r="Z49" s="416">
        <v>1.28</v>
      </c>
      <c r="AA49" s="417">
        <f t="shared" si="2"/>
        <v>1.2725323053534585</v>
      </c>
      <c r="AB49" s="420"/>
      <c r="AC49" s="418"/>
      <c r="AD49" s="418"/>
      <c r="AE49" s="425"/>
      <c r="AF49" s="418"/>
    </row>
    <row r="50" spans="1:32" s="21" customFormat="1" ht="43.5" customHeight="1">
      <c r="A50" s="402">
        <f t="shared" si="3"/>
        <v>48</v>
      </c>
      <c r="B50" s="395" t="s">
        <v>140</v>
      </c>
      <c r="C50" s="402">
        <v>1230</v>
      </c>
      <c r="D50" s="402">
        <v>5</v>
      </c>
      <c r="E50" s="402" t="s">
        <v>139</v>
      </c>
      <c r="F50" s="402" t="s">
        <v>411</v>
      </c>
      <c r="G50" s="402">
        <v>368</v>
      </c>
      <c r="H50" s="402" t="s">
        <v>140</v>
      </c>
      <c r="I50" s="402" t="s">
        <v>314</v>
      </c>
      <c r="J50" s="402" t="s">
        <v>320</v>
      </c>
      <c r="K50" s="402">
        <v>1</v>
      </c>
      <c r="L50" s="412" t="s">
        <v>315</v>
      </c>
      <c r="M50" s="418"/>
      <c r="N50" s="422">
        <v>2500</v>
      </c>
      <c r="O50" s="422">
        <f t="shared" si="5"/>
        <v>2500</v>
      </c>
      <c r="P50" s="423"/>
      <c r="Q50" s="390" t="s">
        <v>39</v>
      </c>
      <c r="R50" s="419">
        <v>14030617</v>
      </c>
      <c r="S50" s="424"/>
      <c r="T50" s="402"/>
      <c r="U50" s="419" t="s">
        <v>142</v>
      </c>
      <c r="V50" s="412"/>
      <c r="W50" s="413">
        <v>3700</v>
      </c>
      <c r="X50" s="414">
        <f t="shared" si="6"/>
        <v>3700</v>
      </c>
      <c r="Y50" s="415"/>
      <c r="Z50" s="416">
        <v>1.28</v>
      </c>
      <c r="AA50" s="417">
        <f t="shared" si="2"/>
        <v>1.15625</v>
      </c>
      <c r="AB50" s="418"/>
      <c r="AC50" s="418"/>
      <c r="AD50" s="418"/>
      <c r="AE50" s="425"/>
      <c r="AF50" s="418"/>
    </row>
    <row r="51" spans="1:32" s="21" customFormat="1" ht="43.5" customHeight="1">
      <c r="A51" s="402">
        <f t="shared" si="3"/>
        <v>49</v>
      </c>
      <c r="B51" s="395" t="s">
        <v>387</v>
      </c>
      <c r="C51" s="402">
        <v>1241</v>
      </c>
      <c r="D51" s="402">
        <v>1</v>
      </c>
      <c r="E51" s="402" t="s">
        <v>139</v>
      </c>
      <c r="F51" s="402" t="s">
        <v>405</v>
      </c>
      <c r="G51" s="402">
        <v>368</v>
      </c>
      <c r="H51" s="402" t="s">
        <v>140</v>
      </c>
      <c r="I51" s="402" t="s">
        <v>318</v>
      </c>
      <c r="J51" s="402" t="s">
        <v>319</v>
      </c>
      <c r="K51" s="402">
        <v>1</v>
      </c>
      <c r="L51" s="412" t="s">
        <v>122</v>
      </c>
      <c r="M51" s="418"/>
      <c r="N51" s="422">
        <v>3200</v>
      </c>
      <c r="O51" s="422">
        <f t="shared" si="5"/>
        <v>3200</v>
      </c>
      <c r="P51" s="423"/>
      <c r="Q51" s="390" t="s">
        <v>39</v>
      </c>
      <c r="R51" s="419">
        <v>14030630</v>
      </c>
      <c r="S51" s="424"/>
      <c r="T51" s="402"/>
      <c r="U51" s="419"/>
      <c r="V51" s="412"/>
      <c r="W51" s="413">
        <v>4600</v>
      </c>
      <c r="X51" s="414">
        <f t="shared" si="6"/>
        <v>4600</v>
      </c>
      <c r="Y51" s="415"/>
      <c r="Z51" s="416">
        <v>1.28</v>
      </c>
      <c r="AA51" s="417">
        <f t="shared" si="2"/>
        <v>1.123046875</v>
      </c>
      <c r="AB51" s="418"/>
      <c r="AC51" s="418"/>
      <c r="AD51" s="418"/>
      <c r="AE51" s="425"/>
      <c r="AF51" s="418"/>
    </row>
    <row r="52" spans="1:32" s="21" customFormat="1" ht="43.5" customHeight="1">
      <c r="A52" s="402">
        <f t="shared" si="3"/>
        <v>50</v>
      </c>
      <c r="B52" s="395" t="s">
        <v>387</v>
      </c>
      <c r="C52" s="402">
        <v>1244</v>
      </c>
      <c r="D52" s="402">
        <v>1</v>
      </c>
      <c r="E52" s="402" t="s">
        <v>79</v>
      </c>
      <c r="F52" s="402" t="s">
        <v>112</v>
      </c>
      <c r="G52" s="402">
        <v>367</v>
      </c>
      <c r="H52" s="402" t="s">
        <v>77</v>
      </c>
      <c r="I52" s="402" t="s">
        <v>322</v>
      </c>
      <c r="J52" s="402" t="s">
        <v>294</v>
      </c>
      <c r="K52" s="419">
        <v>8</v>
      </c>
      <c r="L52" s="412" t="s">
        <v>76</v>
      </c>
      <c r="M52" s="418"/>
      <c r="N52" s="422">
        <v>59.3</v>
      </c>
      <c r="O52" s="422">
        <f t="shared" si="5"/>
        <v>474.4</v>
      </c>
      <c r="P52" s="423"/>
      <c r="Q52" s="390" t="s">
        <v>39</v>
      </c>
      <c r="R52" s="419" t="s">
        <v>324</v>
      </c>
      <c r="S52" s="424">
        <v>45573</v>
      </c>
      <c r="T52" s="402" t="s">
        <v>323</v>
      </c>
      <c r="U52" s="419" t="s">
        <v>85</v>
      </c>
      <c r="V52" s="412"/>
      <c r="W52" s="413">
        <v>130</v>
      </c>
      <c r="X52" s="414">
        <f t="shared" si="6"/>
        <v>1040</v>
      </c>
      <c r="Y52" s="415"/>
      <c r="Z52" s="416">
        <v>1.28</v>
      </c>
      <c r="AA52" s="417">
        <f t="shared" si="2"/>
        <v>1.7126897133220911</v>
      </c>
      <c r="AB52" s="418">
        <v>91</v>
      </c>
      <c r="AC52" s="418" t="s">
        <v>166</v>
      </c>
      <c r="AD52" s="418"/>
      <c r="AE52" s="425"/>
      <c r="AF52" s="418"/>
    </row>
    <row r="53" spans="1:32" s="21" customFormat="1" ht="43.5" customHeight="1">
      <c r="A53" s="402">
        <f t="shared" si="3"/>
        <v>51</v>
      </c>
      <c r="B53" s="395" t="s">
        <v>140</v>
      </c>
      <c r="C53" s="402">
        <v>1352</v>
      </c>
      <c r="D53" s="402">
        <v>1</v>
      </c>
      <c r="E53" s="402" t="s">
        <v>79</v>
      </c>
      <c r="F53" s="402" t="s">
        <v>471</v>
      </c>
      <c r="G53" s="402">
        <v>367</v>
      </c>
      <c r="H53" s="402" t="s">
        <v>77</v>
      </c>
      <c r="I53" s="402" t="s">
        <v>322</v>
      </c>
      <c r="J53" s="402" t="s">
        <v>294</v>
      </c>
      <c r="K53" s="402">
        <v>2</v>
      </c>
      <c r="L53" s="412" t="s">
        <v>76</v>
      </c>
      <c r="M53" s="418"/>
      <c r="N53" s="422">
        <v>100</v>
      </c>
      <c r="O53" s="422">
        <f t="shared" si="5"/>
        <v>200</v>
      </c>
      <c r="P53" s="423"/>
      <c r="Q53" s="390" t="s">
        <v>39</v>
      </c>
      <c r="R53" s="419" t="s">
        <v>324</v>
      </c>
      <c r="S53" s="424">
        <v>45573</v>
      </c>
      <c r="T53" s="402" t="s">
        <v>323</v>
      </c>
      <c r="U53" s="419" t="s">
        <v>85</v>
      </c>
      <c r="V53" s="412"/>
      <c r="W53" s="413">
        <v>130</v>
      </c>
      <c r="X53" s="414">
        <f t="shared" si="6"/>
        <v>260</v>
      </c>
      <c r="Y53" s="415"/>
      <c r="Z53" s="416"/>
      <c r="AA53" s="417" t="e">
        <f t="shared" si="2"/>
        <v>#DIV/0!</v>
      </c>
      <c r="AB53" s="418">
        <v>117</v>
      </c>
      <c r="AC53" s="430"/>
      <c r="AD53" s="430"/>
      <c r="AE53" s="431">
        <f>O53*900/($O$53+$O$60+$O$61+$O$62+$O$64+$O$72+$O$117)</f>
        <v>3.3406332355888795</v>
      </c>
      <c r="AF53" s="430" t="s">
        <v>669</v>
      </c>
    </row>
    <row r="54" spans="1:32" s="21" customFormat="1" ht="43.5" customHeight="1">
      <c r="A54" s="402">
        <f t="shared" si="3"/>
        <v>52</v>
      </c>
      <c r="B54" s="395" t="s">
        <v>140</v>
      </c>
      <c r="C54" s="402">
        <v>1245</v>
      </c>
      <c r="D54" s="402">
        <v>1</v>
      </c>
      <c r="E54" s="402" t="s">
        <v>79</v>
      </c>
      <c r="F54" s="402" t="s">
        <v>204</v>
      </c>
      <c r="G54" s="402">
        <v>367</v>
      </c>
      <c r="H54" s="402" t="s">
        <v>77</v>
      </c>
      <c r="I54" s="402" t="s">
        <v>325</v>
      </c>
      <c r="J54" s="402" t="s">
        <v>328</v>
      </c>
      <c r="K54" s="402">
        <v>168</v>
      </c>
      <c r="L54" s="412" t="s">
        <v>76</v>
      </c>
      <c r="M54" s="418"/>
      <c r="N54" s="422">
        <v>112.7</v>
      </c>
      <c r="O54" s="422">
        <f t="shared" si="5"/>
        <v>18933.600000000002</v>
      </c>
      <c r="P54" s="423"/>
      <c r="Q54" s="432" t="s">
        <v>13</v>
      </c>
      <c r="R54" s="419" t="s">
        <v>326</v>
      </c>
      <c r="S54" s="424">
        <v>45573</v>
      </c>
      <c r="T54" s="402" t="s">
        <v>327</v>
      </c>
      <c r="U54" s="419" t="s">
        <v>85</v>
      </c>
      <c r="V54" s="412"/>
      <c r="W54" s="413">
        <v>180</v>
      </c>
      <c r="X54" s="414">
        <f t="shared" si="6"/>
        <v>30240</v>
      </c>
      <c r="Y54" s="415"/>
      <c r="Z54" s="416"/>
      <c r="AA54" s="417" t="e">
        <f t="shared" si="2"/>
        <v>#DIV/0!</v>
      </c>
      <c r="AB54" s="418"/>
      <c r="AC54" s="433" t="s">
        <v>608</v>
      </c>
      <c r="AD54" s="433"/>
      <c r="AE54" s="425"/>
      <c r="AF54" s="433"/>
    </row>
    <row r="55" spans="1:32" s="21" customFormat="1" ht="43.5" customHeight="1">
      <c r="A55" s="402">
        <f t="shared" si="3"/>
        <v>53</v>
      </c>
      <c r="B55" s="395" t="s">
        <v>140</v>
      </c>
      <c r="C55" s="402">
        <v>1522</v>
      </c>
      <c r="D55" s="434" t="s">
        <v>638</v>
      </c>
      <c r="E55" s="402" t="s">
        <v>79</v>
      </c>
      <c r="F55" s="419" t="s">
        <v>589</v>
      </c>
      <c r="G55" s="402">
        <v>367</v>
      </c>
      <c r="H55" s="402" t="s">
        <v>77</v>
      </c>
      <c r="I55" s="402" t="s">
        <v>325</v>
      </c>
      <c r="J55" s="402" t="s">
        <v>328</v>
      </c>
      <c r="K55" s="402">
        <v>100</v>
      </c>
      <c r="L55" s="412" t="s">
        <v>76</v>
      </c>
      <c r="M55" s="418"/>
      <c r="N55" s="422">
        <v>218</v>
      </c>
      <c r="O55" s="422">
        <f t="shared" si="5"/>
        <v>21800</v>
      </c>
      <c r="P55" s="423"/>
      <c r="Q55" s="390" t="s">
        <v>39</v>
      </c>
      <c r="R55" s="419" t="s">
        <v>639</v>
      </c>
      <c r="S55" s="424">
        <v>45573</v>
      </c>
      <c r="T55" s="402" t="s">
        <v>327</v>
      </c>
      <c r="U55" s="419" t="s">
        <v>654</v>
      </c>
      <c r="V55" s="412"/>
      <c r="W55" s="413">
        <v>320</v>
      </c>
      <c r="X55" s="414">
        <f t="shared" si="6"/>
        <v>32000</v>
      </c>
      <c r="Y55" s="415"/>
      <c r="Z55" s="416"/>
      <c r="AA55" s="417" t="e">
        <f t="shared" si="2"/>
        <v>#DIV/0!</v>
      </c>
      <c r="AB55" s="418">
        <v>134</v>
      </c>
      <c r="AC55" s="418" t="s">
        <v>629</v>
      </c>
      <c r="AD55" s="418"/>
      <c r="AE55" s="425"/>
      <c r="AF55" s="418"/>
    </row>
    <row r="56" spans="1:32" s="21" customFormat="1" ht="43.5" customHeight="1">
      <c r="A56" s="402">
        <f t="shared" si="3"/>
        <v>54</v>
      </c>
      <c r="B56" s="395" t="s">
        <v>140</v>
      </c>
      <c r="C56" s="402">
        <v>1522</v>
      </c>
      <c r="D56" s="434" t="s">
        <v>638</v>
      </c>
      <c r="E56" s="402" t="s">
        <v>79</v>
      </c>
      <c r="F56" s="419" t="s">
        <v>589</v>
      </c>
      <c r="G56" s="402">
        <v>367</v>
      </c>
      <c r="H56" s="402" t="s">
        <v>77</v>
      </c>
      <c r="I56" s="402" t="s">
        <v>325</v>
      </c>
      <c r="J56" s="402" t="s">
        <v>328</v>
      </c>
      <c r="K56" s="402">
        <v>50</v>
      </c>
      <c r="L56" s="412" t="s">
        <v>76</v>
      </c>
      <c r="M56" s="418"/>
      <c r="N56" s="422">
        <v>225</v>
      </c>
      <c r="O56" s="422">
        <f t="shared" si="5"/>
        <v>11250</v>
      </c>
      <c r="P56" s="423"/>
      <c r="Q56" s="391" t="s">
        <v>15</v>
      </c>
      <c r="R56" s="419" t="s">
        <v>639</v>
      </c>
      <c r="S56" s="424">
        <v>45573</v>
      </c>
      <c r="T56" s="402" t="s">
        <v>327</v>
      </c>
      <c r="U56" s="419" t="s">
        <v>654</v>
      </c>
      <c r="V56" s="412"/>
      <c r="W56" s="413">
        <v>320</v>
      </c>
      <c r="X56" s="414">
        <f t="shared" si="6"/>
        <v>16000</v>
      </c>
      <c r="Y56" s="415"/>
      <c r="Z56" s="416"/>
      <c r="AA56" s="417" t="e">
        <f t="shared" si="2"/>
        <v>#DIV/0!</v>
      </c>
      <c r="AB56" s="418"/>
      <c r="AC56" s="418" t="s">
        <v>629</v>
      </c>
      <c r="AD56" s="418"/>
      <c r="AE56" s="425"/>
      <c r="AF56" s="418"/>
    </row>
    <row r="57" spans="1:32" s="21" customFormat="1" ht="43.5" customHeight="1">
      <c r="A57" s="402">
        <f t="shared" si="3"/>
        <v>55</v>
      </c>
      <c r="B57" s="395" t="s">
        <v>387</v>
      </c>
      <c r="C57" s="402">
        <v>1246</v>
      </c>
      <c r="D57" s="402">
        <v>1</v>
      </c>
      <c r="E57" s="402" t="s">
        <v>79</v>
      </c>
      <c r="F57" s="402" t="s">
        <v>182</v>
      </c>
      <c r="G57" s="402">
        <v>367</v>
      </c>
      <c r="H57" s="402" t="s">
        <v>77</v>
      </c>
      <c r="I57" s="402" t="s">
        <v>331</v>
      </c>
      <c r="J57" s="402" t="s">
        <v>294</v>
      </c>
      <c r="K57" s="402">
        <v>4</v>
      </c>
      <c r="L57" s="412" t="s">
        <v>76</v>
      </c>
      <c r="M57" s="418"/>
      <c r="N57" s="422">
        <v>270.64</v>
      </c>
      <c r="O57" s="422">
        <f t="shared" si="5"/>
        <v>1082.56</v>
      </c>
      <c r="P57" s="423"/>
      <c r="Q57" s="390" t="s">
        <v>39</v>
      </c>
      <c r="R57" s="419" t="s">
        <v>329</v>
      </c>
      <c r="S57" s="424">
        <v>45573</v>
      </c>
      <c r="T57" s="402" t="s">
        <v>330</v>
      </c>
      <c r="U57" s="419" t="s">
        <v>85</v>
      </c>
      <c r="V57" s="412"/>
      <c r="W57" s="413">
        <v>520</v>
      </c>
      <c r="X57" s="414">
        <f t="shared" si="6"/>
        <v>2080</v>
      </c>
      <c r="Y57" s="415"/>
      <c r="Z57" s="416"/>
      <c r="AA57" s="417" t="e">
        <f t="shared" si="2"/>
        <v>#DIV/0!</v>
      </c>
      <c r="AB57" s="418">
        <v>97</v>
      </c>
      <c r="AC57" s="418" t="s">
        <v>166</v>
      </c>
      <c r="AD57" s="418"/>
      <c r="AE57" s="425"/>
      <c r="AF57" s="418"/>
    </row>
    <row r="58" spans="1:32" s="21" customFormat="1" ht="43.5" customHeight="1">
      <c r="A58" s="402">
        <f t="shared" si="3"/>
        <v>56</v>
      </c>
      <c r="B58" s="395" t="s">
        <v>387</v>
      </c>
      <c r="C58" s="402">
        <v>1247</v>
      </c>
      <c r="D58" s="402">
        <v>2</v>
      </c>
      <c r="E58" s="402" t="s">
        <v>79</v>
      </c>
      <c r="F58" s="402" t="s">
        <v>182</v>
      </c>
      <c r="G58" s="402">
        <v>367</v>
      </c>
      <c r="H58" s="402" t="s">
        <v>77</v>
      </c>
      <c r="I58" s="402" t="s">
        <v>226</v>
      </c>
      <c r="J58" s="402" t="s">
        <v>162</v>
      </c>
      <c r="K58" s="402">
        <v>30</v>
      </c>
      <c r="L58" s="412" t="s">
        <v>76</v>
      </c>
      <c r="M58" s="418"/>
      <c r="N58" s="422">
        <v>1.05</v>
      </c>
      <c r="O58" s="422">
        <f t="shared" si="5"/>
        <v>31.5</v>
      </c>
      <c r="P58" s="423"/>
      <c r="Q58" s="390" t="s">
        <v>39</v>
      </c>
      <c r="R58" s="419" t="s">
        <v>329</v>
      </c>
      <c r="S58" s="424">
        <v>45573</v>
      </c>
      <c r="T58" s="402" t="s">
        <v>330</v>
      </c>
      <c r="U58" s="419" t="s">
        <v>85</v>
      </c>
      <c r="V58" s="412"/>
      <c r="W58" s="413">
        <v>15</v>
      </c>
      <c r="X58" s="414">
        <f t="shared" si="6"/>
        <v>450</v>
      </c>
      <c r="Y58" s="415"/>
      <c r="Z58" s="416"/>
      <c r="AA58" s="417" t="e">
        <f t="shared" si="2"/>
        <v>#DIV/0!</v>
      </c>
      <c r="AB58" s="418">
        <v>97</v>
      </c>
      <c r="AC58" s="418"/>
      <c r="AD58" s="418"/>
      <c r="AE58" s="425"/>
      <c r="AF58" s="418"/>
    </row>
    <row r="59" spans="1:32" s="21" customFormat="1" ht="43.5" customHeight="1">
      <c r="A59" s="402">
        <f t="shared" si="3"/>
        <v>57</v>
      </c>
      <c r="B59" s="395" t="s">
        <v>140</v>
      </c>
      <c r="C59" s="402">
        <v>1248</v>
      </c>
      <c r="D59" s="402">
        <v>1</v>
      </c>
      <c r="E59" s="402" t="s">
        <v>79</v>
      </c>
      <c r="F59" s="402" t="s">
        <v>204</v>
      </c>
      <c r="G59" s="402">
        <v>367</v>
      </c>
      <c r="H59" s="402" t="s">
        <v>77</v>
      </c>
      <c r="I59" s="402" t="s">
        <v>336</v>
      </c>
      <c r="J59" s="402" t="s">
        <v>337</v>
      </c>
      <c r="K59" s="402">
        <v>128</v>
      </c>
      <c r="L59" s="412" t="s">
        <v>76</v>
      </c>
      <c r="M59" s="418"/>
      <c r="N59" s="422">
        <v>53.4</v>
      </c>
      <c r="O59" s="422">
        <f t="shared" si="5"/>
        <v>6835.2</v>
      </c>
      <c r="P59" s="423"/>
      <c r="Q59" s="390" t="s">
        <v>39</v>
      </c>
      <c r="R59" s="419" t="s">
        <v>338</v>
      </c>
      <c r="S59" s="424">
        <v>45573</v>
      </c>
      <c r="T59" s="402" t="s">
        <v>343</v>
      </c>
      <c r="U59" s="419" t="s">
        <v>85</v>
      </c>
      <c r="V59" s="412"/>
      <c r="W59" s="413">
        <v>85</v>
      </c>
      <c r="X59" s="414">
        <f t="shared" si="6"/>
        <v>10880</v>
      </c>
      <c r="Y59" s="415"/>
      <c r="Z59" s="416"/>
      <c r="AA59" s="417" t="e">
        <f t="shared" si="2"/>
        <v>#DIV/0!</v>
      </c>
      <c r="AB59" s="418">
        <v>97</v>
      </c>
      <c r="AC59" s="418" t="s">
        <v>467</v>
      </c>
      <c r="AD59" s="418"/>
      <c r="AE59" s="425"/>
      <c r="AF59" s="418"/>
    </row>
    <row r="60" spans="1:32" s="21" customFormat="1" ht="43.5" customHeight="1">
      <c r="A60" s="402">
        <f t="shared" si="3"/>
        <v>58</v>
      </c>
      <c r="B60" s="395" t="s">
        <v>385</v>
      </c>
      <c r="C60" s="402">
        <v>1249</v>
      </c>
      <c r="D60" s="402">
        <v>2</v>
      </c>
      <c r="E60" s="402" t="s">
        <v>79</v>
      </c>
      <c r="F60" s="402" t="s">
        <v>471</v>
      </c>
      <c r="G60" s="402">
        <v>367</v>
      </c>
      <c r="H60" s="402" t="s">
        <v>77</v>
      </c>
      <c r="I60" s="402" t="s">
        <v>339</v>
      </c>
      <c r="J60" s="402" t="s">
        <v>340</v>
      </c>
      <c r="K60" s="402">
        <v>60</v>
      </c>
      <c r="L60" s="412" t="s">
        <v>76</v>
      </c>
      <c r="M60" s="418"/>
      <c r="N60" s="422">
        <v>14</v>
      </c>
      <c r="O60" s="422">
        <f t="shared" si="5"/>
        <v>840</v>
      </c>
      <c r="P60" s="435">
        <v>2.58</v>
      </c>
      <c r="Q60" s="390" t="s">
        <v>39</v>
      </c>
      <c r="R60" s="419" t="s">
        <v>338</v>
      </c>
      <c r="S60" s="424">
        <v>45573</v>
      </c>
      <c r="T60" s="402" t="s">
        <v>343</v>
      </c>
      <c r="U60" s="419" t="s">
        <v>85</v>
      </c>
      <c r="V60" s="412"/>
      <c r="W60" s="413">
        <v>23</v>
      </c>
      <c r="X60" s="414">
        <f t="shared" si="6"/>
        <v>1380</v>
      </c>
      <c r="Y60" s="415"/>
      <c r="Z60" s="416"/>
      <c r="AA60" s="417" t="e">
        <f t="shared" si="2"/>
        <v>#DIV/0!</v>
      </c>
      <c r="AB60" s="418">
        <v>117</v>
      </c>
      <c r="AC60" s="430" t="s">
        <v>166</v>
      </c>
      <c r="AD60" s="430"/>
      <c r="AE60" s="431">
        <f>O60*900/($O$53+$O$60+$O$61+$O$62+$O$64+$O$72+$O$117)</f>
        <v>14.030659589473293</v>
      </c>
      <c r="AF60" s="430" t="s">
        <v>669</v>
      </c>
    </row>
    <row r="61" spans="1:32" s="21" customFormat="1" ht="43.5" customHeight="1">
      <c r="A61" s="402">
        <f t="shared" si="3"/>
        <v>59</v>
      </c>
      <c r="B61" s="395" t="s">
        <v>385</v>
      </c>
      <c r="C61" s="402">
        <v>1250</v>
      </c>
      <c r="D61" s="402">
        <v>3</v>
      </c>
      <c r="E61" s="402" t="s">
        <v>79</v>
      </c>
      <c r="F61" s="402" t="s">
        <v>471</v>
      </c>
      <c r="G61" s="402">
        <v>367</v>
      </c>
      <c r="H61" s="402" t="s">
        <v>77</v>
      </c>
      <c r="I61" s="402" t="s">
        <v>83</v>
      </c>
      <c r="J61" s="402" t="s">
        <v>84</v>
      </c>
      <c r="K61" s="402">
        <v>63</v>
      </c>
      <c r="L61" s="412" t="s">
        <v>76</v>
      </c>
      <c r="M61" s="418"/>
      <c r="N61" s="422">
        <v>20.5</v>
      </c>
      <c r="O61" s="422">
        <f t="shared" si="5"/>
        <v>1291.5</v>
      </c>
      <c r="P61" s="435">
        <v>9.4499999999999993</v>
      </c>
      <c r="Q61" s="390" t="s">
        <v>39</v>
      </c>
      <c r="R61" s="419" t="s">
        <v>338</v>
      </c>
      <c r="S61" s="424">
        <v>45573</v>
      </c>
      <c r="T61" s="402" t="s">
        <v>343</v>
      </c>
      <c r="U61" s="419" t="s">
        <v>85</v>
      </c>
      <c r="V61" s="412"/>
      <c r="W61" s="413">
        <v>30</v>
      </c>
      <c r="X61" s="414">
        <f t="shared" si="6"/>
        <v>1890</v>
      </c>
      <c r="Y61" s="415"/>
      <c r="Z61" s="416"/>
      <c r="AA61" s="417" t="e">
        <f t="shared" si="2"/>
        <v>#DIV/0!</v>
      </c>
      <c r="AB61" s="418">
        <v>117</v>
      </c>
      <c r="AC61" s="430" t="s">
        <v>166</v>
      </c>
      <c r="AD61" s="430"/>
      <c r="AE61" s="431">
        <f>O61*900/($O$53+$O$60+$O$61+$O$62+$O$64+$O$72+$O$117)</f>
        <v>21.572139118815187</v>
      </c>
      <c r="AF61" s="430" t="s">
        <v>669</v>
      </c>
    </row>
    <row r="62" spans="1:32" s="21" customFormat="1" ht="43.5" customHeight="1">
      <c r="A62" s="402">
        <f t="shared" si="3"/>
        <v>60</v>
      </c>
      <c r="B62" s="395" t="s">
        <v>385</v>
      </c>
      <c r="C62" s="402">
        <v>1251</v>
      </c>
      <c r="D62" s="402">
        <v>4</v>
      </c>
      <c r="E62" s="402" t="s">
        <v>79</v>
      </c>
      <c r="F62" s="402" t="s">
        <v>471</v>
      </c>
      <c r="G62" s="402">
        <v>367</v>
      </c>
      <c r="H62" s="402" t="s">
        <v>77</v>
      </c>
      <c r="I62" s="402" t="s">
        <v>341</v>
      </c>
      <c r="J62" s="402" t="s">
        <v>84</v>
      </c>
      <c r="K62" s="402">
        <v>63</v>
      </c>
      <c r="L62" s="412" t="s">
        <v>76</v>
      </c>
      <c r="M62" s="418"/>
      <c r="N62" s="422">
        <v>41.5</v>
      </c>
      <c r="O62" s="422">
        <f t="shared" si="5"/>
        <v>2614.5</v>
      </c>
      <c r="P62" s="435">
        <v>28.35</v>
      </c>
      <c r="Q62" s="390" t="s">
        <v>39</v>
      </c>
      <c r="R62" s="419" t="s">
        <v>338</v>
      </c>
      <c r="S62" s="424">
        <v>45573</v>
      </c>
      <c r="T62" s="402" t="s">
        <v>343</v>
      </c>
      <c r="U62" s="419" t="s">
        <v>85</v>
      </c>
      <c r="V62" s="412"/>
      <c r="W62" s="413">
        <v>60</v>
      </c>
      <c r="X62" s="414">
        <f t="shared" si="6"/>
        <v>3780</v>
      </c>
      <c r="Y62" s="415"/>
      <c r="Z62" s="416"/>
      <c r="AA62" s="417" t="e">
        <f t="shared" si="2"/>
        <v>#DIV/0!</v>
      </c>
      <c r="AB62" s="418">
        <v>117</v>
      </c>
      <c r="AC62" s="430" t="s">
        <v>166</v>
      </c>
      <c r="AD62" s="430"/>
      <c r="AE62" s="431">
        <f>O62*900/($O$53+$O$60+$O$61+$O$62+$O$64+$O$72+$O$117)</f>
        <v>43.670427972235629</v>
      </c>
      <c r="AF62" s="430" t="s">
        <v>669</v>
      </c>
    </row>
    <row r="63" spans="1:32" s="21" customFormat="1" ht="43.5" customHeight="1">
      <c r="A63" s="402">
        <f t="shared" si="3"/>
        <v>61</v>
      </c>
      <c r="B63" s="395" t="s">
        <v>140</v>
      </c>
      <c r="C63" s="402">
        <v>1252</v>
      </c>
      <c r="D63" s="402">
        <v>5</v>
      </c>
      <c r="E63" s="402" t="s">
        <v>79</v>
      </c>
      <c r="F63" s="436" t="s">
        <v>466</v>
      </c>
      <c r="G63" s="402">
        <v>367</v>
      </c>
      <c r="H63" s="402" t="s">
        <v>77</v>
      </c>
      <c r="I63" s="402" t="s">
        <v>465</v>
      </c>
      <c r="J63" s="402" t="s">
        <v>342</v>
      </c>
      <c r="K63" s="402">
        <v>63</v>
      </c>
      <c r="L63" s="412" t="s">
        <v>76</v>
      </c>
      <c r="M63" s="418"/>
      <c r="N63" s="422">
        <v>64.099999999999994</v>
      </c>
      <c r="O63" s="422">
        <f t="shared" si="5"/>
        <v>4038.2999999999997</v>
      </c>
      <c r="P63" s="423"/>
      <c r="Q63" s="390" t="s">
        <v>39</v>
      </c>
      <c r="R63" s="419" t="s">
        <v>338</v>
      </c>
      <c r="S63" s="424">
        <v>45573</v>
      </c>
      <c r="T63" s="402" t="s">
        <v>343</v>
      </c>
      <c r="U63" s="402" t="s">
        <v>85</v>
      </c>
      <c r="V63" s="412"/>
      <c r="W63" s="413">
        <v>110</v>
      </c>
      <c r="X63" s="414">
        <f t="shared" si="6"/>
        <v>6930</v>
      </c>
      <c r="Y63" s="415"/>
      <c r="Z63" s="416"/>
      <c r="AA63" s="417" t="e">
        <f t="shared" si="2"/>
        <v>#DIV/0!</v>
      </c>
      <c r="AB63" s="418">
        <v>97</v>
      </c>
      <c r="AC63" s="418" t="s">
        <v>166</v>
      </c>
      <c r="AD63" s="418"/>
      <c r="AE63" s="425"/>
      <c r="AF63" s="418"/>
    </row>
    <row r="64" spans="1:32" s="21" customFormat="1" ht="43.5" customHeight="1">
      <c r="A64" s="402">
        <f t="shared" si="3"/>
        <v>62</v>
      </c>
      <c r="B64" s="395" t="s">
        <v>385</v>
      </c>
      <c r="C64" s="402">
        <v>1253</v>
      </c>
      <c r="D64" s="402">
        <v>1</v>
      </c>
      <c r="E64" s="402" t="s">
        <v>79</v>
      </c>
      <c r="F64" s="402" t="s">
        <v>471</v>
      </c>
      <c r="G64" s="402">
        <v>367</v>
      </c>
      <c r="H64" s="402" t="s">
        <v>77</v>
      </c>
      <c r="I64" s="402" t="s">
        <v>344</v>
      </c>
      <c r="J64" s="402" t="s">
        <v>133</v>
      </c>
      <c r="K64" s="402">
        <v>88</v>
      </c>
      <c r="L64" s="412" t="s">
        <v>76</v>
      </c>
      <c r="M64" s="418"/>
      <c r="N64" s="422">
        <v>47</v>
      </c>
      <c r="O64" s="422">
        <f t="shared" si="5"/>
        <v>4136</v>
      </c>
      <c r="P64" s="435">
        <v>33.6</v>
      </c>
      <c r="Q64" s="390" t="s">
        <v>39</v>
      </c>
      <c r="R64" s="419" t="s">
        <v>345</v>
      </c>
      <c r="S64" s="424">
        <v>45573</v>
      </c>
      <c r="T64" s="402" t="s">
        <v>346</v>
      </c>
      <c r="U64" s="419" t="s">
        <v>85</v>
      </c>
      <c r="V64" s="412"/>
      <c r="W64" s="413">
        <v>65</v>
      </c>
      <c r="X64" s="414">
        <f t="shared" si="6"/>
        <v>5720</v>
      </c>
      <c r="Y64" s="415"/>
      <c r="Z64" s="416"/>
      <c r="AA64" s="417" t="e">
        <f t="shared" si="2"/>
        <v>#DIV/0!</v>
      </c>
      <c r="AB64" s="418">
        <v>117</v>
      </c>
      <c r="AC64" s="418" t="s">
        <v>166</v>
      </c>
      <c r="AD64" s="418"/>
      <c r="AE64" s="431">
        <f>O64*900/($O$53+$O$60+$O$61+$O$62+$O$64+$O$72+$O$117)</f>
        <v>69.084295311978025</v>
      </c>
      <c r="AF64" s="418" t="s">
        <v>669</v>
      </c>
    </row>
    <row r="65" spans="1:32" s="21" customFormat="1" ht="43.5" customHeight="1">
      <c r="A65" s="402">
        <f t="shared" si="3"/>
        <v>63</v>
      </c>
      <c r="B65" s="395" t="s">
        <v>143</v>
      </c>
      <c r="C65" s="402">
        <v>1254</v>
      </c>
      <c r="D65" s="402">
        <v>2</v>
      </c>
      <c r="E65" s="402" t="s">
        <v>79</v>
      </c>
      <c r="F65" s="402" t="s">
        <v>368</v>
      </c>
      <c r="G65" s="419">
        <v>367</v>
      </c>
      <c r="H65" s="419" t="s">
        <v>77</v>
      </c>
      <c r="I65" s="402" t="s">
        <v>255</v>
      </c>
      <c r="J65" s="419" t="s">
        <v>256</v>
      </c>
      <c r="K65" s="419">
        <v>96</v>
      </c>
      <c r="L65" s="412" t="s">
        <v>76</v>
      </c>
      <c r="M65" s="418"/>
      <c r="N65" s="422">
        <v>65.25</v>
      </c>
      <c r="O65" s="422">
        <f t="shared" si="5"/>
        <v>6264</v>
      </c>
      <c r="P65" s="423"/>
      <c r="Q65" s="390" t="s">
        <v>39</v>
      </c>
      <c r="R65" s="419" t="s">
        <v>345</v>
      </c>
      <c r="S65" s="424">
        <v>45573</v>
      </c>
      <c r="T65" s="402" t="s">
        <v>346</v>
      </c>
      <c r="U65" s="419" t="s">
        <v>85</v>
      </c>
      <c r="V65" s="412"/>
      <c r="W65" s="413">
        <v>110</v>
      </c>
      <c r="X65" s="414">
        <f t="shared" si="6"/>
        <v>10560</v>
      </c>
      <c r="Y65" s="415"/>
      <c r="Z65" s="416"/>
      <c r="AA65" s="417" t="e">
        <f t="shared" si="2"/>
        <v>#DIV/0!</v>
      </c>
      <c r="AB65" s="418">
        <v>97</v>
      </c>
      <c r="AC65" s="418" t="s">
        <v>166</v>
      </c>
      <c r="AD65" s="418"/>
      <c r="AE65" s="425"/>
      <c r="AF65" s="418"/>
    </row>
    <row r="66" spans="1:32" s="21" customFormat="1" ht="43.5" customHeight="1">
      <c r="A66" s="402">
        <f t="shared" si="3"/>
        <v>64</v>
      </c>
      <c r="B66" s="395" t="s">
        <v>387</v>
      </c>
      <c r="C66" s="402">
        <v>1255</v>
      </c>
      <c r="D66" s="402">
        <v>1</v>
      </c>
      <c r="E66" s="402" t="s">
        <v>79</v>
      </c>
      <c r="F66" s="402" t="s">
        <v>138</v>
      </c>
      <c r="G66" s="402">
        <v>367</v>
      </c>
      <c r="H66" s="402" t="s">
        <v>77</v>
      </c>
      <c r="I66" s="402">
        <v>7588429</v>
      </c>
      <c r="J66" s="402" t="s">
        <v>347</v>
      </c>
      <c r="K66" s="402">
        <v>50</v>
      </c>
      <c r="L66" s="412" t="s">
        <v>76</v>
      </c>
      <c r="M66" s="418"/>
      <c r="N66" s="422">
        <v>40.74</v>
      </c>
      <c r="O66" s="422">
        <f t="shared" si="5"/>
        <v>2037</v>
      </c>
      <c r="P66" s="423"/>
      <c r="Q66" s="390" t="s">
        <v>39</v>
      </c>
      <c r="R66" s="419" t="s">
        <v>348</v>
      </c>
      <c r="S66" s="424">
        <v>45573</v>
      </c>
      <c r="T66" s="402" t="s">
        <v>349</v>
      </c>
      <c r="U66" s="419" t="s">
        <v>81</v>
      </c>
      <c r="V66" s="412"/>
      <c r="W66" s="413">
        <v>75</v>
      </c>
      <c r="X66" s="414">
        <f t="shared" ref="X66:X97" si="7">W66*K66</f>
        <v>3750</v>
      </c>
      <c r="Y66" s="415"/>
      <c r="Z66" s="416"/>
      <c r="AA66" s="417" t="e">
        <f t="shared" si="2"/>
        <v>#DIV/0!</v>
      </c>
      <c r="AB66" s="418">
        <v>97</v>
      </c>
      <c r="AC66" s="418"/>
      <c r="AD66" s="418"/>
      <c r="AE66" s="425"/>
      <c r="AF66" s="418"/>
    </row>
    <row r="67" spans="1:32" s="21" customFormat="1" ht="43.5" customHeight="1">
      <c r="A67" s="402">
        <f t="shared" si="3"/>
        <v>65</v>
      </c>
      <c r="B67" s="395" t="s">
        <v>387</v>
      </c>
      <c r="C67" s="402">
        <v>1256</v>
      </c>
      <c r="D67" s="402">
        <v>1</v>
      </c>
      <c r="E67" s="402" t="s">
        <v>79</v>
      </c>
      <c r="F67" s="402" t="s">
        <v>182</v>
      </c>
      <c r="G67" s="402">
        <v>367</v>
      </c>
      <c r="H67" s="402" t="s">
        <v>77</v>
      </c>
      <c r="I67" s="402" t="s">
        <v>350</v>
      </c>
      <c r="J67" s="402" t="s">
        <v>162</v>
      </c>
      <c r="K67" s="402">
        <v>4</v>
      </c>
      <c r="L67" s="412" t="s">
        <v>76</v>
      </c>
      <c r="M67" s="418"/>
      <c r="N67" s="422">
        <v>56.96</v>
      </c>
      <c r="O67" s="422">
        <f t="shared" si="5"/>
        <v>227.84</v>
      </c>
      <c r="P67" s="423"/>
      <c r="Q67" s="390" t="s">
        <v>39</v>
      </c>
      <c r="R67" s="419" t="s">
        <v>351</v>
      </c>
      <c r="S67" s="437">
        <v>45573</v>
      </c>
      <c r="T67" s="402" t="s">
        <v>352</v>
      </c>
      <c r="U67" s="419" t="s">
        <v>85</v>
      </c>
      <c r="V67" s="412"/>
      <c r="W67" s="413">
        <v>150</v>
      </c>
      <c r="X67" s="414">
        <f t="shared" si="7"/>
        <v>600</v>
      </c>
      <c r="Y67" s="415"/>
      <c r="Z67" s="416"/>
      <c r="AA67" s="417" t="e">
        <f t="shared" ref="AA67:AA130" si="8">X67/O67/Z67</f>
        <v>#DIV/0!</v>
      </c>
      <c r="AB67" s="418">
        <v>97</v>
      </c>
      <c r="AC67" s="418" t="s">
        <v>166</v>
      </c>
      <c r="AD67" s="418"/>
      <c r="AE67" s="425"/>
      <c r="AF67" s="418"/>
    </row>
    <row r="68" spans="1:32" s="21" customFormat="1" ht="43.5" customHeight="1">
      <c r="A68" s="402">
        <f t="shared" ref="A68:A131" si="9">A67+1</f>
        <v>66</v>
      </c>
      <c r="B68" s="395" t="s">
        <v>387</v>
      </c>
      <c r="C68" s="402">
        <v>1257</v>
      </c>
      <c r="D68" s="402">
        <v>1</v>
      </c>
      <c r="E68" s="402" t="s">
        <v>79</v>
      </c>
      <c r="F68" s="402" t="s">
        <v>112</v>
      </c>
      <c r="G68" s="419">
        <v>367</v>
      </c>
      <c r="H68" s="419" t="s">
        <v>77</v>
      </c>
      <c r="I68" s="402" t="s">
        <v>353</v>
      </c>
      <c r="J68" s="419" t="s">
        <v>197</v>
      </c>
      <c r="K68" s="419">
        <v>5</v>
      </c>
      <c r="L68" s="412" t="s">
        <v>91</v>
      </c>
      <c r="M68" s="395" t="s">
        <v>492</v>
      </c>
      <c r="N68" s="438">
        <v>127.5</v>
      </c>
      <c r="O68" s="422">
        <f t="shared" si="5"/>
        <v>637.5</v>
      </c>
      <c r="P68" s="423"/>
      <c r="Q68" s="390" t="s">
        <v>39</v>
      </c>
      <c r="R68" s="419" t="s">
        <v>354</v>
      </c>
      <c r="S68" s="437">
        <v>45577</v>
      </c>
      <c r="T68" s="402" t="s">
        <v>355</v>
      </c>
      <c r="U68" s="419" t="s">
        <v>85</v>
      </c>
      <c r="V68" s="412"/>
      <c r="W68" s="413">
        <v>360</v>
      </c>
      <c r="X68" s="414">
        <f t="shared" si="7"/>
        <v>1800</v>
      </c>
      <c r="Y68" s="415"/>
      <c r="Z68" s="416"/>
      <c r="AA68" s="417" t="e">
        <f t="shared" si="8"/>
        <v>#DIV/0!</v>
      </c>
      <c r="AB68" s="418"/>
      <c r="AC68" s="402" t="s">
        <v>502</v>
      </c>
      <c r="AD68" s="402"/>
      <c r="AE68" s="425"/>
      <c r="AF68" s="402"/>
    </row>
    <row r="69" spans="1:32" s="21" customFormat="1" ht="43.5" customHeight="1">
      <c r="A69" s="402">
        <f t="shared" si="9"/>
        <v>67</v>
      </c>
      <c r="B69" s="395" t="s">
        <v>628</v>
      </c>
      <c r="C69" s="402">
        <v>1258</v>
      </c>
      <c r="D69" s="402">
        <v>1</v>
      </c>
      <c r="E69" s="402" t="s">
        <v>79</v>
      </c>
      <c r="F69" s="402" t="s">
        <v>684</v>
      </c>
      <c r="G69" s="419">
        <v>367</v>
      </c>
      <c r="H69" s="419" t="s">
        <v>77</v>
      </c>
      <c r="I69" s="402" t="s">
        <v>356</v>
      </c>
      <c r="J69" s="419" t="s">
        <v>246</v>
      </c>
      <c r="K69" s="419">
        <v>90</v>
      </c>
      <c r="L69" s="412" t="s">
        <v>76</v>
      </c>
      <c r="M69" s="418"/>
      <c r="N69" s="422">
        <v>136.41</v>
      </c>
      <c r="O69" s="422">
        <f t="shared" si="5"/>
        <v>12276.9</v>
      </c>
      <c r="P69" s="423"/>
      <c r="Q69" s="390" t="s">
        <v>39</v>
      </c>
      <c r="R69" s="419" t="s">
        <v>359</v>
      </c>
      <c r="S69" s="437">
        <v>45577</v>
      </c>
      <c r="T69" s="402" t="s">
        <v>360</v>
      </c>
      <c r="U69" s="419" t="s">
        <v>85</v>
      </c>
      <c r="V69" s="412"/>
      <c r="W69" s="413">
        <v>200</v>
      </c>
      <c r="X69" s="414">
        <f t="shared" si="7"/>
        <v>18000</v>
      </c>
      <c r="Y69" s="415"/>
      <c r="Z69" s="416"/>
      <c r="AA69" s="417" t="e">
        <f t="shared" si="8"/>
        <v>#DIV/0!</v>
      </c>
      <c r="AB69" s="418">
        <v>126</v>
      </c>
      <c r="AC69" s="395" t="s">
        <v>591</v>
      </c>
      <c r="AD69" s="395"/>
      <c r="AE69" s="425"/>
      <c r="AF69" s="395"/>
    </row>
    <row r="70" spans="1:32" s="21" customFormat="1" ht="43.5" customHeight="1">
      <c r="A70" s="402">
        <f t="shared" si="9"/>
        <v>68</v>
      </c>
      <c r="B70" s="395" t="s">
        <v>387</v>
      </c>
      <c r="C70" s="402">
        <v>1259</v>
      </c>
      <c r="D70" s="402">
        <v>2</v>
      </c>
      <c r="E70" s="402" t="s">
        <v>79</v>
      </c>
      <c r="F70" s="402" t="s">
        <v>369</v>
      </c>
      <c r="G70" s="402">
        <v>367</v>
      </c>
      <c r="H70" s="402" t="s">
        <v>77</v>
      </c>
      <c r="I70" s="402" t="s">
        <v>357</v>
      </c>
      <c r="J70" s="402" t="s">
        <v>294</v>
      </c>
      <c r="K70" s="402">
        <v>5</v>
      </c>
      <c r="L70" s="412" t="s">
        <v>76</v>
      </c>
      <c r="M70" s="418"/>
      <c r="N70" s="422">
        <v>27.1</v>
      </c>
      <c r="O70" s="422">
        <f t="shared" si="5"/>
        <v>135.5</v>
      </c>
      <c r="P70" s="423"/>
      <c r="Q70" s="390" t="s">
        <v>39</v>
      </c>
      <c r="R70" s="419" t="s">
        <v>359</v>
      </c>
      <c r="S70" s="437">
        <v>45577</v>
      </c>
      <c r="T70" s="402" t="s">
        <v>360</v>
      </c>
      <c r="U70" s="419" t="s">
        <v>85</v>
      </c>
      <c r="V70" s="412"/>
      <c r="W70" s="413">
        <v>104</v>
      </c>
      <c r="X70" s="414">
        <f t="shared" si="7"/>
        <v>520</v>
      </c>
      <c r="Y70" s="415"/>
      <c r="Z70" s="416">
        <v>1.28</v>
      </c>
      <c r="AA70" s="417">
        <f t="shared" si="8"/>
        <v>2.9981549815498156</v>
      </c>
      <c r="AB70" s="418">
        <v>91</v>
      </c>
      <c r="AC70" s="418" t="s">
        <v>166</v>
      </c>
      <c r="AD70" s="418"/>
      <c r="AE70" s="425"/>
      <c r="AF70" s="418"/>
    </row>
    <row r="71" spans="1:32" s="21" customFormat="1" ht="43.5" customHeight="1">
      <c r="A71" s="402">
        <f t="shared" si="9"/>
        <v>69</v>
      </c>
      <c r="B71" s="395" t="s">
        <v>387</v>
      </c>
      <c r="C71" s="402">
        <v>1260</v>
      </c>
      <c r="D71" s="402">
        <v>3</v>
      </c>
      <c r="E71" s="402" t="s">
        <v>79</v>
      </c>
      <c r="F71" s="402" t="s">
        <v>369</v>
      </c>
      <c r="G71" s="402">
        <v>367</v>
      </c>
      <c r="H71" s="402" t="s">
        <v>77</v>
      </c>
      <c r="I71" s="402" t="s">
        <v>207</v>
      </c>
      <c r="J71" s="402" t="s">
        <v>358</v>
      </c>
      <c r="K71" s="402">
        <v>1</v>
      </c>
      <c r="L71" s="412" t="s">
        <v>76</v>
      </c>
      <c r="M71" s="418"/>
      <c r="N71" s="422">
        <v>485</v>
      </c>
      <c r="O71" s="422">
        <f t="shared" si="5"/>
        <v>485</v>
      </c>
      <c r="P71" s="423"/>
      <c r="Q71" s="390" t="s">
        <v>39</v>
      </c>
      <c r="R71" s="419" t="s">
        <v>359</v>
      </c>
      <c r="S71" s="437">
        <v>45577</v>
      </c>
      <c r="T71" s="402" t="s">
        <v>360</v>
      </c>
      <c r="U71" s="419" t="s">
        <v>85</v>
      </c>
      <c r="V71" s="412"/>
      <c r="W71" s="413">
        <v>900</v>
      </c>
      <c r="X71" s="414">
        <f t="shared" si="7"/>
        <v>900</v>
      </c>
      <c r="Y71" s="415"/>
      <c r="Z71" s="416">
        <v>1.28</v>
      </c>
      <c r="AA71" s="417">
        <f t="shared" si="8"/>
        <v>1.4497422680412371</v>
      </c>
      <c r="AB71" s="418">
        <v>91</v>
      </c>
      <c r="AC71" s="418" t="s">
        <v>166</v>
      </c>
      <c r="AD71" s="418"/>
      <c r="AE71" s="425"/>
      <c r="AF71" s="418"/>
    </row>
    <row r="72" spans="1:32" s="21" customFormat="1" ht="43.5" customHeight="1">
      <c r="A72" s="402">
        <f t="shared" si="9"/>
        <v>70</v>
      </c>
      <c r="B72" s="395" t="s">
        <v>140</v>
      </c>
      <c r="C72" s="402">
        <v>1353</v>
      </c>
      <c r="D72" s="402">
        <v>3</v>
      </c>
      <c r="E72" s="402" t="s">
        <v>79</v>
      </c>
      <c r="F72" s="402" t="s">
        <v>471</v>
      </c>
      <c r="G72" s="402">
        <v>367</v>
      </c>
      <c r="H72" s="402" t="s">
        <v>77</v>
      </c>
      <c r="I72" s="402" t="s">
        <v>207</v>
      </c>
      <c r="J72" s="402" t="s">
        <v>358</v>
      </c>
      <c r="K72" s="402">
        <v>1</v>
      </c>
      <c r="L72" s="412" t="s">
        <v>76</v>
      </c>
      <c r="M72" s="418"/>
      <c r="N72" s="422">
        <v>800</v>
      </c>
      <c r="O72" s="422">
        <f t="shared" si="5"/>
        <v>800</v>
      </c>
      <c r="P72" s="423"/>
      <c r="Q72" s="390" t="s">
        <v>39</v>
      </c>
      <c r="R72" s="419" t="s">
        <v>359</v>
      </c>
      <c r="S72" s="437">
        <v>45577</v>
      </c>
      <c r="T72" s="402" t="s">
        <v>360</v>
      </c>
      <c r="U72" s="419" t="s">
        <v>85</v>
      </c>
      <c r="V72" s="412"/>
      <c r="W72" s="413">
        <v>900</v>
      </c>
      <c r="X72" s="414">
        <f t="shared" si="7"/>
        <v>900</v>
      </c>
      <c r="Y72" s="415"/>
      <c r="Z72" s="416"/>
      <c r="AA72" s="417" t="e">
        <f t="shared" si="8"/>
        <v>#DIV/0!</v>
      </c>
      <c r="AB72" s="418">
        <v>117</v>
      </c>
      <c r="AC72" s="430" t="s">
        <v>166</v>
      </c>
      <c r="AD72" s="430"/>
      <c r="AE72" s="431">
        <f>O72*900/($O$53+$O$60+$O$61+$O$62+$O$64+$O$72+$O$117)</f>
        <v>13.362532942355518</v>
      </c>
      <c r="AF72" s="430" t="s">
        <v>669</v>
      </c>
    </row>
    <row r="73" spans="1:32" s="21" customFormat="1" ht="43.5" customHeight="1">
      <c r="A73" s="402">
        <f t="shared" si="9"/>
        <v>71</v>
      </c>
      <c r="B73" s="395" t="s">
        <v>385</v>
      </c>
      <c r="C73" s="402">
        <v>1243</v>
      </c>
      <c r="D73" s="402">
        <v>1</v>
      </c>
      <c r="E73" s="402" t="s">
        <v>201</v>
      </c>
      <c r="F73" s="402" t="s">
        <v>408</v>
      </c>
      <c r="G73" s="402">
        <v>366</v>
      </c>
      <c r="H73" s="402" t="s">
        <v>140</v>
      </c>
      <c r="I73" s="402" t="s">
        <v>333</v>
      </c>
      <c r="J73" s="402" t="s">
        <v>334</v>
      </c>
      <c r="K73" s="402">
        <v>1</v>
      </c>
      <c r="L73" s="412" t="s">
        <v>76</v>
      </c>
      <c r="M73" s="418"/>
      <c r="N73" s="422">
        <v>3925</v>
      </c>
      <c r="O73" s="422">
        <f t="shared" si="5"/>
        <v>3925</v>
      </c>
      <c r="P73" s="423"/>
      <c r="Q73" s="390" t="s">
        <v>39</v>
      </c>
      <c r="R73" s="419" t="s">
        <v>529</v>
      </c>
      <c r="S73" s="437">
        <v>45578</v>
      </c>
      <c r="T73" s="402"/>
      <c r="U73" s="419"/>
      <c r="V73" s="412"/>
      <c r="W73" s="413">
        <v>6700</v>
      </c>
      <c r="X73" s="414">
        <f t="shared" si="7"/>
        <v>6700</v>
      </c>
      <c r="Y73" s="415"/>
      <c r="Z73" s="416"/>
      <c r="AA73" s="417" t="e">
        <f t="shared" si="8"/>
        <v>#DIV/0!</v>
      </c>
      <c r="AB73" s="418"/>
      <c r="AC73" s="418"/>
      <c r="AD73" s="418"/>
      <c r="AE73" s="425"/>
      <c r="AF73" s="418"/>
    </row>
    <row r="74" spans="1:32" s="21" customFormat="1" ht="43.5" customHeight="1">
      <c r="A74" s="402">
        <f t="shared" si="9"/>
        <v>72</v>
      </c>
      <c r="B74" s="395" t="s">
        <v>387</v>
      </c>
      <c r="C74" s="402">
        <v>1261</v>
      </c>
      <c r="D74" s="402">
        <v>1</v>
      </c>
      <c r="E74" s="402" t="s">
        <v>139</v>
      </c>
      <c r="F74" s="402" t="s">
        <v>138</v>
      </c>
      <c r="G74" s="402">
        <v>368</v>
      </c>
      <c r="H74" s="402" t="s">
        <v>140</v>
      </c>
      <c r="I74" s="402" t="s">
        <v>309</v>
      </c>
      <c r="J74" s="402" t="s">
        <v>335</v>
      </c>
      <c r="K74" s="402">
        <v>4</v>
      </c>
      <c r="L74" s="412" t="s">
        <v>76</v>
      </c>
      <c r="M74" s="418"/>
      <c r="N74" s="422">
        <v>171.46</v>
      </c>
      <c r="O74" s="422">
        <f t="shared" si="5"/>
        <v>685.84</v>
      </c>
      <c r="P74" s="423"/>
      <c r="Q74" s="390" t="s">
        <v>39</v>
      </c>
      <c r="R74" s="419">
        <v>14030655</v>
      </c>
      <c r="S74" s="437"/>
      <c r="T74" s="402"/>
      <c r="U74" s="419"/>
      <c r="V74" s="412"/>
      <c r="W74" s="413">
        <v>260</v>
      </c>
      <c r="X74" s="414">
        <f t="shared" si="7"/>
        <v>1040</v>
      </c>
      <c r="Y74" s="423"/>
      <c r="Z74" s="416">
        <v>1.28</v>
      </c>
      <c r="AA74" s="417">
        <f t="shared" si="8"/>
        <v>1.1846786422489211</v>
      </c>
      <c r="AB74" s="418"/>
      <c r="AC74" s="418"/>
      <c r="AD74" s="418"/>
      <c r="AE74" s="425"/>
      <c r="AF74" s="418"/>
    </row>
    <row r="75" spans="1:32" s="21" customFormat="1" ht="43.5" customHeight="1">
      <c r="A75" s="402">
        <f t="shared" si="9"/>
        <v>73</v>
      </c>
      <c r="B75" s="395" t="s">
        <v>387</v>
      </c>
      <c r="C75" s="402">
        <v>1286</v>
      </c>
      <c r="D75" s="402">
        <v>1</v>
      </c>
      <c r="E75" s="402" t="s">
        <v>79</v>
      </c>
      <c r="F75" s="402" t="s">
        <v>369</v>
      </c>
      <c r="G75" s="402">
        <v>379</v>
      </c>
      <c r="H75" s="402" t="s">
        <v>77</v>
      </c>
      <c r="I75" s="402" t="s">
        <v>363</v>
      </c>
      <c r="J75" s="402" t="s">
        <v>364</v>
      </c>
      <c r="K75" s="402">
        <v>3</v>
      </c>
      <c r="L75" s="412" t="s">
        <v>76</v>
      </c>
      <c r="M75" s="418"/>
      <c r="N75" s="422">
        <v>80</v>
      </c>
      <c r="O75" s="422">
        <f t="shared" si="5"/>
        <v>240</v>
      </c>
      <c r="P75" s="439" t="s">
        <v>365</v>
      </c>
      <c r="Q75" s="390" t="s">
        <v>39</v>
      </c>
      <c r="R75" s="419" t="s">
        <v>380</v>
      </c>
      <c r="S75" s="437">
        <v>45587</v>
      </c>
      <c r="T75" s="402" t="s">
        <v>366</v>
      </c>
      <c r="U75" s="419" t="s">
        <v>85</v>
      </c>
      <c r="V75" s="412"/>
      <c r="W75" s="413">
        <v>470</v>
      </c>
      <c r="X75" s="414">
        <f t="shared" si="7"/>
        <v>1410</v>
      </c>
      <c r="Y75" s="415"/>
      <c r="Z75" s="416">
        <v>1.28</v>
      </c>
      <c r="AA75" s="417">
        <f t="shared" si="8"/>
        <v>4.58984375</v>
      </c>
      <c r="AB75" s="418">
        <v>91</v>
      </c>
      <c r="AC75" s="418" t="s">
        <v>524</v>
      </c>
      <c r="AD75" s="418"/>
      <c r="AE75" s="425"/>
      <c r="AF75" s="418"/>
    </row>
    <row r="76" spans="1:32" s="21" customFormat="1" ht="43.5" customHeight="1">
      <c r="A76" s="402">
        <f t="shared" si="9"/>
        <v>74</v>
      </c>
      <c r="B76" s="395" t="s">
        <v>332</v>
      </c>
      <c r="C76" s="402">
        <v>1287</v>
      </c>
      <c r="D76" s="402">
        <v>1</v>
      </c>
      <c r="E76" s="402" t="s">
        <v>79</v>
      </c>
      <c r="F76" s="402" t="s">
        <v>332</v>
      </c>
      <c r="G76" s="402">
        <v>367</v>
      </c>
      <c r="H76" s="402" t="s">
        <v>77</v>
      </c>
      <c r="I76" s="402" t="s">
        <v>518</v>
      </c>
      <c r="J76" s="402" t="s">
        <v>379</v>
      </c>
      <c r="K76" s="402">
        <v>1</v>
      </c>
      <c r="L76" s="412" t="s">
        <v>76</v>
      </c>
      <c r="M76" s="418"/>
      <c r="N76" s="422">
        <v>2456.9</v>
      </c>
      <c r="O76" s="422">
        <f t="shared" si="5"/>
        <v>2456.9</v>
      </c>
      <c r="P76" s="423"/>
      <c r="Q76" s="440" t="s">
        <v>631</v>
      </c>
      <c r="R76" s="419" t="s">
        <v>372</v>
      </c>
      <c r="S76" s="437">
        <v>45584</v>
      </c>
      <c r="T76" s="402" t="s">
        <v>373</v>
      </c>
      <c r="U76" s="419" t="s">
        <v>85</v>
      </c>
      <c r="V76" s="412"/>
      <c r="W76" s="413">
        <v>4740</v>
      </c>
      <c r="X76" s="414">
        <f t="shared" si="7"/>
        <v>4740</v>
      </c>
      <c r="Y76" s="415"/>
      <c r="Z76" s="416"/>
      <c r="AA76" s="417" t="e">
        <f t="shared" si="8"/>
        <v>#DIV/0!</v>
      </c>
      <c r="AB76" s="441">
        <v>97</v>
      </c>
      <c r="AC76" s="401" t="s">
        <v>646</v>
      </c>
      <c r="AD76" s="401"/>
      <c r="AE76" s="425"/>
      <c r="AF76" s="401"/>
    </row>
    <row r="77" spans="1:32" s="21" customFormat="1" ht="43.5" customHeight="1">
      <c r="A77" s="402">
        <f t="shared" si="9"/>
        <v>75</v>
      </c>
      <c r="B77" s="395" t="s">
        <v>630</v>
      </c>
      <c r="C77" s="402">
        <v>1533</v>
      </c>
      <c r="D77" s="402">
        <v>1</v>
      </c>
      <c r="E77" s="402" t="s">
        <v>79</v>
      </c>
      <c r="F77" s="402" t="s">
        <v>640</v>
      </c>
      <c r="G77" s="402">
        <v>367</v>
      </c>
      <c r="H77" s="402" t="s">
        <v>77</v>
      </c>
      <c r="I77" s="402" t="s">
        <v>648</v>
      </c>
      <c r="J77" s="402" t="s">
        <v>379</v>
      </c>
      <c r="K77" s="402">
        <v>2</v>
      </c>
      <c r="L77" s="412" t="s">
        <v>76</v>
      </c>
      <c r="M77" s="418"/>
      <c r="N77" s="422">
        <v>2932.5</v>
      </c>
      <c r="O77" s="422">
        <f t="shared" si="5"/>
        <v>5865</v>
      </c>
      <c r="P77" s="423"/>
      <c r="Q77" s="390" t="s">
        <v>39</v>
      </c>
      <c r="R77" s="419" t="s">
        <v>372</v>
      </c>
      <c r="S77" s="437">
        <v>45584</v>
      </c>
      <c r="T77" s="402" t="s">
        <v>373</v>
      </c>
      <c r="U77" s="419" t="s">
        <v>85</v>
      </c>
      <c r="V77" s="412" t="s">
        <v>374</v>
      </c>
      <c r="W77" s="413">
        <v>4740</v>
      </c>
      <c r="X77" s="414">
        <f t="shared" si="7"/>
        <v>9480</v>
      </c>
      <c r="Y77" s="415"/>
      <c r="Z77" s="416"/>
      <c r="AA77" s="417" t="e">
        <f t="shared" si="8"/>
        <v>#DIV/0!</v>
      </c>
      <c r="AB77" s="418">
        <v>142</v>
      </c>
      <c r="AC77" s="442" t="s">
        <v>647</v>
      </c>
      <c r="AD77" s="442"/>
      <c r="AE77" s="425"/>
      <c r="AF77" s="442"/>
    </row>
    <row r="78" spans="1:32" s="21" customFormat="1" ht="43.5" customHeight="1">
      <c r="A78" s="402">
        <f t="shared" si="9"/>
        <v>76</v>
      </c>
      <c r="B78" s="395" t="s">
        <v>387</v>
      </c>
      <c r="C78" s="402">
        <v>1288</v>
      </c>
      <c r="D78" s="402">
        <v>1</v>
      </c>
      <c r="E78" s="402" t="s">
        <v>79</v>
      </c>
      <c r="F78" s="402" t="s">
        <v>138</v>
      </c>
      <c r="G78" s="402">
        <v>367</v>
      </c>
      <c r="H78" s="402" t="s">
        <v>77</v>
      </c>
      <c r="I78" s="402" t="s">
        <v>375</v>
      </c>
      <c r="J78" s="402" t="s">
        <v>378</v>
      </c>
      <c r="K78" s="402">
        <v>5</v>
      </c>
      <c r="L78" s="412" t="s">
        <v>76</v>
      </c>
      <c r="M78" s="418"/>
      <c r="N78" s="422">
        <v>179.35</v>
      </c>
      <c r="O78" s="422">
        <f t="shared" si="5"/>
        <v>896.75</v>
      </c>
      <c r="P78" s="423"/>
      <c r="Q78" s="390" t="s">
        <v>39</v>
      </c>
      <c r="R78" s="419" t="s">
        <v>376</v>
      </c>
      <c r="S78" s="437">
        <v>45584</v>
      </c>
      <c r="T78" s="402" t="s">
        <v>377</v>
      </c>
      <c r="U78" s="419" t="s">
        <v>81</v>
      </c>
      <c r="V78" s="412"/>
      <c r="W78" s="413">
        <v>350</v>
      </c>
      <c r="X78" s="414">
        <f t="shared" si="7"/>
        <v>1750</v>
      </c>
      <c r="Y78" s="415"/>
      <c r="Z78" s="416"/>
      <c r="AA78" s="417" t="e">
        <f t="shared" si="8"/>
        <v>#DIV/0!</v>
      </c>
      <c r="AB78" s="418">
        <v>97</v>
      </c>
      <c r="AC78" s="418"/>
      <c r="AD78" s="418"/>
      <c r="AE78" s="425"/>
      <c r="AF78" s="418"/>
    </row>
    <row r="79" spans="1:32" s="21" customFormat="1" ht="43.5" customHeight="1">
      <c r="A79" s="402">
        <f t="shared" si="9"/>
        <v>77</v>
      </c>
      <c r="B79" s="395" t="s">
        <v>332</v>
      </c>
      <c r="C79" s="402">
        <v>1291</v>
      </c>
      <c r="D79" s="402">
        <v>1</v>
      </c>
      <c r="E79" s="402" t="s">
        <v>79</v>
      </c>
      <c r="F79" s="402" t="s">
        <v>641</v>
      </c>
      <c r="G79" s="419">
        <v>348</v>
      </c>
      <c r="H79" s="402" t="s">
        <v>116</v>
      </c>
      <c r="I79" s="402">
        <v>856000056</v>
      </c>
      <c r="J79" s="402" t="s">
        <v>133</v>
      </c>
      <c r="K79" s="402">
        <v>4</v>
      </c>
      <c r="L79" s="412" t="s">
        <v>76</v>
      </c>
      <c r="M79" s="418"/>
      <c r="N79" s="444"/>
      <c r="O79" s="422">
        <f t="shared" si="5"/>
        <v>0</v>
      </c>
      <c r="P79" s="423"/>
      <c r="Q79" s="443" t="s">
        <v>34</v>
      </c>
      <c r="R79" s="419" t="s">
        <v>383</v>
      </c>
      <c r="S79" s="437">
        <v>45542</v>
      </c>
      <c r="T79" s="402" t="s">
        <v>384</v>
      </c>
      <c r="U79" s="419" t="s">
        <v>96</v>
      </c>
      <c r="V79" s="412"/>
      <c r="W79" s="413">
        <v>280</v>
      </c>
      <c r="X79" s="414">
        <f t="shared" si="7"/>
        <v>1120</v>
      </c>
      <c r="Y79" s="415"/>
      <c r="Z79" s="416"/>
      <c r="AA79" s="417" t="e">
        <f t="shared" si="8"/>
        <v>#DIV/0!</v>
      </c>
      <c r="AB79" s="418"/>
      <c r="AC79" s="445" t="s">
        <v>20</v>
      </c>
      <c r="AD79" s="445"/>
      <c r="AE79" s="425"/>
      <c r="AF79" s="388"/>
    </row>
    <row r="80" spans="1:32" s="21" customFormat="1" ht="43.5" customHeight="1">
      <c r="A80" s="402">
        <f t="shared" si="9"/>
        <v>78</v>
      </c>
      <c r="B80" s="395" t="s">
        <v>332</v>
      </c>
      <c r="C80" s="402">
        <v>1292</v>
      </c>
      <c r="D80" s="402">
        <v>2</v>
      </c>
      <c r="E80" s="402" t="s">
        <v>79</v>
      </c>
      <c r="F80" s="402" t="s">
        <v>388</v>
      </c>
      <c r="G80" s="402">
        <v>348</v>
      </c>
      <c r="H80" s="402" t="s">
        <v>116</v>
      </c>
      <c r="I80" s="402">
        <v>857002008</v>
      </c>
      <c r="J80" s="402" t="s">
        <v>135</v>
      </c>
      <c r="K80" s="402">
        <v>4</v>
      </c>
      <c r="L80" s="412" t="s">
        <v>76</v>
      </c>
      <c r="M80" s="418"/>
      <c r="N80" s="444"/>
      <c r="O80" s="422">
        <f t="shared" si="5"/>
        <v>0</v>
      </c>
      <c r="P80" s="423"/>
      <c r="Q80" s="443" t="s">
        <v>34</v>
      </c>
      <c r="R80" s="419" t="s">
        <v>383</v>
      </c>
      <c r="S80" s="437">
        <v>45542</v>
      </c>
      <c r="T80" s="402" t="s">
        <v>384</v>
      </c>
      <c r="U80" s="419" t="s">
        <v>96</v>
      </c>
      <c r="V80" s="412"/>
      <c r="W80" s="413">
        <v>280</v>
      </c>
      <c r="X80" s="414">
        <f t="shared" si="7"/>
        <v>1120</v>
      </c>
      <c r="Y80" s="415"/>
      <c r="Z80" s="416"/>
      <c r="AA80" s="417" t="e">
        <f t="shared" si="8"/>
        <v>#DIV/0!</v>
      </c>
      <c r="AB80" s="418"/>
      <c r="AC80" s="445" t="s">
        <v>20</v>
      </c>
      <c r="AD80" s="445"/>
      <c r="AE80" s="425"/>
      <c r="AF80" s="388"/>
    </row>
    <row r="81" spans="1:32" s="21" customFormat="1" ht="43.5" customHeight="1">
      <c r="A81" s="402">
        <f t="shared" si="9"/>
        <v>79</v>
      </c>
      <c r="B81" s="395" t="s">
        <v>143</v>
      </c>
      <c r="C81" s="402">
        <v>1307</v>
      </c>
      <c r="D81" s="402">
        <v>1</v>
      </c>
      <c r="E81" s="402" t="s">
        <v>79</v>
      </c>
      <c r="F81" s="402" t="s">
        <v>409</v>
      </c>
      <c r="G81" s="402">
        <v>325</v>
      </c>
      <c r="H81" s="402" t="s">
        <v>140</v>
      </c>
      <c r="I81" s="402" t="s">
        <v>389</v>
      </c>
      <c r="J81" s="402" t="s">
        <v>390</v>
      </c>
      <c r="K81" s="402">
        <v>2</v>
      </c>
      <c r="L81" s="412" t="s">
        <v>76</v>
      </c>
      <c r="M81" s="418"/>
      <c r="N81" s="422">
        <f>552.94*1.05</f>
        <v>580.5870000000001</v>
      </c>
      <c r="O81" s="422">
        <f t="shared" si="5"/>
        <v>1161.1740000000002</v>
      </c>
      <c r="P81" s="423"/>
      <c r="Q81" s="390" t="s">
        <v>39</v>
      </c>
      <c r="R81" s="419" t="s">
        <v>391</v>
      </c>
      <c r="S81" s="437">
        <v>45441</v>
      </c>
      <c r="T81" s="402" t="s">
        <v>392</v>
      </c>
      <c r="U81" s="419" t="s">
        <v>85</v>
      </c>
      <c r="V81" s="412"/>
      <c r="W81" s="413">
        <v>850</v>
      </c>
      <c r="X81" s="414">
        <f t="shared" si="7"/>
        <v>1700</v>
      </c>
      <c r="Y81" s="415"/>
      <c r="Z81" s="416"/>
      <c r="AA81" s="417" t="e">
        <f t="shared" si="8"/>
        <v>#DIV/0!</v>
      </c>
      <c r="AB81" s="418"/>
      <c r="AC81" s="418" t="s">
        <v>403</v>
      </c>
      <c r="AD81" s="418"/>
      <c r="AE81" s="425"/>
      <c r="AF81" s="418"/>
    </row>
    <row r="82" spans="1:32" s="21" customFormat="1" ht="43.5" customHeight="1">
      <c r="A82" s="402">
        <f t="shared" si="9"/>
        <v>80</v>
      </c>
      <c r="B82" s="395" t="s">
        <v>140</v>
      </c>
      <c r="C82" s="402">
        <v>1308</v>
      </c>
      <c r="D82" s="402">
        <v>1</v>
      </c>
      <c r="E82" s="402" t="s">
        <v>79</v>
      </c>
      <c r="F82" s="402" t="s">
        <v>204</v>
      </c>
      <c r="G82" s="402">
        <v>379</v>
      </c>
      <c r="H82" s="402" t="s">
        <v>77</v>
      </c>
      <c r="I82" s="402" t="s">
        <v>394</v>
      </c>
      <c r="J82" s="402" t="s">
        <v>246</v>
      </c>
      <c r="K82" s="411">
        <v>98</v>
      </c>
      <c r="L82" s="412" t="s">
        <v>76</v>
      </c>
      <c r="M82" s="402">
        <v>96</v>
      </c>
      <c r="N82" s="422">
        <v>98.1</v>
      </c>
      <c r="O82" s="422">
        <f t="shared" si="5"/>
        <v>9613.7999999999993</v>
      </c>
      <c r="P82" s="423"/>
      <c r="Q82" s="390" t="s">
        <v>39</v>
      </c>
      <c r="R82" s="419" t="s">
        <v>397</v>
      </c>
      <c r="S82" s="437">
        <v>45591</v>
      </c>
      <c r="T82" s="402" t="s">
        <v>396</v>
      </c>
      <c r="U82" s="419" t="s">
        <v>85</v>
      </c>
      <c r="V82" s="412"/>
      <c r="W82" s="413">
        <v>160</v>
      </c>
      <c r="X82" s="414">
        <f t="shared" si="7"/>
        <v>15680</v>
      </c>
      <c r="Y82" s="415"/>
      <c r="Z82" s="416"/>
      <c r="AA82" s="417" t="e">
        <f t="shared" si="8"/>
        <v>#DIV/0!</v>
      </c>
      <c r="AB82" s="418">
        <v>97</v>
      </c>
      <c r="AC82" s="418" t="s">
        <v>166</v>
      </c>
      <c r="AD82" s="418"/>
      <c r="AE82" s="425"/>
      <c r="AF82" s="418"/>
    </row>
    <row r="83" spans="1:32" s="21" customFormat="1" ht="43.5" customHeight="1">
      <c r="A83" s="402">
        <f t="shared" si="9"/>
        <v>81</v>
      </c>
      <c r="B83" s="395" t="s">
        <v>387</v>
      </c>
      <c r="C83" s="402">
        <v>1309</v>
      </c>
      <c r="D83" s="402">
        <v>2</v>
      </c>
      <c r="E83" s="402" t="s">
        <v>79</v>
      </c>
      <c r="F83" s="402" t="s">
        <v>182</v>
      </c>
      <c r="G83" s="402">
        <v>379</v>
      </c>
      <c r="H83" s="402" t="s">
        <v>77</v>
      </c>
      <c r="I83" s="402" t="s">
        <v>395</v>
      </c>
      <c r="J83" s="402" t="s">
        <v>162</v>
      </c>
      <c r="K83" s="402">
        <v>20</v>
      </c>
      <c r="L83" s="412" t="s">
        <v>76</v>
      </c>
      <c r="M83" s="418"/>
      <c r="N83" s="422">
        <v>1.47</v>
      </c>
      <c r="O83" s="422">
        <f t="shared" si="5"/>
        <v>29.4</v>
      </c>
      <c r="P83" s="423"/>
      <c r="Q83" s="390" t="s">
        <v>39</v>
      </c>
      <c r="R83" s="419" t="s">
        <v>397</v>
      </c>
      <c r="S83" s="437">
        <v>45591</v>
      </c>
      <c r="T83" s="402" t="s">
        <v>396</v>
      </c>
      <c r="U83" s="419" t="s">
        <v>85</v>
      </c>
      <c r="V83" s="412"/>
      <c r="W83" s="413">
        <v>15</v>
      </c>
      <c r="X83" s="414">
        <f t="shared" si="7"/>
        <v>300</v>
      </c>
      <c r="Y83" s="415"/>
      <c r="Z83" s="416"/>
      <c r="AA83" s="417" t="e">
        <f t="shared" si="8"/>
        <v>#DIV/0!</v>
      </c>
      <c r="AB83" s="418">
        <v>97</v>
      </c>
      <c r="AC83" s="418" t="s">
        <v>166</v>
      </c>
      <c r="AD83" s="418"/>
      <c r="AE83" s="425"/>
      <c r="AF83" s="418"/>
    </row>
    <row r="84" spans="1:32" s="21" customFormat="1" ht="43.5" customHeight="1">
      <c r="A84" s="402">
        <f t="shared" si="9"/>
        <v>82</v>
      </c>
      <c r="B84" s="395" t="s">
        <v>387</v>
      </c>
      <c r="C84" s="402">
        <v>1310</v>
      </c>
      <c r="D84" s="402">
        <v>1</v>
      </c>
      <c r="E84" s="402" t="s">
        <v>79</v>
      </c>
      <c r="F84" s="402" t="s">
        <v>402</v>
      </c>
      <c r="G84" s="402">
        <v>379</v>
      </c>
      <c r="H84" s="402" t="s">
        <v>116</v>
      </c>
      <c r="I84" s="402" t="s">
        <v>398</v>
      </c>
      <c r="J84" s="402" t="s">
        <v>399</v>
      </c>
      <c r="K84" s="402">
        <v>1</v>
      </c>
      <c r="L84" s="412" t="s">
        <v>125</v>
      </c>
      <c r="M84" s="418"/>
      <c r="N84" s="422">
        <v>2000</v>
      </c>
      <c r="O84" s="422">
        <f t="shared" si="5"/>
        <v>2000</v>
      </c>
      <c r="P84" s="423"/>
      <c r="Q84" s="390" t="s">
        <v>39</v>
      </c>
      <c r="R84" s="419" t="s">
        <v>401</v>
      </c>
      <c r="S84" s="437">
        <v>45591</v>
      </c>
      <c r="T84" s="402" t="s">
        <v>400</v>
      </c>
      <c r="U84" s="419" t="s">
        <v>81</v>
      </c>
      <c r="V84" s="412"/>
      <c r="W84" s="413">
        <v>3700</v>
      </c>
      <c r="X84" s="414">
        <f t="shared" si="7"/>
        <v>3700</v>
      </c>
      <c r="Y84" s="415"/>
      <c r="Z84" s="416"/>
      <c r="AA84" s="417" t="e">
        <f t="shared" si="8"/>
        <v>#DIV/0!</v>
      </c>
      <c r="AB84" s="418"/>
      <c r="AC84" s="418"/>
      <c r="AD84" s="418"/>
      <c r="AE84" s="425"/>
      <c r="AF84" s="418"/>
    </row>
    <row r="85" spans="1:32" s="21" customFormat="1" ht="43.5" customHeight="1">
      <c r="A85" s="402">
        <f t="shared" si="9"/>
        <v>83</v>
      </c>
      <c r="B85" s="395" t="s">
        <v>387</v>
      </c>
      <c r="C85" s="402">
        <v>1325</v>
      </c>
      <c r="D85" s="402">
        <v>15</v>
      </c>
      <c r="E85" s="402" t="s">
        <v>209</v>
      </c>
      <c r="F85" s="402" t="s">
        <v>196</v>
      </c>
      <c r="G85" s="402">
        <v>381</v>
      </c>
      <c r="H85" s="402" t="s">
        <v>140</v>
      </c>
      <c r="I85" s="402" t="s">
        <v>412</v>
      </c>
      <c r="J85" s="446" t="s">
        <v>413</v>
      </c>
      <c r="K85" s="402">
        <v>5</v>
      </c>
      <c r="L85" s="412" t="s">
        <v>219</v>
      </c>
      <c r="M85" s="418"/>
      <c r="N85" s="422">
        <v>90</v>
      </c>
      <c r="O85" s="422">
        <f t="shared" si="5"/>
        <v>450</v>
      </c>
      <c r="P85" s="423"/>
      <c r="Q85" s="390" t="s">
        <v>39</v>
      </c>
      <c r="R85" s="446" t="s">
        <v>425</v>
      </c>
      <c r="S85" s="437"/>
      <c r="T85" s="402"/>
      <c r="U85" s="419"/>
      <c r="V85" s="412"/>
      <c r="W85" s="413">
        <v>124.5</v>
      </c>
      <c r="X85" s="414">
        <f t="shared" si="7"/>
        <v>622.5</v>
      </c>
      <c r="Y85" s="415"/>
      <c r="Z85" s="416"/>
      <c r="AA85" s="417" t="e">
        <f t="shared" si="8"/>
        <v>#DIV/0!</v>
      </c>
      <c r="AB85" s="418"/>
      <c r="AC85" s="418" t="s">
        <v>456</v>
      </c>
      <c r="AD85" s="418"/>
      <c r="AE85" s="425"/>
      <c r="AF85" s="418"/>
    </row>
    <row r="86" spans="1:32" s="21" customFormat="1" ht="43.5" customHeight="1">
      <c r="A86" s="402">
        <f t="shared" si="9"/>
        <v>84</v>
      </c>
      <c r="B86" s="395"/>
      <c r="C86" s="447">
        <v>1325</v>
      </c>
      <c r="D86" s="402">
        <v>15</v>
      </c>
      <c r="E86" s="402" t="s">
        <v>209</v>
      </c>
      <c r="F86" s="402" t="s">
        <v>597</v>
      </c>
      <c r="G86" s="402">
        <v>381</v>
      </c>
      <c r="H86" s="402" t="s">
        <v>140</v>
      </c>
      <c r="I86" s="402" t="s">
        <v>412</v>
      </c>
      <c r="J86" s="402" t="s">
        <v>413</v>
      </c>
      <c r="K86" s="402">
        <v>5</v>
      </c>
      <c r="L86" s="412" t="s">
        <v>219</v>
      </c>
      <c r="M86" s="418"/>
      <c r="N86" s="422">
        <v>48.56</v>
      </c>
      <c r="O86" s="422">
        <f t="shared" si="5"/>
        <v>242.8</v>
      </c>
      <c r="P86" s="423"/>
      <c r="Q86" s="390" t="s">
        <v>39</v>
      </c>
      <c r="R86" s="446" t="s">
        <v>425</v>
      </c>
      <c r="S86" s="418"/>
      <c r="T86" s="402">
        <f>N86*1.18*1.1</f>
        <v>63.03088000000001</v>
      </c>
      <c r="U86" s="419"/>
      <c r="V86" s="412"/>
      <c r="W86" s="413">
        <v>100</v>
      </c>
      <c r="X86" s="414">
        <f t="shared" si="7"/>
        <v>500</v>
      </c>
      <c r="Y86" s="415"/>
      <c r="Z86" s="416"/>
      <c r="AA86" s="417" t="e">
        <f t="shared" si="8"/>
        <v>#DIV/0!</v>
      </c>
      <c r="AB86" s="418"/>
      <c r="AC86" s="418" t="s">
        <v>456</v>
      </c>
      <c r="AD86" s="418"/>
      <c r="AE86" s="425"/>
      <c r="AF86" s="418"/>
    </row>
    <row r="87" spans="1:32" s="21" customFormat="1" ht="43.5" customHeight="1">
      <c r="A87" s="402">
        <f t="shared" si="9"/>
        <v>85</v>
      </c>
      <c r="B87" s="395" t="s">
        <v>490</v>
      </c>
      <c r="C87" s="402">
        <v>1326</v>
      </c>
      <c r="D87" s="402">
        <v>17</v>
      </c>
      <c r="E87" s="402" t="s">
        <v>209</v>
      </c>
      <c r="F87" s="402" t="s">
        <v>417</v>
      </c>
      <c r="G87" s="402">
        <v>381</v>
      </c>
      <c r="H87" s="402" t="s">
        <v>140</v>
      </c>
      <c r="I87" s="402" t="s">
        <v>414</v>
      </c>
      <c r="J87" s="402" t="s">
        <v>415</v>
      </c>
      <c r="K87" s="402">
        <v>4</v>
      </c>
      <c r="L87" s="412" t="s">
        <v>219</v>
      </c>
      <c r="M87" s="418"/>
      <c r="N87" s="422">
        <v>0</v>
      </c>
      <c r="O87" s="422">
        <f t="shared" si="5"/>
        <v>0</v>
      </c>
      <c r="P87" s="426"/>
      <c r="Q87" s="388" t="s">
        <v>20</v>
      </c>
      <c r="R87" s="446" t="s">
        <v>425</v>
      </c>
      <c r="S87" s="437"/>
      <c r="T87" s="402"/>
      <c r="U87" s="419"/>
      <c r="V87" s="412"/>
      <c r="W87" s="413">
        <v>0</v>
      </c>
      <c r="X87" s="414">
        <f t="shared" si="7"/>
        <v>0</v>
      </c>
      <c r="Y87" s="415"/>
      <c r="Z87" s="416"/>
      <c r="AA87" s="417" t="e">
        <f t="shared" si="8"/>
        <v>#DIV/0!</v>
      </c>
      <c r="AB87" s="420"/>
      <c r="AC87" s="395" t="s">
        <v>505</v>
      </c>
      <c r="AD87" s="395"/>
      <c r="AE87" s="425"/>
      <c r="AF87" s="395"/>
    </row>
    <row r="88" spans="1:32" s="21" customFormat="1" ht="43.5" customHeight="1">
      <c r="A88" s="402">
        <f t="shared" si="9"/>
        <v>86</v>
      </c>
      <c r="B88" s="395" t="s">
        <v>490</v>
      </c>
      <c r="C88" s="402">
        <v>1327</v>
      </c>
      <c r="D88" s="402">
        <v>19</v>
      </c>
      <c r="E88" s="402" t="s">
        <v>209</v>
      </c>
      <c r="F88" s="402" t="s">
        <v>458</v>
      </c>
      <c r="G88" s="402">
        <v>381</v>
      </c>
      <c r="H88" s="402" t="s">
        <v>140</v>
      </c>
      <c r="I88" s="402" t="s">
        <v>416</v>
      </c>
      <c r="J88" s="402" t="s">
        <v>415</v>
      </c>
      <c r="K88" s="402">
        <v>1</v>
      </c>
      <c r="L88" s="412" t="s">
        <v>219</v>
      </c>
      <c r="M88" s="418"/>
      <c r="N88" s="422">
        <v>5475</v>
      </c>
      <c r="O88" s="422">
        <f t="shared" si="5"/>
        <v>5475</v>
      </c>
      <c r="P88" s="423"/>
      <c r="Q88" s="390" t="s">
        <v>39</v>
      </c>
      <c r="R88" s="446" t="s">
        <v>425</v>
      </c>
      <c r="S88" s="437"/>
      <c r="T88" s="402"/>
      <c r="U88" s="419"/>
      <c r="V88" s="412"/>
      <c r="W88" s="413">
        <v>7910</v>
      </c>
      <c r="X88" s="414">
        <f t="shared" si="7"/>
        <v>7910</v>
      </c>
      <c r="Y88" s="415"/>
      <c r="Z88" s="416"/>
      <c r="AA88" s="417" t="e">
        <f t="shared" si="8"/>
        <v>#DIV/0!</v>
      </c>
      <c r="AB88" s="418"/>
      <c r="AC88" s="418"/>
      <c r="AD88" s="418"/>
      <c r="AE88" s="425"/>
      <c r="AF88" s="418"/>
    </row>
    <row r="89" spans="1:32" s="21" customFormat="1" ht="43.5" customHeight="1">
      <c r="A89" s="402">
        <f t="shared" si="9"/>
        <v>87</v>
      </c>
      <c r="B89" s="395"/>
      <c r="C89" s="402">
        <v>1460</v>
      </c>
      <c r="D89" s="402">
        <v>38</v>
      </c>
      <c r="E89" s="402" t="s">
        <v>209</v>
      </c>
      <c r="F89" s="402" t="s">
        <v>597</v>
      </c>
      <c r="G89" s="402">
        <v>381</v>
      </c>
      <c r="H89" s="402" t="s">
        <v>140</v>
      </c>
      <c r="I89" s="402" t="s">
        <v>530</v>
      </c>
      <c r="J89" s="402" t="s">
        <v>531</v>
      </c>
      <c r="K89" s="412">
        <v>5</v>
      </c>
      <c r="L89" s="422" t="s">
        <v>219</v>
      </c>
      <c r="M89" s="418"/>
      <c r="N89" s="422">
        <v>34.58</v>
      </c>
      <c r="O89" s="422">
        <f t="shared" si="5"/>
        <v>172.89999999999998</v>
      </c>
      <c r="P89" s="423"/>
      <c r="Q89" s="390" t="s">
        <v>39</v>
      </c>
      <c r="R89" s="446" t="s">
        <v>425</v>
      </c>
      <c r="S89" s="437"/>
      <c r="T89" s="402"/>
      <c r="U89" s="419"/>
      <c r="V89" s="412"/>
      <c r="W89" s="422">
        <v>90</v>
      </c>
      <c r="X89" s="414">
        <f t="shared" si="7"/>
        <v>450</v>
      </c>
      <c r="Y89" s="415"/>
      <c r="Z89" s="416"/>
      <c r="AA89" s="417" t="e">
        <f t="shared" si="8"/>
        <v>#DIV/0!</v>
      </c>
      <c r="AB89" s="418">
        <v>139</v>
      </c>
      <c r="AC89" s="418"/>
      <c r="AD89" s="418"/>
      <c r="AE89" s="425"/>
      <c r="AF89" s="418"/>
    </row>
    <row r="90" spans="1:32" s="21" customFormat="1" ht="43.5" customHeight="1">
      <c r="A90" s="402">
        <f t="shared" si="9"/>
        <v>88</v>
      </c>
      <c r="B90" s="395" t="s">
        <v>490</v>
      </c>
      <c r="C90" s="402">
        <v>1328</v>
      </c>
      <c r="D90" s="402">
        <v>15</v>
      </c>
      <c r="E90" s="402" t="s">
        <v>209</v>
      </c>
      <c r="F90" s="402" t="s">
        <v>424</v>
      </c>
      <c r="G90" s="402">
        <v>381</v>
      </c>
      <c r="H90" s="402" t="s">
        <v>140</v>
      </c>
      <c r="I90" s="402" t="s">
        <v>418</v>
      </c>
      <c r="J90" s="402" t="s">
        <v>220</v>
      </c>
      <c r="K90" s="402">
        <v>20</v>
      </c>
      <c r="L90" s="412" t="s">
        <v>219</v>
      </c>
      <c r="M90" s="418"/>
      <c r="N90" s="422">
        <v>61.75</v>
      </c>
      <c r="O90" s="422">
        <f t="shared" si="5"/>
        <v>1235</v>
      </c>
      <c r="P90" s="423"/>
      <c r="Q90" s="390" t="s">
        <v>39</v>
      </c>
      <c r="R90" s="448" t="s">
        <v>426</v>
      </c>
      <c r="S90" s="437"/>
      <c r="T90" s="402"/>
      <c r="U90" s="419"/>
      <c r="V90" s="412"/>
      <c r="W90" s="413">
        <v>84</v>
      </c>
      <c r="X90" s="414">
        <f t="shared" si="7"/>
        <v>1680</v>
      </c>
      <c r="Y90" s="415"/>
      <c r="Z90" s="416"/>
      <c r="AA90" s="417" t="e">
        <f t="shared" si="8"/>
        <v>#DIV/0!</v>
      </c>
      <c r="AB90" s="418"/>
      <c r="AC90" s="418"/>
      <c r="AD90" s="418"/>
      <c r="AE90" s="425"/>
      <c r="AF90" s="418"/>
    </row>
    <row r="91" spans="1:32" s="21" customFormat="1" ht="43.5" customHeight="1">
      <c r="A91" s="402">
        <f t="shared" si="9"/>
        <v>89</v>
      </c>
      <c r="B91" s="395" t="s">
        <v>490</v>
      </c>
      <c r="C91" s="402">
        <v>1329</v>
      </c>
      <c r="D91" s="402">
        <v>17</v>
      </c>
      <c r="E91" s="402" t="s">
        <v>209</v>
      </c>
      <c r="F91" s="402" t="s">
        <v>520</v>
      </c>
      <c r="G91" s="402">
        <v>381</v>
      </c>
      <c r="H91" s="402" t="s">
        <v>140</v>
      </c>
      <c r="I91" s="402" t="s">
        <v>419</v>
      </c>
      <c r="J91" s="402" t="s">
        <v>704</v>
      </c>
      <c r="K91" s="402">
        <v>13</v>
      </c>
      <c r="L91" s="412" t="s">
        <v>219</v>
      </c>
      <c r="M91" s="418"/>
      <c r="N91" s="422">
        <v>25</v>
      </c>
      <c r="O91" s="422">
        <f t="shared" si="5"/>
        <v>325</v>
      </c>
      <c r="P91" s="423"/>
      <c r="Q91" s="390" t="s">
        <v>39</v>
      </c>
      <c r="R91" s="448" t="s">
        <v>426</v>
      </c>
      <c r="S91" s="437"/>
      <c r="T91" s="402"/>
      <c r="U91" s="419"/>
      <c r="V91" s="412"/>
      <c r="W91" s="413">
        <v>34</v>
      </c>
      <c r="X91" s="414">
        <f t="shared" si="7"/>
        <v>442</v>
      </c>
      <c r="Y91" s="415"/>
      <c r="Z91" s="416"/>
      <c r="AA91" s="417" t="e">
        <f t="shared" si="8"/>
        <v>#DIV/0!</v>
      </c>
      <c r="AB91" s="418">
        <v>131</v>
      </c>
      <c r="AC91" s="418" t="s">
        <v>456</v>
      </c>
      <c r="AD91" s="418" t="s">
        <v>705</v>
      </c>
      <c r="AE91" s="425"/>
      <c r="AF91" s="418"/>
    </row>
    <row r="92" spans="1:32" s="21" customFormat="1" ht="43.5" customHeight="1">
      <c r="A92" s="402">
        <f t="shared" si="9"/>
        <v>90</v>
      </c>
      <c r="B92" s="396" t="s">
        <v>490</v>
      </c>
      <c r="C92" s="419">
        <v>1702</v>
      </c>
      <c r="D92" s="402">
        <v>17</v>
      </c>
      <c r="E92" s="402" t="s">
        <v>209</v>
      </c>
      <c r="F92" s="419" t="s">
        <v>781</v>
      </c>
      <c r="G92" s="402">
        <v>381</v>
      </c>
      <c r="H92" s="402" t="s">
        <v>140</v>
      </c>
      <c r="I92" s="402" t="s">
        <v>419</v>
      </c>
      <c r="J92" s="402" t="s">
        <v>220</v>
      </c>
      <c r="K92" s="402">
        <v>37</v>
      </c>
      <c r="L92" s="412" t="s">
        <v>219</v>
      </c>
      <c r="M92" s="418"/>
      <c r="N92" s="422">
        <v>81</v>
      </c>
      <c r="O92" s="422">
        <f t="shared" si="5"/>
        <v>2997</v>
      </c>
      <c r="P92" s="423"/>
      <c r="Q92" s="513" t="s">
        <v>16</v>
      </c>
      <c r="R92" s="448" t="s">
        <v>426</v>
      </c>
      <c r="S92" s="437"/>
      <c r="T92" s="402"/>
      <c r="U92" s="419"/>
      <c r="V92" s="412"/>
      <c r="W92" s="413">
        <v>34</v>
      </c>
      <c r="X92" s="414">
        <f t="shared" si="7"/>
        <v>1258</v>
      </c>
      <c r="Y92" s="415"/>
      <c r="Z92" s="416"/>
      <c r="AA92" s="417" t="e">
        <f t="shared" si="8"/>
        <v>#DIV/0!</v>
      </c>
      <c r="AB92" s="418">
        <v>155</v>
      </c>
      <c r="AC92" s="418" t="s">
        <v>456</v>
      </c>
      <c r="AD92" s="418" t="s">
        <v>705</v>
      </c>
      <c r="AE92" s="425"/>
      <c r="AF92" s="418"/>
    </row>
    <row r="93" spans="1:32" s="21" customFormat="1" ht="43.5" customHeight="1">
      <c r="A93" s="402">
        <f t="shared" si="9"/>
        <v>91</v>
      </c>
      <c r="B93" s="418"/>
      <c r="C93" s="402">
        <v>1330</v>
      </c>
      <c r="D93" s="402">
        <v>19</v>
      </c>
      <c r="E93" s="402" t="s">
        <v>209</v>
      </c>
      <c r="F93" s="402" t="s">
        <v>138</v>
      </c>
      <c r="G93" s="402">
        <v>381</v>
      </c>
      <c r="H93" s="402" t="s">
        <v>140</v>
      </c>
      <c r="I93" s="446" t="s">
        <v>519</v>
      </c>
      <c r="J93" s="402" t="s">
        <v>422</v>
      </c>
      <c r="K93" s="402">
        <v>40</v>
      </c>
      <c r="L93" s="412" t="s">
        <v>219</v>
      </c>
      <c r="M93" s="402" t="s">
        <v>420</v>
      </c>
      <c r="N93" s="422">
        <v>6.64</v>
      </c>
      <c r="O93" s="422">
        <f t="shared" si="5"/>
        <v>265.59999999999997</v>
      </c>
      <c r="P93" s="423"/>
      <c r="Q93" s="390" t="s">
        <v>39</v>
      </c>
      <c r="R93" s="448" t="s">
        <v>426</v>
      </c>
      <c r="S93" s="437"/>
      <c r="T93" s="402"/>
      <c r="U93" s="419"/>
      <c r="V93" s="412"/>
      <c r="W93" s="413">
        <v>117</v>
      </c>
      <c r="X93" s="414">
        <f t="shared" si="7"/>
        <v>4680</v>
      </c>
      <c r="Y93" s="415"/>
      <c r="Z93" s="416"/>
      <c r="AA93" s="417" t="e">
        <f t="shared" si="8"/>
        <v>#DIV/0!</v>
      </c>
      <c r="AB93" s="418">
        <v>139</v>
      </c>
      <c r="AC93" s="418" t="s">
        <v>456</v>
      </c>
      <c r="AD93" s="418"/>
      <c r="AE93" s="425"/>
      <c r="AF93" s="418"/>
    </row>
    <row r="94" spans="1:32" s="21" customFormat="1" ht="43.5" customHeight="1">
      <c r="A94" s="402">
        <f t="shared" si="9"/>
        <v>92</v>
      </c>
      <c r="B94" s="395"/>
      <c r="C94" s="402">
        <v>1331</v>
      </c>
      <c r="D94" s="402">
        <v>29</v>
      </c>
      <c r="E94" s="402" t="s">
        <v>209</v>
      </c>
      <c r="F94" s="419" t="s">
        <v>794</v>
      </c>
      <c r="G94" s="402">
        <v>381</v>
      </c>
      <c r="H94" s="402" t="s">
        <v>140</v>
      </c>
      <c r="I94" s="402" t="s">
        <v>421</v>
      </c>
      <c r="J94" s="402" t="s">
        <v>423</v>
      </c>
      <c r="K94" s="402">
        <v>10</v>
      </c>
      <c r="L94" s="412" t="s">
        <v>219</v>
      </c>
      <c r="M94" s="450">
        <v>20</v>
      </c>
      <c r="N94" s="422">
        <v>128</v>
      </c>
      <c r="O94" s="422">
        <f t="shared" si="5"/>
        <v>1280</v>
      </c>
      <c r="P94" s="423"/>
      <c r="Q94" s="449" t="s">
        <v>913</v>
      </c>
      <c r="R94" s="448" t="s">
        <v>426</v>
      </c>
      <c r="S94" s="437"/>
      <c r="T94" s="402"/>
      <c r="U94" s="419"/>
      <c r="V94" s="412"/>
      <c r="W94" s="413">
        <v>200</v>
      </c>
      <c r="X94" s="414">
        <f t="shared" si="7"/>
        <v>2000</v>
      </c>
      <c r="Y94" s="415"/>
      <c r="Z94" s="416"/>
      <c r="AA94" s="417" t="e">
        <f t="shared" si="8"/>
        <v>#DIV/0!</v>
      </c>
      <c r="AB94" s="418"/>
      <c r="AC94" s="418" t="s">
        <v>456</v>
      </c>
      <c r="AD94" s="450" t="s">
        <v>745</v>
      </c>
      <c r="AE94" s="425"/>
      <c r="AF94" s="418"/>
    </row>
    <row r="95" spans="1:32" s="21" customFormat="1" ht="43.5" customHeight="1">
      <c r="A95" s="402">
        <f t="shared" si="9"/>
        <v>93</v>
      </c>
      <c r="B95" s="395" t="s">
        <v>922</v>
      </c>
      <c r="C95" s="402">
        <v>1331</v>
      </c>
      <c r="D95" s="402">
        <v>29</v>
      </c>
      <c r="E95" s="402" t="s">
        <v>209</v>
      </c>
      <c r="F95" s="509" t="s">
        <v>909</v>
      </c>
      <c r="G95" s="402">
        <v>381</v>
      </c>
      <c r="H95" s="402" t="s">
        <v>140</v>
      </c>
      <c r="I95" s="402" t="s">
        <v>421</v>
      </c>
      <c r="J95" s="402" t="s">
        <v>423</v>
      </c>
      <c r="K95" s="402">
        <v>20</v>
      </c>
      <c r="L95" s="412" t="s">
        <v>219</v>
      </c>
      <c r="M95" s="450">
        <v>20</v>
      </c>
      <c r="N95" s="422">
        <v>128</v>
      </c>
      <c r="O95" s="422">
        <f t="shared" si="5"/>
        <v>2560</v>
      </c>
      <c r="P95" s="423"/>
      <c r="Q95" s="387" t="s">
        <v>11</v>
      </c>
      <c r="R95" s="448" t="s">
        <v>426</v>
      </c>
      <c r="S95" s="437"/>
      <c r="T95" s="402"/>
      <c r="U95" s="419"/>
      <c r="V95" s="412"/>
      <c r="W95" s="413">
        <v>200</v>
      </c>
      <c r="X95" s="414">
        <f t="shared" si="7"/>
        <v>4000</v>
      </c>
      <c r="Y95" s="415"/>
      <c r="Z95" s="416"/>
      <c r="AA95" s="417" t="e">
        <f t="shared" si="8"/>
        <v>#DIV/0!</v>
      </c>
      <c r="AB95" s="418"/>
      <c r="AC95" s="418" t="s">
        <v>456</v>
      </c>
      <c r="AD95" s="508" t="s">
        <v>1026</v>
      </c>
      <c r="AE95" s="425"/>
      <c r="AF95" s="418"/>
    </row>
    <row r="96" spans="1:32" s="21" customFormat="1" ht="43.5" customHeight="1">
      <c r="A96" s="402">
        <f t="shared" si="9"/>
        <v>94</v>
      </c>
      <c r="B96" s="395" t="s">
        <v>490</v>
      </c>
      <c r="C96" s="402">
        <v>1332</v>
      </c>
      <c r="D96" s="402">
        <v>1</v>
      </c>
      <c r="E96" s="402" t="s">
        <v>209</v>
      </c>
      <c r="F96" s="402" t="s">
        <v>455</v>
      </c>
      <c r="G96" s="402">
        <v>381</v>
      </c>
      <c r="H96" s="402" t="s">
        <v>140</v>
      </c>
      <c r="I96" s="402" t="s">
        <v>427</v>
      </c>
      <c r="J96" s="402" t="s">
        <v>442</v>
      </c>
      <c r="K96" s="402">
        <v>1</v>
      </c>
      <c r="L96" s="412" t="s">
        <v>76</v>
      </c>
      <c r="M96" s="418"/>
      <c r="N96" s="422">
        <v>418</v>
      </c>
      <c r="O96" s="422">
        <f t="shared" si="5"/>
        <v>418</v>
      </c>
      <c r="P96" s="423"/>
      <c r="Q96" s="391" t="s">
        <v>15</v>
      </c>
      <c r="R96" s="451" t="s">
        <v>457</v>
      </c>
      <c r="S96" s="437"/>
      <c r="T96" s="402"/>
      <c r="U96" s="419"/>
      <c r="V96" s="412"/>
      <c r="W96" s="413">
        <v>570</v>
      </c>
      <c r="X96" s="414">
        <f t="shared" si="7"/>
        <v>570</v>
      </c>
      <c r="Y96" s="415"/>
      <c r="Z96" s="416"/>
      <c r="AA96" s="417" t="e">
        <f t="shared" si="8"/>
        <v>#DIV/0!</v>
      </c>
      <c r="AB96" s="418"/>
      <c r="AC96" s="418" t="s">
        <v>456</v>
      </c>
      <c r="AD96" s="418"/>
      <c r="AE96" s="425"/>
      <c r="AF96" s="418"/>
    </row>
    <row r="97" spans="1:32" s="21" customFormat="1" ht="43.5" customHeight="1">
      <c r="A97" s="402">
        <f t="shared" si="9"/>
        <v>95</v>
      </c>
      <c r="B97" s="395" t="s">
        <v>490</v>
      </c>
      <c r="C97" s="402">
        <v>1333</v>
      </c>
      <c r="D97" s="402">
        <v>2</v>
      </c>
      <c r="E97" s="402" t="s">
        <v>209</v>
      </c>
      <c r="F97" s="402" t="s">
        <v>503</v>
      </c>
      <c r="G97" s="402">
        <v>381</v>
      </c>
      <c r="H97" s="402" t="s">
        <v>140</v>
      </c>
      <c r="I97" s="402" t="s">
        <v>428</v>
      </c>
      <c r="J97" s="402" t="s">
        <v>443</v>
      </c>
      <c r="K97" s="402">
        <v>4</v>
      </c>
      <c r="L97" s="412" t="s">
        <v>76</v>
      </c>
      <c r="M97" s="418"/>
      <c r="N97" s="422">
        <v>94.85</v>
      </c>
      <c r="O97" s="422">
        <f t="shared" si="5"/>
        <v>379.4</v>
      </c>
      <c r="P97" s="423">
        <v>95.22</v>
      </c>
      <c r="Q97" s="390" t="s">
        <v>39</v>
      </c>
      <c r="R97" s="451" t="s">
        <v>457</v>
      </c>
      <c r="S97" s="437"/>
      <c r="T97" s="402"/>
      <c r="U97" s="419"/>
      <c r="V97" s="412"/>
      <c r="W97" s="413">
        <v>130</v>
      </c>
      <c r="X97" s="414">
        <f t="shared" si="7"/>
        <v>520</v>
      </c>
      <c r="Y97" s="415"/>
      <c r="Z97" s="416"/>
      <c r="AA97" s="417" t="e">
        <f t="shared" si="8"/>
        <v>#DIV/0!</v>
      </c>
      <c r="AB97" s="418"/>
      <c r="AC97" s="418" t="s">
        <v>456</v>
      </c>
      <c r="AD97" s="418"/>
      <c r="AE97" s="425"/>
      <c r="AF97" s="418"/>
    </row>
    <row r="98" spans="1:32" s="21" customFormat="1" ht="43.5" customHeight="1">
      <c r="A98" s="402">
        <f t="shared" si="9"/>
        <v>96</v>
      </c>
      <c r="B98" s="395" t="s">
        <v>490</v>
      </c>
      <c r="C98" s="402">
        <v>1334</v>
      </c>
      <c r="D98" s="402">
        <v>4</v>
      </c>
      <c r="E98" s="402" t="s">
        <v>209</v>
      </c>
      <c r="F98" s="402" t="s">
        <v>206</v>
      </c>
      <c r="G98" s="402">
        <v>381</v>
      </c>
      <c r="H98" s="402" t="s">
        <v>140</v>
      </c>
      <c r="I98" s="402" t="s">
        <v>429</v>
      </c>
      <c r="J98" s="402" t="s">
        <v>444</v>
      </c>
      <c r="K98" s="402">
        <v>2</v>
      </c>
      <c r="L98" s="412" t="s">
        <v>76</v>
      </c>
      <c r="M98" s="418"/>
      <c r="N98" s="422">
        <v>60</v>
      </c>
      <c r="O98" s="422">
        <f t="shared" ref="O98:O161" si="10">N98*K98</f>
        <v>120</v>
      </c>
      <c r="P98" s="423"/>
      <c r="Q98" s="390" t="s">
        <v>39</v>
      </c>
      <c r="R98" s="451" t="s">
        <v>457</v>
      </c>
      <c r="S98" s="437"/>
      <c r="T98" s="402"/>
      <c r="U98" s="419"/>
      <c r="V98" s="412"/>
      <c r="W98" s="413">
        <v>100</v>
      </c>
      <c r="X98" s="414">
        <f t="shared" ref="X98:X129" si="11">W98*K98</f>
        <v>200</v>
      </c>
      <c r="Y98" s="415"/>
      <c r="Z98" s="416"/>
      <c r="AA98" s="417" t="e">
        <f t="shared" si="8"/>
        <v>#DIV/0!</v>
      </c>
      <c r="AB98" s="418"/>
      <c r="AC98" s="418" t="s">
        <v>456</v>
      </c>
      <c r="AD98" s="418"/>
      <c r="AE98" s="425"/>
      <c r="AF98" s="418"/>
    </row>
    <row r="99" spans="1:32" s="21" customFormat="1" ht="43.5" customHeight="1">
      <c r="A99" s="402">
        <f t="shared" si="9"/>
        <v>97</v>
      </c>
      <c r="B99" s="395" t="s">
        <v>490</v>
      </c>
      <c r="C99" s="402">
        <v>1335</v>
      </c>
      <c r="D99" s="402">
        <v>5</v>
      </c>
      <c r="E99" s="402" t="s">
        <v>209</v>
      </c>
      <c r="F99" s="402" t="s">
        <v>504</v>
      </c>
      <c r="G99" s="402">
        <v>381</v>
      </c>
      <c r="H99" s="402" t="s">
        <v>140</v>
      </c>
      <c r="I99" s="402" t="s">
        <v>430</v>
      </c>
      <c r="J99" s="402" t="s">
        <v>445</v>
      </c>
      <c r="K99" s="402">
        <v>1</v>
      </c>
      <c r="L99" s="412" t="s">
        <v>76</v>
      </c>
      <c r="M99" s="418"/>
      <c r="N99" s="422">
        <v>276</v>
      </c>
      <c r="O99" s="422">
        <f t="shared" si="10"/>
        <v>276</v>
      </c>
      <c r="P99" s="423">
        <v>332.97</v>
      </c>
      <c r="Q99" s="390" t="s">
        <v>39</v>
      </c>
      <c r="R99" s="451" t="s">
        <v>457</v>
      </c>
      <c r="S99" s="437"/>
      <c r="T99" s="402"/>
      <c r="U99" s="419"/>
      <c r="V99" s="412"/>
      <c r="W99" s="413">
        <v>377</v>
      </c>
      <c r="X99" s="414">
        <f t="shared" si="11"/>
        <v>377</v>
      </c>
      <c r="Y99" s="415"/>
      <c r="Z99" s="416"/>
      <c r="AA99" s="417" t="e">
        <f t="shared" si="8"/>
        <v>#DIV/0!</v>
      </c>
      <c r="AB99" s="418"/>
      <c r="AC99" s="418" t="s">
        <v>456</v>
      </c>
      <c r="AD99" s="418"/>
      <c r="AE99" s="425"/>
      <c r="AF99" s="418"/>
    </row>
    <row r="100" spans="1:32" s="21" customFormat="1" ht="43.5" customHeight="1">
      <c r="A100" s="402">
        <f t="shared" si="9"/>
        <v>98</v>
      </c>
      <c r="B100" s="395" t="s">
        <v>490</v>
      </c>
      <c r="C100" s="402">
        <v>1336</v>
      </c>
      <c r="D100" s="402">
        <v>6</v>
      </c>
      <c r="E100" s="402" t="s">
        <v>209</v>
      </c>
      <c r="F100" s="402" t="s">
        <v>504</v>
      </c>
      <c r="G100" s="402">
        <v>381</v>
      </c>
      <c r="H100" s="402" t="s">
        <v>140</v>
      </c>
      <c r="I100" s="402" t="s">
        <v>431</v>
      </c>
      <c r="J100" s="402" t="s">
        <v>446</v>
      </c>
      <c r="K100" s="402">
        <v>1</v>
      </c>
      <c r="L100" s="412" t="s">
        <v>76</v>
      </c>
      <c r="M100" s="418"/>
      <c r="N100" s="422">
        <v>331.5</v>
      </c>
      <c r="O100" s="422">
        <f t="shared" si="10"/>
        <v>331.5</v>
      </c>
      <c r="P100" s="423">
        <v>369.16</v>
      </c>
      <c r="Q100" s="390" t="s">
        <v>39</v>
      </c>
      <c r="R100" s="451" t="s">
        <v>457</v>
      </c>
      <c r="S100" s="437"/>
      <c r="T100" s="402"/>
      <c r="U100" s="419"/>
      <c r="V100" s="412"/>
      <c r="W100" s="413">
        <v>452</v>
      </c>
      <c r="X100" s="414">
        <f t="shared" si="11"/>
        <v>452</v>
      </c>
      <c r="Y100" s="415"/>
      <c r="Z100" s="416"/>
      <c r="AA100" s="417" t="e">
        <f t="shared" si="8"/>
        <v>#DIV/0!</v>
      </c>
      <c r="AB100" s="418"/>
      <c r="AC100" s="418" t="s">
        <v>456</v>
      </c>
      <c r="AD100" s="418"/>
      <c r="AE100" s="425"/>
      <c r="AF100" s="418"/>
    </row>
    <row r="101" spans="1:32" s="21" customFormat="1" ht="43.5" customHeight="1">
      <c r="A101" s="402">
        <f t="shared" si="9"/>
        <v>99</v>
      </c>
      <c r="B101" s="395" t="s">
        <v>490</v>
      </c>
      <c r="C101" s="402">
        <v>1337</v>
      </c>
      <c r="D101" s="402">
        <v>7</v>
      </c>
      <c r="E101" s="402" t="s">
        <v>209</v>
      </c>
      <c r="F101" s="402" t="s">
        <v>504</v>
      </c>
      <c r="G101" s="402">
        <v>381</v>
      </c>
      <c r="H101" s="402" t="s">
        <v>140</v>
      </c>
      <c r="I101" s="402" t="s">
        <v>432</v>
      </c>
      <c r="J101" s="402" t="s">
        <v>447</v>
      </c>
      <c r="K101" s="402">
        <v>1</v>
      </c>
      <c r="L101" s="412" t="s">
        <v>76</v>
      </c>
      <c r="M101" s="418"/>
      <c r="N101" s="422">
        <v>331.5</v>
      </c>
      <c r="O101" s="422">
        <f t="shared" si="10"/>
        <v>331.5</v>
      </c>
      <c r="P101" s="423">
        <v>369.16</v>
      </c>
      <c r="Q101" s="390" t="s">
        <v>39</v>
      </c>
      <c r="R101" s="451" t="s">
        <v>457</v>
      </c>
      <c r="S101" s="437"/>
      <c r="T101" s="402"/>
      <c r="U101" s="419"/>
      <c r="V101" s="412"/>
      <c r="W101" s="413">
        <v>452</v>
      </c>
      <c r="X101" s="414">
        <f t="shared" si="11"/>
        <v>452</v>
      </c>
      <c r="Y101" s="415"/>
      <c r="Z101" s="416"/>
      <c r="AA101" s="417" t="e">
        <f t="shared" si="8"/>
        <v>#DIV/0!</v>
      </c>
      <c r="AB101" s="418"/>
      <c r="AC101" s="418" t="s">
        <v>456</v>
      </c>
      <c r="AD101" s="418"/>
      <c r="AE101" s="425"/>
      <c r="AF101" s="418"/>
    </row>
    <row r="102" spans="1:32" s="21" customFormat="1" ht="43.5" customHeight="1">
      <c r="A102" s="402">
        <f t="shared" si="9"/>
        <v>100</v>
      </c>
      <c r="B102" s="395" t="s">
        <v>490</v>
      </c>
      <c r="C102" s="402">
        <v>1338</v>
      </c>
      <c r="D102" s="411">
        <v>11</v>
      </c>
      <c r="E102" s="402" t="s">
        <v>209</v>
      </c>
      <c r="F102" s="402" t="s">
        <v>455</v>
      </c>
      <c r="G102" s="402">
        <v>381</v>
      </c>
      <c r="H102" s="402" t="s">
        <v>140</v>
      </c>
      <c r="I102" s="446" t="s">
        <v>433</v>
      </c>
      <c r="J102" s="402" t="s">
        <v>448</v>
      </c>
      <c r="K102" s="402">
        <v>1</v>
      </c>
      <c r="L102" s="412" t="s">
        <v>76</v>
      </c>
      <c r="M102" s="418"/>
      <c r="N102" s="422">
        <v>315</v>
      </c>
      <c r="O102" s="422">
        <f t="shared" si="10"/>
        <v>315</v>
      </c>
      <c r="P102" s="423"/>
      <c r="Q102" s="390" t="s">
        <v>39</v>
      </c>
      <c r="R102" s="451" t="s">
        <v>457</v>
      </c>
      <c r="S102" s="437"/>
      <c r="T102" s="402"/>
      <c r="U102" s="419"/>
      <c r="V102" s="412"/>
      <c r="W102" s="413">
        <v>430</v>
      </c>
      <c r="X102" s="414">
        <f t="shared" si="11"/>
        <v>430</v>
      </c>
      <c r="Y102" s="415"/>
      <c r="Z102" s="416"/>
      <c r="AA102" s="417" t="e">
        <f t="shared" si="8"/>
        <v>#DIV/0!</v>
      </c>
      <c r="AB102" s="418">
        <v>121</v>
      </c>
      <c r="AC102" s="418" t="s">
        <v>456</v>
      </c>
      <c r="AD102" s="418"/>
      <c r="AE102" s="425"/>
      <c r="AF102" s="418"/>
    </row>
    <row r="103" spans="1:32" s="21" customFormat="1" ht="43.5" customHeight="1">
      <c r="A103" s="402">
        <f t="shared" si="9"/>
        <v>101</v>
      </c>
      <c r="B103" s="395" t="s">
        <v>490</v>
      </c>
      <c r="C103" s="402">
        <v>1339</v>
      </c>
      <c r="D103" s="402">
        <v>12</v>
      </c>
      <c r="E103" s="402" t="s">
        <v>209</v>
      </c>
      <c r="F103" s="402" t="s">
        <v>503</v>
      </c>
      <c r="G103" s="402">
        <v>381</v>
      </c>
      <c r="H103" s="402" t="s">
        <v>140</v>
      </c>
      <c r="I103" s="402" t="s">
        <v>434</v>
      </c>
      <c r="J103" s="402" t="s">
        <v>443</v>
      </c>
      <c r="K103" s="402">
        <v>2</v>
      </c>
      <c r="L103" s="412" t="s">
        <v>76</v>
      </c>
      <c r="M103" s="418"/>
      <c r="N103" s="422">
        <v>94.65</v>
      </c>
      <c r="O103" s="422">
        <f t="shared" si="10"/>
        <v>189.3</v>
      </c>
      <c r="P103" s="423">
        <v>95.22</v>
      </c>
      <c r="Q103" s="390" t="s">
        <v>39</v>
      </c>
      <c r="R103" s="451" t="s">
        <v>457</v>
      </c>
      <c r="S103" s="437"/>
      <c r="T103" s="402"/>
      <c r="U103" s="419"/>
      <c r="V103" s="412"/>
      <c r="W103" s="413">
        <v>130</v>
      </c>
      <c r="X103" s="414">
        <f t="shared" si="11"/>
        <v>260</v>
      </c>
      <c r="Y103" s="415"/>
      <c r="Z103" s="416"/>
      <c r="AA103" s="417" t="e">
        <f t="shared" si="8"/>
        <v>#DIV/0!</v>
      </c>
      <c r="AB103" s="418"/>
      <c r="AC103" s="418" t="s">
        <v>456</v>
      </c>
      <c r="AD103" s="418"/>
      <c r="AE103" s="425"/>
      <c r="AF103" s="418"/>
    </row>
    <row r="104" spans="1:32" s="21" customFormat="1" ht="43.5" customHeight="1">
      <c r="A104" s="402">
        <f t="shared" si="9"/>
        <v>102</v>
      </c>
      <c r="B104" s="395" t="s">
        <v>490</v>
      </c>
      <c r="C104" s="402">
        <v>1340</v>
      </c>
      <c r="D104" s="411">
        <v>13</v>
      </c>
      <c r="E104" s="402" t="s">
        <v>209</v>
      </c>
      <c r="F104" s="402" t="s">
        <v>503</v>
      </c>
      <c r="G104" s="402">
        <v>381</v>
      </c>
      <c r="H104" s="402" t="s">
        <v>140</v>
      </c>
      <c r="I104" s="446" t="s">
        <v>435</v>
      </c>
      <c r="J104" s="402" t="s">
        <v>443</v>
      </c>
      <c r="K104" s="402">
        <v>2</v>
      </c>
      <c r="L104" s="412" t="s">
        <v>76</v>
      </c>
      <c r="M104" s="418"/>
      <c r="N104" s="422">
        <v>119.75</v>
      </c>
      <c r="O104" s="422">
        <f t="shared" si="10"/>
        <v>239.5</v>
      </c>
      <c r="P104" s="423">
        <v>119.31</v>
      </c>
      <c r="Q104" s="390" t="s">
        <v>39</v>
      </c>
      <c r="R104" s="451" t="s">
        <v>457</v>
      </c>
      <c r="S104" s="437"/>
      <c r="T104" s="402"/>
      <c r="U104" s="419"/>
      <c r="V104" s="412"/>
      <c r="W104" s="413">
        <v>165</v>
      </c>
      <c r="X104" s="414">
        <f t="shared" si="11"/>
        <v>330</v>
      </c>
      <c r="Y104" s="415"/>
      <c r="Z104" s="416"/>
      <c r="AA104" s="417" t="e">
        <f t="shared" si="8"/>
        <v>#DIV/0!</v>
      </c>
      <c r="AB104" s="418"/>
      <c r="AC104" s="418" t="s">
        <v>456</v>
      </c>
      <c r="AD104" s="418"/>
      <c r="AE104" s="425"/>
      <c r="AF104" s="418"/>
    </row>
    <row r="105" spans="1:32" s="21" customFormat="1" ht="43.5" customHeight="1">
      <c r="A105" s="402">
        <f t="shared" si="9"/>
        <v>103</v>
      </c>
      <c r="B105" s="395" t="s">
        <v>490</v>
      </c>
      <c r="C105" s="402">
        <v>1341</v>
      </c>
      <c r="D105" s="411">
        <v>14</v>
      </c>
      <c r="E105" s="402" t="s">
        <v>209</v>
      </c>
      <c r="F105" s="402" t="s">
        <v>455</v>
      </c>
      <c r="G105" s="402">
        <v>381</v>
      </c>
      <c r="H105" s="402" t="s">
        <v>140</v>
      </c>
      <c r="I105" s="446" t="s">
        <v>436</v>
      </c>
      <c r="J105" s="402" t="s">
        <v>449</v>
      </c>
      <c r="K105" s="402">
        <v>2</v>
      </c>
      <c r="L105" s="412" t="s">
        <v>76</v>
      </c>
      <c r="M105" s="418"/>
      <c r="N105" s="423">
        <v>119</v>
      </c>
      <c r="O105" s="422">
        <f t="shared" si="10"/>
        <v>238</v>
      </c>
      <c r="P105" s="423"/>
      <c r="Q105" s="390" t="s">
        <v>39</v>
      </c>
      <c r="R105" s="451" t="s">
        <v>457</v>
      </c>
      <c r="S105" s="437"/>
      <c r="T105" s="402"/>
      <c r="U105" s="419"/>
      <c r="V105" s="412"/>
      <c r="W105" s="413">
        <v>165</v>
      </c>
      <c r="X105" s="414">
        <f t="shared" si="11"/>
        <v>330</v>
      </c>
      <c r="Y105" s="415"/>
      <c r="Z105" s="416"/>
      <c r="AA105" s="417" t="e">
        <f t="shared" si="8"/>
        <v>#DIV/0!</v>
      </c>
      <c r="AB105" s="418">
        <v>121</v>
      </c>
      <c r="AC105" s="418" t="s">
        <v>456</v>
      </c>
      <c r="AD105" s="418"/>
      <c r="AE105" s="425"/>
      <c r="AF105" s="418"/>
    </row>
    <row r="106" spans="1:32" s="21" customFormat="1" ht="43.5" customHeight="1">
      <c r="A106" s="402">
        <f t="shared" si="9"/>
        <v>104</v>
      </c>
      <c r="B106" s="395" t="s">
        <v>490</v>
      </c>
      <c r="C106" s="402">
        <v>1342</v>
      </c>
      <c r="D106" s="411">
        <v>15</v>
      </c>
      <c r="E106" s="402" t="s">
        <v>209</v>
      </c>
      <c r="F106" s="402" t="s">
        <v>503</v>
      </c>
      <c r="G106" s="402">
        <v>381</v>
      </c>
      <c r="H106" s="402" t="s">
        <v>140</v>
      </c>
      <c r="I106" s="452" t="s">
        <v>437</v>
      </c>
      <c r="J106" s="402" t="s">
        <v>450</v>
      </c>
      <c r="K106" s="402">
        <v>2</v>
      </c>
      <c r="L106" s="412" t="s">
        <v>76</v>
      </c>
      <c r="M106" s="418"/>
      <c r="N106" s="422">
        <v>137.75</v>
      </c>
      <c r="O106" s="422">
        <f t="shared" si="10"/>
        <v>275.5</v>
      </c>
      <c r="P106" s="423">
        <v>146.62</v>
      </c>
      <c r="Q106" s="390" t="s">
        <v>39</v>
      </c>
      <c r="R106" s="451" t="s">
        <v>457</v>
      </c>
      <c r="S106" s="437"/>
      <c r="T106" s="402"/>
      <c r="U106" s="419"/>
      <c r="V106" s="412"/>
      <c r="W106" s="413">
        <v>190</v>
      </c>
      <c r="X106" s="414">
        <f t="shared" si="11"/>
        <v>380</v>
      </c>
      <c r="Y106" s="415"/>
      <c r="Z106" s="416"/>
      <c r="AA106" s="417" t="e">
        <f t="shared" si="8"/>
        <v>#DIV/0!</v>
      </c>
      <c r="AB106" s="418"/>
      <c r="AC106" s="418" t="s">
        <v>456</v>
      </c>
      <c r="AD106" s="418"/>
      <c r="AE106" s="425"/>
      <c r="AF106" s="418"/>
    </row>
    <row r="107" spans="1:32" s="21" customFormat="1" ht="43.5" customHeight="1">
      <c r="A107" s="402">
        <f t="shared" si="9"/>
        <v>105</v>
      </c>
      <c r="B107" s="395" t="s">
        <v>490</v>
      </c>
      <c r="C107" s="402">
        <v>1343</v>
      </c>
      <c r="D107" s="411">
        <v>16</v>
      </c>
      <c r="E107" s="402" t="s">
        <v>209</v>
      </c>
      <c r="F107" s="402" t="s">
        <v>455</v>
      </c>
      <c r="G107" s="402">
        <v>381</v>
      </c>
      <c r="H107" s="402" t="s">
        <v>140</v>
      </c>
      <c r="I107" s="446" t="s">
        <v>438</v>
      </c>
      <c r="J107" s="402" t="s">
        <v>451</v>
      </c>
      <c r="K107" s="402">
        <v>3</v>
      </c>
      <c r="L107" s="412" t="s">
        <v>76</v>
      </c>
      <c r="M107" s="418"/>
      <c r="N107" s="422">
        <v>119</v>
      </c>
      <c r="O107" s="422">
        <f t="shared" si="10"/>
        <v>357</v>
      </c>
      <c r="P107" s="423"/>
      <c r="Q107" s="390" t="s">
        <v>39</v>
      </c>
      <c r="R107" s="451" t="s">
        <v>457</v>
      </c>
      <c r="S107" s="437"/>
      <c r="T107" s="402"/>
      <c r="U107" s="419"/>
      <c r="V107" s="412"/>
      <c r="W107" s="413">
        <v>165</v>
      </c>
      <c r="X107" s="414">
        <f t="shared" si="11"/>
        <v>495</v>
      </c>
      <c r="Y107" s="415"/>
      <c r="Z107" s="416"/>
      <c r="AA107" s="417" t="e">
        <f t="shared" si="8"/>
        <v>#DIV/0!</v>
      </c>
      <c r="AB107" s="418">
        <v>121</v>
      </c>
      <c r="AC107" s="418" t="s">
        <v>456</v>
      </c>
      <c r="AD107" s="418"/>
      <c r="AE107" s="425"/>
      <c r="AF107" s="418"/>
    </row>
    <row r="108" spans="1:32" s="21" customFormat="1" ht="43.5" customHeight="1">
      <c r="A108" s="402">
        <f t="shared" si="9"/>
        <v>106</v>
      </c>
      <c r="B108" s="395" t="s">
        <v>490</v>
      </c>
      <c r="C108" s="402">
        <v>1344</v>
      </c>
      <c r="D108" s="411">
        <v>17</v>
      </c>
      <c r="E108" s="402" t="s">
        <v>209</v>
      </c>
      <c r="F108" s="402" t="s">
        <v>455</v>
      </c>
      <c r="G108" s="402">
        <v>381</v>
      </c>
      <c r="H108" s="402" t="s">
        <v>140</v>
      </c>
      <c r="I108" s="446" t="s">
        <v>439</v>
      </c>
      <c r="J108" s="402" t="s">
        <v>452</v>
      </c>
      <c r="K108" s="402">
        <v>5</v>
      </c>
      <c r="L108" s="412" t="s">
        <v>76</v>
      </c>
      <c r="M108" s="418"/>
      <c r="N108" s="422">
        <v>120</v>
      </c>
      <c r="O108" s="422">
        <f t="shared" si="10"/>
        <v>600</v>
      </c>
      <c r="P108" s="423"/>
      <c r="Q108" s="390" t="s">
        <v>39</v>
      </c>
      <c r="R108" s="451" t="s">
        <v>457</v>
      </c>
      <c r="S108" s="437"/>
      <c r="T108" s="402"/>
      <c r="U108" s="419"/>
      <c r="V108" s="412"/>
      <c r="W108" s="413">
        <v>165</v>
      </c>
      <c r="X108" s="414">
        <f t="shared" si="11"/>
        <v>825</v>
      </c>
      <c r="Y108" s="415"/>
      <c r="Z108" s="416"/>
      <c r="AA108" s="417" t="e">
        <f t="shared" si="8"/>
        <v>#DIV/0!</v>
      </c>
      <c r="AB108" s="418">
        <v>121</v>
      </c>
      <c r="AC108" s="418" t="s">
        <v>456</v>
      </c>
      <c r="AD108" s="418"/>
      <c r="AE108" s="425"/>
      <c r="AF108" s="418"/>
    </row>
    <row r="109" spans="1:32" s="21" customFormat="1" ht="43.5" customHeight="1">
      <c r="A109" s="402">
        <f t="shared" si="9"/>
        <v>107</v>
      </c>
      <c r="B109" s="395" t="s">
        <v>490</v>
      </c>
      <c r="C109" s="402">
        <v>1345</v>
      </c>
      <c r="D109" s="402">
        <v>18</v>
      </c>
      <c r="E109" s="402" t="s">
        <v>209</v>
      </c>
      <c r="F109" s="402" t="s">
        <v>503</v>
      </c>
      <c r="G109" s="402">
        <v>381</v>
      </c>
      <c r="H109" s="402" t="s">
        <v>140</v>
      </c>
      <c r="I109" s="402" t="s">
        <v>440</v>
      </c>
      <c r="J109" s="402" t="s">
        <v>453</v>
      </c>
      <c r="K109" s="402">
        <v>3</v>
      </c>
      <c r="L109" s="412" t="s">
        <v>76</v>
      </c>
      <c r="M109" s="418"/>
      <c r="N109" s="422">
        <v>228</v>
      </c>
      <c r="O109" s="422">
        <f t="shared" si="10"/>
        <v>684</v>
      </c>
      <c r="P109" s="423">
        <v>291.11</v>
      </c>
      <c r="Q109" s="390" t="s">
        <v>39</v>
      </c>
      <c r="R109" s="451" t="s">
        <v>457</v>
      </c>
      <c r="S109" s="437"/>
      <c r="T109" s="402"/>
      <c r="U109" s="419"/>
      <c r="V109" s="412"/>
      <c r="W109" s="413">
        <v>311</v>
      </c>
      <c r="X109" s="414">
        <f t="shared" si="11"/>
        <v>933</v>
      </c>
      <c r="Y109" s="415"/>
      <c r="Z109" s="416"/>
      <c r="AA109" s="417" t="e">
        <f t="shared" si="8"/>
        <v>#DIV/0!</v>
      </c>
      <c r="AB109" s="418"/>
      <c r="AC109" s="418" t="s">
        <v>456</v>
      </c>
      <c r="AD109" s="418"/>
      <c r="AE109" s="425"/>
      <c r="AF109" s="418"/>
    </row>
    <row r="110" spans="1:32" s="21" customFormat="1" ht="43.5" customHeight="1">
      <c r="A110" s="402">
        <f t="shared" si="9"/>
        <v>108</v>
      </c>
      <c r="B110" s="395" t="s">
        <v>490</v>
      </c>
      <c r="C110" s="402">
        <v>1346</v>
      </c>
      <c r="D110" s="411">
        <v>19</v>
      </c>
      <c r="E110" s="402" t="s">
        <v>209</v>
      </c>
      <c r="F110" s="402" t="s">
        <v>455</v>
      </c>
      <c r="G110" s="402">
        <v>381</v>
      </c>
      <c r="H110" s="402" t="s">
        <v>140</v>
      </c>
      <c r="I110" s="446" t="s">
        <v>441</v>
      </c>
      <c r="J110" s="402" t="s">
        <v>454</v>
      </c>
      <c r="K110" s="402">
        <v>5</v>
      </c>
      <c r="L110" s="412" t="s">
        <v>76</v>
      </c>
      <c r="M110" s="418"/>
      <c r="N110" s="422">
        <v>120</v>
      </c>
      <c r="O110" s="422">
        <f t="shared" si="10"/>
        <v>600</v>
      </c>
      <c r="P110" s="423"/>
      <c r="Q110" s="390" t="s">
        <v>39</v>
      </c>
      <c r="R110" s="451" t="s">
        <v>457</v>
      </c>
      <c r="S110" s="437"/>
      <c r="T110" s="402"/>
      <c r="U110" s="419"/>
      <c r="V110" s="412"/>
      <c r="W110" s="413">
        <v>165</v>
      </c>
      <c r="X110" s="414">
        <f t="shared" si="11"/>
        <v>825</v>
      </c>
      <c r="Y110" s="415"/>
      <c r="Z110" s="416"/>
      <c r="AA110" s="417" t="e">
        <f t="shared" si="8"/>
        <v>#DIV/0!</v>
      </c>
      <c r="AB110" s="418">
        <v>121</v>
      </c>
      <c r="AC110" s="418" t="s">
        <v>456</v>
      </c>
      <c r="AD110" s="418"/>
      <c r="AE110" s="425"/>
      <c r="AF110" s="418"/>
    </row>
    <row r="111" spans="1:32" s="21" customFormat="1" ht="43.5" customHeight="1">
      <c r="A111" s="402">
        <f t="shared" si="9"/>
        <v>109</v>
      </c>
      <c r="B111" s="395"/>
      <c r="C111" s="402">
        <v>1520</v>
      </c>
      <c r="D111" s="402">
        <v>20</v>
      </c>
      <c r="E111" s="402" t="s">
        <v>209</v>
      </c>
      <c r="F111" s="402" t="s">
        <v>747</v>
      </c>
      <c r="G111" s="402">
        <v>381</v>
      </c>
      <c r="H111" s="402" t="s">
        <v>140</v>
      </c>
      <c r="I111" s="402" t="s">
        <v>573</v>
      </c>
      <c r="J111" s="402" t="s">
        <v>574</v>
      </c>
      <c r="K111" s="402">
        <v>1</v>
      </c>
      <c r="L111" s="412" t="s">
        <v>76</v>
      </c>
      <c r="M111" s="418"/>
      <c r="N111" s="422">
        <v>508.01</v>
      </c>
      <c r="O111" s="422">
        <f t="shared" si="10"/>
        <v>508.01</v>
      </c>
      <c r="P111" s="423"/>
      <c r="Q111" s="392" t="s">
        <v>22</v>
      </c>
      <c r="R111" s="451" t="s">
        <v>457</v>
      </c>
      <c r="S111" s="437"/>
      <c r="T111" s="402"/>
      <c r="U111" s="419"/>
      <c r="V111" s="412"/>
      <c r="W111" s="413">
        <v>730</v>
      </c>
      <c r="X111" s="414">
        <f t="shared" si="11"/>
        <v>730</v>
      </c>
      <c r="Y111" s="415"/>
      <c r="Z111" s="416"/>
      <c r="AA111" s="417" t="e">
        <f t="shared" si="8"/>
        <v>#DIV/0!</v>
      </c>
      <c r="AB111" s="418"/>
      <c r="AC111" s="418"/>
      <c r="AD111" s="418"/>
      <c r="AE111" s="425"/>
      <c r="AF111" s="418"/>
    </row>
    <row r="112" spans="1:32" s="21" customFormat="1" ht="43.5" customHeight="1">
      <c r="A112" s="402">
        <f t="shared" si="9"/>
        <v>110</v>
      </c>
      <c r="B112" s="395"/>
      <c r="C112" s="402">
        <v>1521</v>
      </c>
      <c r="D112" s="402">
        <v>21</v>
      </c>
      <c r="E112" s="402" t="s">
        <v>209</v>
      </c>
      <c r="F112" s="402" t="s">
        <v>747</v>
      </c>
      <c r="G112" s="402">
        <v>381</v>
      </c>
      <c r="H112" s="402" t="s">
        <v>140</v>
      </c>
      <c r="I112" s="402" t="s">
        <v>575</v>
      </c>
      <c r="J112" s="402" t="s">
        <v>576</v>
      </c>
      <c r="K112" s="402">
        <v>2</v>
      </c>
      <c r="L112" s="412" t="s">
        <v>76</v>
      </c>
      <c r="M112" s="418"/>
      <c r="N112" s="422">
        <v>317.17</v>
      </c>
      <c r="O112" s="422">
        <f t="shared" si="10"/>
        <v>634.34</v>
      </c>
      <c r="P112" s="423"/>
      <c r="Q112" s="392" t="s">
        <v>22</v>
      </c>
      <c r="R112" s="451" t="s">
        <v>457</v>
      </c>
      <c r="S112" s="437"/>
      <c r="T112" s="402"/>
      <c r="U112" s="419"/>
      <c r="V112" s="412"/>
      <c r="W112" s="413">
        <v>425</v>
      </c>
      <c r="X112" s="414">
        <f t="shared" si="11"/>
        <v>850</v>
      </c>
      <c r="Y112" s="415"/>
      <c r="Z112" s="416"/>
      <c r="AA112" s="417" t="e">
        <f t="shared" si="8"/>
        <v>#DIV/0!</v>
      </c>
      <c r="AB112" s="418"/>
      <c r="AC112" s="418"/>
      <c r="AD112" s="418"/>
      <c r="AE112" s="425"/>
      <c r="AF112" s="418"/>
    </row>
    <row r="113" spans="1:32" s="21" customFormat="1" ht="43.5" customHeight="1">
      <c r="A113" s="402">
        <f t="shared" si="9"/>
        <v>111</v>
      </c>
      <c r="B113" s="395" t="s">
        <v>632</v>
      </c>
      <c r="C113" s="402">
        <v>1347</v>
      </c>
      <c r="D113" s="402">
        <v>1</v>
      </c>
      <c r="E113" s="402" t="s">
        <v>79</v>
      </c>
      <c r="F113" s="402" t="s">
        <v>642</v>
      </c>
      <c r="G113" s="402">
        <v>379</v>
      </c>
      <c r="H113" s="402" t="s">
        <v>77</v>
      </c>
      <c r="I113" s="402" t="s">
        <v>459</v>
      </c>
      <c r="J113" s="402" t="s">
        <v>462</v>
      </c>
      <c r="K113" s="402">
        <v>1</v>
      </c>
      <c r="L113" s="412" t="s">
        <v>122</v>
      </c>
      <c r="M113" s="418"/>
      <c r="N113" s="438">
        <v>2800</v>
      </c>
      <c r="O113" s="422">
        <f t="shared" si="10"/>
        <v>2800</v>
      </c>
      <c r="P113" s="423"/>
      <c r="Q113" s="390" t="s">
        <v>39</v>
      </c>
      <c r="R113" s="419" t="s">
        <v>463</v>
      </c>
      <c r="S113" s="437">
        <v>45605</v>
      </c>
      <c r="T113" s="402" t="s">
        <v>464</v>
      </c>
      <c r="U113" s="419" t="s">
        <v>193</v>
      </c>
      <c r="V113" s="412"/>
      <c r="W113" s="413">
        <v>4150</v>
      </c>
      <c r="X113" s="414">
        <f t="shared" si="11"/>
        <v>4150</v>
      </c>
      <c r="Y113" s="415"/>
      <c r="Z113" s="416">
        <v>1.28</v>
      </c>
      <c r="AA113" s="417">
        <f t="shared" si="8"/>
        <v>1.1579241071428572</v>
      </c>
      <c r="AB113" s="418"/>
      <c r="AC113" s="395" t="s">
        <v>674</v>
      </c>
      <c r="AD113" s="395"/>
      <c r="AE113" s="425"/>
      <c r="AF113" s="395"/>
    </row>
    <row r="114" spans="1:32" s="21" customFormat="1" ht="43.5" customHeight="1">
      <c r="A114" s="402">
        <f t="shared" si="9"/>
        <v>112</v>
      </c>
      <c r="B114" s="395" t="s">
        <v>387</v>
      </c>
      <c r="C114" s="402">
        <v>1348</v>
      </c>
      <c r="D114" s="402">
        <v>2</v>
      </c>
      <c r="E114" s="402" t="s">
        <v>79</v>
      </c>
      <c r="F114" s="402" t="s">
        <v>369</v>
      </c>
      <c r="G114" s="402">
        <v>379</v>
      </c>
      <c r="H114" s="402" t="s">
        <v>77</v>
      </c>
      <c r="I114" s="402" t="s">
        <v>460</v>
      </c>
      <c r="J114" s="402" t="s">
        <v>268</v>
      </c>
      <c r="K114" s="402">
        <v>100</v>
      </c>
      <c r="L114" s="412" t="s">
        <v>76</v>
      </c>
      <c r="M114" s="418"/>
      <c r="N114" s="422">
        <v>4.5999999999999996</v>
      </c>
      <c r="O114" s="422">
        <f t="shared" si="10"/>
        <v>459.99999999999994</v>
      </c>
      <c r="P114" s="423"/>
      <c r="Q114" s="390" t="s">
        <v>39</v>
      </c>
      <c r="R114" s="419" t="s">
        <v>463</v>
      </c>
      <c r="S114" s="437">
        <v>45605</v>
      </c>
      <c r="T114" s="402" t="s">
        <v>464</v>
      </c>
      <c r="U114" s="419" t="s">
        <v>85</v>
      </c>
      <c r="V114" s="412"/>
      <c r="W114" s="413">
        <v>9</v>
      </c>
      <c r="X114" s="414">
        <f t="shared" si="11"/>
        <v>900</v>
      </c>
      <c r="Y114" s="415"/>
      <c r="Z114" s="416">
        <v>1.28</v>
      </c>
      <c r="AA114" s="417">
        <f t="shared" si="8"/>
        <v>1.5285326086956523</v>
      </c>
      <c r="AB114" s="418">
        <v>91</v>
      </c>
      <c r="AC114" s="418"/>
      <c r="AD114" s="418"/>
      <c r="AE114" s="425"/>
      <c r="AF114" s="418"/>
    </row>
    <row r="115" spans="1:32" s="21" customFormat="1" ht="43.5" customHeight="1">
      <c r="A115" s="402">
        <f t="shared" si="9"/>
        <v>113</v>
      </c>
      <c r="B115" s="395" t="s">
        <v>387</v>
      </c>
      <c r="C115" s="402">
        <v>1349</v>
      </c>
      <c r="D115" s="402">
        <v>3</v>
      </c>
      <c r="E115" s="402" t="s">
        <v>79</v>
      </c>
      <c r="F115" s="402" t="s">
        <v>472</v>
      </c>
      <c r="G115" s="402">
        <v>379</v>
      </c>
      <c r="H115" s="402" t="s">
        <v>77</v>
      </c>
      <c r="I115" s="402" t="s">
        <v>461</v>
      </c>
      <c r="J115" s="402" t="s">
        <v>245</v>
      </c>
      <c r="K115" s="402">
        <v>3</v>
      </c>
      <c r="L115" s="412" t="s">
        <v>76</v>
      </c>
      <c r="M115" s="418"/>
      <c r="N115" s="422">
        <v>750</v>
      </c>
      <c r="O115" s="422">
        <f t="shared" si="10"/>
        <v>2250</v>
      </c>
      <c r="P115" s="423"/>
      <c r="Q115" s="390" t="s">
        <v>39</v>
      </c>
      <c r="R115" s="419" t="s">
        <v>463</v>
      </c>
      <c r="S115" s="437">
        <v>45605</v>
      </c>
      <c r="T115" s="402" t="s">
        <v>464</v>
      </c>
      <c r="U115" s="419" t="s">
        <v>85</v>
      </c>
      <c r="V115" s="412"/>
      <c r="W115" s="413">
        <v>1480</v>
      </c>
      <c r="X115" s="414">
        <f t="shared" si="11"/>
        <v>4440</v>
      </c>
      <c r="Y115" s="415"/>
      <c r="Z115" s="416"/>
      <c r="AA115" s="417" t="e">
        <f t="shared" si="8"/>
        <v>#DIV/0!</v>
      </c>
      <c r="AB115" s="418">
        <v>97</v>
      </c>
      <c r="AC115" s="418"/>
      <c r="AD115" s="418"/>
      <c r="AE115" s="425"/>
      <c r="AF115" s="418"/>
    </row>
    <row r="116" spans="1:32" s="21" customFormat="1" ht="43.5" customHeight="1">
      <c r="A116" s="402">
        <f t="shared" si="9"/>
        <v>114</v>
      </c>
      <c r="B116" s="395" t="s">
        <v>387</v>
      </c>
      <c r="C116" s="453">
        <v>1379</v>
      </c>
      <c r="D116" s="402">
        <v>1</v>
      </c>
      <c r="E116" s="402" t="s">
        <v>79</v>
      </c>
      <c r="F116" s="402" t="s">
        <v>292</v>
      </c>
      <c r="G116" s="402">
        <v>379</v>
      </c>
      <c r="H116" s="402" t="s">
        <v>77</v>
      </c>
      <c r="I116" s="402" t="s">
        <v>495</v>
      </c>
      <c r="J116" s="402" t="s">
        <v>496</v>
      </c>
      <c r="K116" s="402">
        <v>1</v>
      </c>
      <c r="L116" s="412" t="s">
        <v>497</v>
      </c>
      <c r="M116" s="418"/>
      <c r="N116" s="422">
        <v>200</v>
      </c>
      <c r="O116" s="422">
        <f t="shared" si="10"/>
        <v>200</v>
      </c>
      <c r="P116" s="423"/>
      <c r="Q116" s="390" t="s">
        <v>39</v>
      </c>
      <c r="R116" s="419" t="s">
        <v>501</v>
      </c>
      <c r="S116" s="437">
        <v>45615</v>
      </c>
      <c r="T116" s="402" t="s">
        <v>500</v>
      </c>
      <c r="U116" s="419" t="s">
        <v>85</v>
      </c>
      <c r="V116" s="412"/>
      <c r="W116" s="413">
        <v>760</v>
      </c>
      <c r="X116" s="414">
        <f t="shared" si="11"/>
        <v>760</v>
      </c>
      <c r="Y116" s="415"/>
      <c r="Z116" s="416"/>
      <c r="AA116" s="417" t="e">
        <f t="shared" si="8"/>
        <v>#DIV/0!</v>
      </c>
      <c r="AB116" s="418"/>
      <c r="AC116" s="418"/>
      <c r="AD116" s="418"/>
      <c r="AE116" s="425"/>
      <c r="AF116" s="418"/>
    </row>
    <row r="117" spans="1:32" s="21" customFormat="1" ht="43.5" customHeight="1">
      <c r="A117" s="402">
        <f t="shared" si="9"/>
        <v>115</v>
      </c>
      <c r="B117" s="395" t="s">
        <v>387</v>
      </c>
      <c r="C117" s="453">
        <v>1380</v>
      </c>
      <c r="D117" s="402">
        <v>2</v>
      </c>
      <c r="E117" s="402" t="s">
        <v>79</v>
      </c>
      <c r="F117" s="402" t="s">
        <v>514</v>
      </c>
      <c r="G117" s="402">
        <v>379</v>
      </c>
      <c r="H117" s="402" t="s">
        <v>77</v>
      </c>
      <c r="I117" s="402" t="s">
        <v>498</v>
      </c>
      <c r="J117" s="402" t="s">
        <v>499</v>
      </c>
      <c r="K117" s="402">
        <v>1</v>
      </c>
      <c r="L117" s="412" t="s">
        <v>125</v>
      </c>
      <c r="M117" s="418"/>
      <c r="N117" s="422">
        <v>44000</v>
      </c>
      <c r="O117" s="422">
        <f t="shared" si="10"/>
        <v>44000</v>
      </c>
      <c r="P117" s="423"/>
      <c r="Q117" s="390" t="s">
        <v>39</v>
      </c>
      <c r="R117" s="419" t="s">
        <v>501</v>
      </c>
      <c r="S117" s="437">
        <v>45615</v>
      </c>
      <c r="T117" s="402" t="s">
        <v>500</v>
      </c>
      <c r="U117" s="419" t="s">
        <v>85</v>
      </c>
      <c r="V117" s="412"/>
      <c r="W117" s="413">
        <v>79460</v>
      </c>
      <c r="X117" s="414">
        <f t="shared" si="11"/>
        <v>79460</v>
      </c>
      <c r="Y117" s="415"/>
      <c r="Z117" s="416"/>
      <c r="AA117" s="417" t="e">
        <f t="shared" si="8"/>
        <v>#DIV/0!</v>
      </c>
      <c r="AB117" s="418">
        <v>117</v>
      </c>
      <c r="AC117" s="418"/>
      <c r="AD117" s="418"/>
      <c r="AE117" s="431">
        <f>O117*900/($O$53+$O$60+$O$61+$O$62+$O$64+$O$72+$O$117)</f>
        <v>734.9393118295535</v>
      </c>
      <c r="AF117" s="418" t="s">
        <v>669</v>
      </c>
    </row>
    <row r="118" spans="1:32" s="21" customFormat="1" ht="43.5" customHeight="1">
      <c r="A118" s="402">
        <f t="shared" si="9"/>
        <v>116</v>
      </c>
      <c r="B118" s="395" t="s">
        <v>387</v>
      </c>
      <c r="C118" s="453">
        <v>1381</v>
      </c>
      <c r="D118" s="402">
        <v>3</v>
      </c>
      <c r="E118" s="402" t="s">
        <v>79</v>
      </c>
      <c r="F118" s="402" t="s">
        <v>103</v>
      </c>
      <c r="G118" s="402">
        <v>379</v>
      </c>
      <c r="H118" s="402" t="s">
        <v>77</v>
      </c>
      <c r="I118" s="402" t="s">
        <v>254</v>
      </c>
      <c r="J118" s="402" t="s">
        <v>162</v>
      </c>
      <c r="K118" s="402">
        <v>50</v>
      </c>
      <c r="L118" s="412" t="s">
        <v>76</v>
      </c>
      <c r="M118" s="418"/>
      <c r="N118" s="422">
        <v>17.309999999999999</v>
      </c>
      <c r="O118" s="422">
        <f t="shared" si="10"/>
        <v>865.49999999999989</v>
      </c>
      <c r="P118" s="423"/>
      <c r="Q118" s="390" t="s">
        <v>39</v>
      </c>
      <c r="R118" s="419" t="s">
        <v>501</v>
      </c>
      <c r="S118" s="437">
        <v>45615</v>
      </c>
      <c r="T118" s="402" t="s">
        <v>500</v>
      </c>
      <c r="U118" s="419" t="s">
        <v>85</v>
      </c>
      <c r="V118" s="412"/>
      <c r="W118" s="413">
        <v>42</v>
      </c>
      <c r="X118" s="414">
        <f t="shared" si="11"/>
        <v>2100</v>
      </c>
      <c r="Y118" s="415"/>
      <c r="Z118" s="416"/>
      <c r="AA118" s="417" t="e">
        <f t="shared" si="8"/>
        <v>#DIV/0!</v>
      </c>
      <c r="AB118" s="418">
        <v>131</v>
      </c>
      <c r="AC118" s="454">
        <v>45667</v>
      </c>
      <c r="AD118" s="454"/>
      <c r="AE118" s="425"/>
      <c r="AF118" s="454"/>
    </row>
    <row r="119" spans="1:32" s="21" customFormat="1" ht="43.5" customHeight="1">
      <c r="A119" s="402">
        <f t="shared" si="9"/>
        <v>117</v>
      </c>
      <c r="B119" s="395" t="s">
        <v>140</v>
      </c>
      <c r="C119" s="453">
        <v>1398</v>
      </c>
      <c r="D119" s="402">
        <v>1</v>
      </c>
      <c r="E119" s="402" t="s">
        <v>139</v>
      </c>
      <c r="F119" s="402" t="s">
        <v>511</v>
      </c>
      <c r="G119" s="402">
        <v>391</v>
      </c>
      <c r="H119" s="402" t="s">
        <v>140</v>
      </c>
      <c r="I119" s="402" t="s">
        <v>506</v>
      </c>
      <c r="J119" s="402" t="s">
        <v>507</v>
      </c>
      <c r="K119" s="402">
        <v>60</v>
      </c>
      <c r="L119" s="412" t="s">
        <v>76</v>
      </c>
      <c r="M119" s="418"/>
      <c r="N119" s="422">
        <v>150</v>
      </c>
      <c r="O119" s="422">
        <f t="shared" si="10"/>
        <v>9000</v>
      </c>
      <c r="P119" s="423"/>
      <c r="Q119" s="390" t="s">
        <v>39</v>
      </c>
      <c r="R119" s="419" t="s">
        <v>508</v>
      </c>
      <c r="S119" s="437">
        <v>45621</v>
      </c>
      <c r="T119" s="402" t="s">
        <v>509</v>
      </c>
      <c r="U119" s="419" t="s">
        <v>510</v>
      </c>
      <c r="V119" s="412"/>
      <c r="W119" s="413">
        <v>275</v>
      </c>
      <c r="X119" s="414">
        <f t="shared" si="11"/>
        <v>16500</v>
      </c>
      <c r="Y119" s="415"/>
      <c r="Z119" s="416"/>
      <c r="AA119" s="417" t="e">
        <f t="shared" si="8"/>
        <v>#DIV/0!</v>
      </c>
      <c r="AB119" s="418">
        <v>121</v>
      </c>
      <c r="AC119" s="418"/>
      <c r="AD119" s="418"/>
      <c r="AE119" s="425"/>
      <c r="AF119" s="418"/>
    </row>
    <row r="120" spans="1:32" s="21" customFormat="1" ht="43.5" customHeight="1">
      <c r="A120" s="402">
        <f t="shared" si="9"/>
        <v>118</v>
      </c>
      <c r="B120" s="397">
        <v>509</v>
      </c>
      <c r="C120" s="397">
        <v>1397</v>
      </c>
      <c r="D120" s="418"/>
      <c r="E120" s="397" t="s">
        <v>194</v>
      </c>
      <c r="F120" s="397" t="s">
        <v>196</v>
      </c>
      <c r="G120" s="397">
        <v>329</v>
      </c>
      <c r="H120" s="397" t="s">
        <v>140</v>
      </c>
      <c r="I120" s="397" t="s">
        <v>218</v>
      </c>
      <c r="J120" s="397" t="s">
        <v>133</v>
      </c>
      <c r="K120" s="401">
        <v>10</v>
      </c>
      <c r="L120" s="455" t="s">
        <v>91</v>
      </c>
      <c r="M120" s="441">
        <v>25</v>
      </c>
      <c r="N120" s="403">
        <v>44.62</v>
      </c>
      <c r="O120" s="403">
        <f t="shared" si="10"/>
        <v>446.2</v>
      </c>
      <c r="P120" s="418"/>
      <c r="Q120" s="390" t="s">
        <v>39</v>
      </c>
      <c r="R120" s="397">
        <v>55400</v>
      </c>
      <c r="S120" s="437"/>
      <c r="T120" s="397"/>
      <c r="U120" s="419" t="s">
        <v>510</v>
      </c>
      <c r="V120" s="455"/>
      <c r="W120" s="413">
        <v>60</v>
      </c>
      <c r="X120" s="456">
        <f t="shared" si="11"/>
        <v>600</v>
      </c>
      <c r="Y120" s="457"/>
      <c r="Z120" s="458">
        <v>1.23</v>
      </c>
      <c r="AA120" s="459">
        <f t="shared" si="8"/>
        <v>1.0932426670748108</v>
      </c>
      <c r="AB120" s="418"/>
      <c r="AC120" s="460"/>
      <c r="AD120" s="460"/>
      <c r="AE120" s="418"/>
      <c r="AF120" s="460"/>
    </row>
    <row r="121" spans="1:32" s="21" customFormat="1" ht="43.5" customHeight="1">
      <c r="A121" s="402">
        <f t="shared" si="9"/>
        <v>119</v>
      </c>
      <c r="B121" s="395" t="s">
        <v>140</v>
      </c>
      <c r="C121" s="402">
        <v>1462</v>
      </c>
      <c r="D121" s="402">
        <v>1</v>
      </c>
      <c r="E121" s="402" t="s">
        <v>139</v>
      </c>
      <c r="F121" s="397" t="s">
        <v>599</v>
      </c>
      <c r="G121" s="397">
        <v>391</v>
      </c>
      <c r="H121" s="402" t="s">
        <v>140</v>
      </c>
      <c r="I121" s="402" t="s">
        <v>525</v>
      </c>
      <c r="J121" s="402" t="s">
        <v>526</v>
      </c>
      <c r="K121" s="402">
        <v>1</v>
      </c>
      <c r="L121" s="412" t="s">
        <v>91</v>
      </c>
      <c r="M121" s="418"/>
      <c r="N121" s="422">
        <v>750</v>
      </c>
      <c r="O121" s="422">
        <f t="shared" si="10"/>
        <v>750</v>
      </c>
      <c r="P121" s="423"/>
      <c r="Q121" s="390" t="s">
        <v>39</v>
      </c>
      <c r="R121" s="419" t="s">
        <v>527</v>
      </c>
      <c r="S121" s="437">
        <v>45636</v>
      </c>
      <c r="T121" s="402"/>
      <c r="U121" s="419" t="s">
        <v>142</v>
      </c>
      <c r="V121" s="412"/>
      <c r="W121" s="413">
        <v>2240</v>
      </c>
      <c r="X121" s="414">
        <f t="shared" si="11"/>
        <v>2240</v>
      </c>
      <c r="Y121" s="415"/>
      <c r="Z121" s="458">
        <v>1.23</v>
      </c>
      <c r="AA121" s="417">
        <f t="shared" si="8"/>
        <v>2.4281842818428188</v>
      </c>
      <c r="AB121" s="418">
        <v>121</v>
      </c>
      <c r="AC121" s="418" t="s">
        <v>547</v>
      </c>
      <c r="AD121" s="418"/>
      <c r="AE121" s="425"/>
      <c r="AF121" s="418"/>
    </row>
    <row r="122" spans="1:32" s="21" customFormat="1" ht="43.5" customHeight="1">
      <c r="A122" s="402">
        <f t="shared" si="9"/>
        <v>120</v>
      </c>
      <c r="B122" s="395" t="s">
        <v>387</v>
      </c>
      <c r="C122" s="402">
        <v>1463</v>
      </c>
      <c r="D122" s="402">
        <v>1</v>
      </c>
      <c r="E122" s="402" t="s">
        <v>79</v>
      </c>
      <c r="F122" s="419" t="s">
        <v>539</v>
      </c>
      <c r="G122" s="402">
        <v>379</v>
      </c>
      <c r="H122" s="402" t="s">
        <v>77</v>
      </c>
      <c r="I122" s="402" t="s">
        <v>532</v>
      </c>
      <c r="J122" s="402" t="s">
        <v>533</v>
      </c>
      <c r="K122" s="402">
        <v>2</v>
      </c>
      <c r="L122" s="412" t="s">
        <v>125</v>
      </c>
      <c r="M122" s="418"/>
      <c r="N122" s="422">
        <v>280</v>
      </c>
      <c r="O122" s="422">
        <f t="shared" si="10"/>
        <v>560</v>
      </c>
      <c r="P122" s="423"/>
      <c r="Q122" s="390" t="s">
        <v>39</v>
      </c>
      <c r="R122" s="419" t="s">
        <v>537</v>
      </c>
      <c r="S122" s="437">
        <v>45622</v>
      </c>
      <c r="T122" s="402" t="s">
        <v>538</v>
      </c>
      <c r="U122" s="419" t="s">
        <v>670</v>
      </c>
      <c r="V122" s="412"/>
      <c r="W122" s="413">
        <v>610</v>
      </c>
      <c r="X122" s="414">
        <f t="shared" si="11"/>
        <v>1220</v>
      </c>
      <c r="Y122" s="415"/>
      <c r="Z122" s="416"/>
      <c r="AA122" s="417" t="e">
        <f t="shared" si="8"/>
        <v>#DIV/0!</v>
      </c>
      <c r="AB122" s="418">
        <v>129</v>
      </c>
      <c r="AC122" s="428" t="s">
        <v>166</v>
      </c>
      <c r="AD122" s="428"/>
      <c r="AE122" s="425"/>
      <c r="AF122" s="428"/>
    </row>
    <row r="123" spans="1:32" s="21" customFormat="1" ht="43.5" customHeight="1">
      <c r="A123" s="402">
        <f t="shared" si="9"/>
        <v>121</v>
      </c>
      <c r="B123" s="395"/>
      <c r="C123" s="402">
        <v>1464</v>
      </c>
      <c r="D123" s="402">
        <v>2</v>
      </c>
      <c r="E123" s="402" t="s">
        <v>79</v>
      </c>
      <c r="F123" s="419" t="s">
        <v>589</v>
      </c>
      <c r="G123" s="402">
        <v>379</v>
      </c>
      <c r="H123" s="402" t="s">
        <v>77</v>
      </c>
      <c r="I123" s="402" t="s">
        <v>534</v>
      </c>
      <c r="J123" s="402" t="s">
        <v>133</v>
      </c>
      <c r="K123" s="402">
        <v>150</v>
      </c>
      <c r="L123" s="412" t="s">
        <v>76</v>
      </c>
      <c r="M123" s="418"/>
      <c r="N123" s="422">
        <v>5.8</v>
      </c>
      <c r="O123" s="422">
        <f t="shared" si="10"/>
        <v>870</v>
      </c>
      <c r="P123" s="423"/>
      <c r="Q123" s="390" t="s">
        <v>39</v>
      </c>
      <c r="R123" s="419" t="s">
        <v>537</v>
      </c>
      <c r="S123" s="437">
        <v>45622</v>
      </c>
      <c r="T123" s="402" t="s">
        <v>538</v>
      </c>
      <c r="U123" s="419" t="s">
        <v>654</v>
      </c>
      <c r="V123" s="412"/>
      <c r="W123" s="413">
        <v>12</v>
      </c>
      <c r="X123" s="414">
        <f t="shared" si="11"/>
        <v>1800</v>
      </c>
      <c r="Y123" s="415"/>
      <c r="Z123" s="416"/>
      <c r="AA123" s="417" t="e">
        <f t="shared" si="8"/>
        <v>#DIV/0!</v>
      </c>
      <c r="AB123" s="418">
        <v>134</v>
      </c>
      <c r="AC123" s="439" t="s">
        <v>663</v>
      </c>
      <c r="AD123" s="439"/>
      <c r="AE123" s="425"/>
      <c r="AF123" s="439"/>
    </row>
    <row r="124" spans="1:32" s="21" customFormat="1" ht="43.5" customHeight="1">
      <c r="A124" s="402">
        <f t="shared" si="9"/>
        <v>122</v>
      </c>
      <c r="B124" s="395"/>
      <c r="C124" s="402">
        <v>1465</v>
      </c>
      <c r="D124" s="402">
        <v>3</v>
      </c>
      <c r="E124" s="402" t="s">
        <v>79</v>
      </c>
      <c r="F124" s="411" t="s">
        <v>138</v>
      </c>
      <c r="G124" s="402">
        <v>379</v>
      </c>
      <c r="H124" s="402" t="s">
        <v>77</v>
      </c>
      <c r="I124" s="402" t="s">
        <v>535</v>
      </c>
      <c r="J124" s="402" t="s">
        <v>536</v>
      </c>
      <c r="K124" s="402">
        <v>3</v>
      </c>
      <c r="L124" s="412" t="s">
        <v>76</v>
      </c>
      <c r="M124" s="418"/>
      <c r="N124" s="422">
        <v>87.66</v>
      </c>
      <c r="O124" s="422">
        <f t="shared" si="10"/>
        <v>262.98</v>
      </c>
      <c r="P124" s="423"/>
      <c r="Q124" s="461" t="s">
        <v>25</v>
      </c>
      <c r="R124" s="419" t="s">
        <v>537</v>
      </c>
      <c r="S124" s="437">
        <v>45622</v>
      </c>
      <c r="T124" s="402" t="s">
        <v>538</v>
      </c>
      <c r="U124" s="419" t="s">
        <v>85</v>
      </c>
      <c r="V124" s="412"/>
      <c r="W124" s="413">
        <v>220</v>
      </c>
      <c r="X124" s="414">
        <f t="shared" si="11"/>
        <v>660</v>
      </c>
      <c r="Y124" s="415"/>
      <c r="Z124" s="416"/>
      <c r="AA124" s="417" t="e">
        <f t="shared" si="8"/>
        <v>#DIV/0!</v>
      </c>
      <c r="AB124" s="418"/>
      <c r="AC124" s="428" t="s">
        <v>166</v>
      </c>
      <c r="AD124" s="428"/>
      <c r="AE124" s="425"/>
      <c r="AF124" s="428"/>
    </row>
    <row r="125" spans="1:32" s="21" customFormat="1" ht="43.5" customHeight="1">
      <c r="A125" s="402">
        <f t="shared" si="9"/>
        <v>123</v>
      </c>
      <c r="B125" s="395" t="s">
        <v>922</v>
      </c>
      <c r="C125" s="402">
        <v>1485</v>
      </c>
      <c r="D125" s="402">
        <v>1</v>
      </c>
      <c r="E125" s="402" t="s">
        <v>79</v>
      </c>
      <c r="F125" s="411"/>
      <c r="G125" s="402">
        <v>379</v>
      </c>
      <c r="H125" s="402" t="s">
        <v>77</v>
      </c>
      <c r="I125" s="402" t="s">
        <v>540</v>
      </c>
      <c r="J125" s="402" t="s">
        <v>135</v>
      </c>
      <c r="K125" s="402">
        <v>50</v>
      </c>
      <c r="L125" s="412" t="s">
        <v>91</v>
      </c>
      <c r="M125" s="418">
        <v>38.85</v>
      </c>
      <c r="N125" s="507">
        <v>37.54</v>
      </c>
      <c r="O125" s="422">
        <f t="shared" si="10"/>
        <v>1877</v>
      </c>
      <c r="P125" s="423"/>
      <c r="Q125" s="471" t="s">
        <v>12</v>
      </c>
      <c r="R125" s="419" t="s">
        <v>544</v>
      </c>
      <c r="S125" s="437">
        <v>45643</v>
      </c>
      <c r="T125" s="402" t="s">
        <v>545</v>
      </c>
      <c r="U125" s="419" t="s">
        <v>81</v>
      </c>
      <c r="V125" s="412"/>
      <c r="W125" s="413">
        <v>68</v>
      </c>
      <c r="X125" s="414">
        <f t="shared" si="11"/>
        <v>3400</v>
      </c>
      <c r="Y125" s="415"/>
      <c r="Z125" s="416"/>
      <c r="AA125" s="417" t="e">
        <f t="shared" si="8"/>
        <v>#DIV/0!</v>
      </c>
      <c r="AB125" s="418"/>
      <c r="AC125" s="395" t="s">
        <v>627</v>
      </c>
      <c r="AD125" s="395"/>
      <c r="AE125" s="425"/>
      <c r="AF125" s="395"/>
    </row>
    <row r="126" spans="1:32" s="21" customFormat="1" ht="43.5" customHeight="1">
      <c r="A126" s="402">
        <f t="shared" si="9"/>
        <v>124</v>
      </c>
      <c r="B126" s="395" t="s">
        <v>922</v>
      </c>
      <c r="C126" s="402">
        <v>1486</v>
      </c>
      <c r="D126" s="402">
        <v>2</v>
      </c>
      <c r="E126" s="402" t="s">
        <v>79</v>
      </c>
      <c r="F126" s="411"/>
      <c r="G126" s="402">
        <v>379</v>
      </c>
      <c r="H126" s="402" t="s">
        <v>77</v>
      </c>
      <c r="I126" s="402" t="s">
        <v>541</v>
      </c>
      <c r="J126" s="402" t="s">
        <v>133</v>
      </c>
      <c r="K126" s="402">
        <v>9</v>
      </c>
      <c r="L126" s="412" t="s">
        <v>91</v>
      </c>
      <c r="M126" s="418"/>
      <c r="N126" s="422">
        <v>76</v>
      </c>
      <c r="O126" s="422">
        <f t="shared" si="10"/>
        <v>684</v>
      </c>
      <c r="P126" s="423"/>
      <c r="Q126" s="387" t="s">
        <v>11</v>
      </c>
      <c r="R126" s="419" t="s">
        <v>544</v>
      </c>
      <c r="S126" s="437">
        <v>45643</v>
      </c>
      <c r="T126" s="402" t="s">
        <v>545</v>
      </c>
      <c r="U126" s="419" t="s">
        <v>81</v>
      </c>
      <c r="V126" s="412"/>
      <c r="W126" s="413">
        <v>140</v>
      </c>
      <c r="X126" s="414">
        <f t="shared" si="11"/>
        <v>1260</v>
      </c>
      <c r="Y126" s="415"/>
      <c r="Z126" s="416"/>
      <c r="AA126" s="417" t="e">
        <f t="shared" si="8"/>
        <v>#DIV/0!</v>
      </c>
      <c r="AB126" s="418"/>
      <c r="AC126" s="418" t="s">
        <v>547</v>
      </c>
      <c r="AD126" s="418"/>
      <c r="AE126" s="425"/>
      <c r="AF126" s="418"/>
    </row>
    <row r="127" spans="1:32" s="21" customFormat="1" ht="43.5" customHeight="1">
      <c r="A127" s="402">
        <f t="shared" si="9"/>
        <v>125</v>
      </c>
      <c r="B127" s="395" t="s">
        <v>143</v>
      </c>
      <c r="C127" s="402">
        <v>1487</v>
      </c>
      <c r="D127" s="402">
        <v>3</v>
      </c>
      <c r="E127" s="402" t="s">
        <v>79</v>
      </c>
      <c r="F127" s="419" t="s">
        <v>558</v>
      </c>
      <c r="G127" s="402">
        <v>379</v>
      </c>
      <c r="H127" s="402" t="s">
        <v>77</v>
      </c>
      <c r="I127" s="402" t="s">
        <v>542</v>
      </c>
      <c r="J127" s="402" t="s">
        <v>133</v>
      </c>
      <c r="K127" s="402">
        <v>80</v>
      </c>
      <c r="L127" s="412" t="s">
        <v>91</v>
      </c>
      <c r="M127" s="418"/>
      <c r="N127" s="422">
        <f>1.05*100</f>
        <v>105</v>
      </c>
      <c r="O127" s="422">
        <f t="shared" si="10"/>
        <v>8400</v>
      </c>
      <c r="P127" s="423"/>
      <c r="Q127" s="390" t="s">
        <v>39</v>
      </c>
      <c r="R127" s="419" t="s">
        <v>544</v>
      </c>
      <c r="S127" s="437">
        <v>45643</v>
      </c>
      <c r="T127" s="402" t="s">
        <v>545</v>
      </c>
      <c r="U127" s="419" t="s">
        <v>81</v>
      </c>
      <c r="V127" s="412"/>
      <c r="W127" s="413">
        <v>165</v>
      </c>
      <c r="X127" s="414">
        <f t="shared" si="11"/>
        <v>13200</v>
      </c>
      <c r="Y127" s="415"/>
      <c r="Z127" s="416"/>
      <c r="AA127" s="417" t="e">
        <f t="shared" si="8"/>
        <v>#DIV/0!</v>
      </c>
      <c r="AB127" s="418">
        <v>134</v>
      </c>
      <c r="AC127" s="418"/>
      <c r="AD127" s="418"/>
      <c r="AE127" s="425"/>
      <c r="AF127" s="418"/>
    </row>
    <row r="128" spans="1:32" s="21" customFormat="1" ht="43.5" customHeight="1">
      <c r="A128" s="402">
        <f t="shared" si="9"/>
        <v>126</v>
      </c>
      <c r="B128" s="395" t="s">
        <v>143</v>
      </c>
      <c r="C128" s="402">
        <v>1488</v>
      </c>
      <c r="D128" s="402">
        <v>4</v>
      </c>
      <c r="E128" s="402" t="s">
        <v>79</v>
      </c>
      <c r="F128" s="419" t="s">
        <v>559</v>
      </c>
      <c r="G128" s="402">
        <v>379</v>
      </c>
      <c r="H128" s="402" t="s">
        <v>77</v>
      </c>
      <c r="I128" s="402" t="s">
        <v>543</v>
      </c>
      <c r="J128" s="402" t="s">
        <v>268</v>
      </c>
      <c r="K128" s="402">
        <v>24</v>
      </c>
      <c r="L128" s="412" t="s">
        <v>76</v>
      </c>
      <c r="M128" s="418"/>
      <c r="N128" s="422">
        <f>1.05*150</f>
        <v>157.5</v>
      </c>
      <c r="O128" s="422">
        <f t="shared" si="10"/>
        <v>3780</v>
      </c>
      <c r="P128" s="423"/>
      <c r="Q128" s="390" t="s">
        <v>39</v>
      </c>
      <c r="R128" s="419" t="s">
        <v>544</v>
      </c>
      <c r="S128" s="437">
        <v>45643</v>
      </c>
      <c r="T128" s="402" t="s">
        <v>545</v>
      </c>
      <c r="U128" s="419" t="s">
        <v>81</v>
      </c>
      <c r="V128" s="412"/>
      <c r="W128" s="413">
        <v>280</v>
      </c>
      <c r="X128" s="414">
        <f t="shared" si="11"/>
        <v>6720</v>
      </c>
      <c r="Y128" s="415"/>
      <c r="Z128" s="416"/>
      <c r="AA128" s="417" t="e">
        <f t="shared" si="8"/>
        <v>#DIV/0!</v>
      </c>
      <c r="AB128" s="418">
        <v>134</v>
      </c>
      <c r="AC128" s="418"/>
      <c r="AD128" s="418"/>
      <c r="AE128" s="425"/>
      <c r="AF128" s="418"/>
    </row>
    <row r="129" spans="1:32" s="21" customFormat="1" ht="43.5" customHeight="1">
      <c r="A129" s="402">
        <f t="shared" si="9"/>
        <v>127</v>
      </c>
      <c r="B129" s="395"/>
      <c r="C129" s="402">
        <v>1489</v>
      </c>
      <c r="D129" s="402">
        <v>1</v>
      </c>
      <c r="E129" s="402" t="s">
        <v>79</v>
      </c>
      <c r="F129" s="402" t="s">
        <v>182</v>
      </c>
      <c r="G129" s="402">
        <v>399</v>
      </c>
      <c r="H129" s="402" t="s">
        <v>77</v>
      </c>
      <c r="I129" s="402" t="s">
        <v>548</v>
      </c>
      <c r="J129" s="402" t="s">
        <v>267</v>
      </c>
      <c r="K129" s="402">
        <v>100</v>
      </c>
      <c r="L129" s="412" t="s">
        <v>76</v>
      </c>
      <c r="M129" s="418"/>
      <c r="N129" s="422">
        <v>0.76</v>
      </c>
      <c r="O129" s="422">
        <f t="shared" si="10"/>
        <v>76</v>
      </c>
      <c r="P129" s="423"/>
      <c r="Q129" s="390" t="s">
        <v>39</v>
      </c>
      <c r="R129" s="419" t="s">
        <v>549</v>
      </c>
      <c r="S129" s="437">
        <v>45647</v>
      </c>
      <c r="T129" s="402" t="s">
        <v>550</v>
      </c>
      <c r="U129" s="411" t="s">
        <v>85</v>
      </c>
      <c r="V129" s="412"/>
      <c r="W129" s="413">
        <v>5</v>
      </c>
      <c r="X129" s="414">
        <f t="shared" si="11"/>
        <v>500</v>
      </c>
      <c r="Y129" s="415"/>
      <c r="Z129" s="416"/>
      <c r="AA129" s="417" t="e">
        <f t="shared" si="8"/>
        <v>#DIV/0!</v>
      </c>
      <c r="AB129" s="418"/>
      <c r="AC129" s="418"/>
      <c r="AD129" s="418"/>
      <c r="AE129" s="425"/>
      <c r="AF129" s="418"/>
    </row>
    <row r="130" spans="1:32" s="21" customFormat="1" ht="43.5" customHeight="1">
      <c r="A130" s="402">
        <f t="shared" si="9"/>
        <v>128</v>
      </c>
      <c r="B130" s="395"/>
      <c r="C130" s="402">
        <v>1490</v>
      </c>
      <c r="D130" s="402">
        <v>1</v>
      </c>
      <c r="E130" s="402" t="s">
        <v>79</v>
      </c>
      <c r="F130" s="419" t="s">
        <v>589</v>
      </c>
      <c r="G130" s="402">
        <v>399</v>
      </c>
      <c r="H130" s="402" t="s">
        <v>77</v>
      </c>
      <c r="I130" s="402" t="s">
        <v>551</v>
      </c>
      <c r="J130" s="402" t="s">
        <v>553</v>
      </c>
      <c r="K130" s="402">
        <v>2</v>
      </c>
      <c r="L130" s="412" t="s">
        <v>76</v>
      </c>
      <c r="M130" s="418"/>
      <c r="N130" s="422">
        <v>124</v>
      </c>
      <c r="O130" s="422">
        <f t="shared" si="10"/>
        <v>248</v>
      </c>
      <c r="P130" s="423"/>
      <c r="Q130" s="390" t="s">
        <v>39</v>
      </c>
      <c r="R130" s="419" t="s">
        <v>555</v>
      </c>
      <c r="S130" s="437">
        <v>45647</v>
      </c>
      <c r="T130" s="462" t="s">
        <v>556</v>
      </c>
      <c r="U130" s="419" t="s">
        <v>85</v>
      </c>
      <c r="V130" s="412"/>
      <c r="W130" s="413">
        <v>387</v>
      </c>
      <c r="X130" s="414">
        <f t="shared" ref="X130:X160" si="12">W130*K130</f>
        <v>774</v>
      </c>
      <c r="Y130" s="415"/>
      <c r="Z130" s="416"/>
      <c r="AA130" s="417" t="e">
        <f t="shared" si="8"/>
        <v>#DIV/0!</v>
      </c>
      <c r="AB130" s="418">
        <v>134</v>
      </c>
      <c r="AC130" s="418"/>
      <c r="AD130" s="418"/>
      <c r="AE130" s="425"/>
      <c r="AF130" s="418"/>
    </row>
    <row r="131" spans="1:32" s="21" customFormat="1" ht="43.5" customHeight="1">
      <c r="A131" s="402">
        <f t="shared" si="9"/>
        <v>129</v>
      </c>
      <c r="B131" s="395"/>
      <c r="C131" s="419">
        <v>1491</v>
      </c>
      <c r="D131" s="402">
        <v>2</v>
      </c>
      <c r="E131" s="402" t="s">
        <v>79</v>
      </c>
      <c r="F131" s="463" t="s">
        <v>626</v>
      </c>
      <c r="G131" s="402">
        <v>399</v>
      </c>
      <c r="H131" s="402" t="s">
        <v>77</v>
      </c>
      <c r="I131" s="402" t="s">
        <v>552</v>
      </c>
      <c r="J131" s="402" t="s">
        <v>554</v>
      </c>
      <c r="K131" s="402">
        <v>1</v>
      </c>
      <c r="L131" s="412" t="s">
        <v>76</v>
      </c>
      <c r="M131" s="418"/>
      <c r="N131" s="422">
        <v>730</v>
      </c>
      <c r="O131" s="422">
        <f t="shared" si="10"/>
        <v>730</v>
      </c>
      <c r="P131" s="423"/>
      <c r="Q131" s="390" t="s">
        <v>39</v>
      </c>
      <c r="R131" s="419" t="s">
        <v>555</v>
      </c>
      <c r="S131" s="437">
        <v>45647</v>
      </c>
      <c r="T131" s="462" t="s">
        <v>556</v>
      </c>
      <c r="U131" s="419" t="s">
        <v>85</v>
      </c>
      <c r="V131" s="412"/>
      <c r="W131" s="413">
        <v>1265</v>
      </c>
      <c r="X131" s="414">
        <f t="shared" si="12"/>
        <v>1265</v>
      </c>
      <c r="Y131" s="415"/>
      <c r="Z131" s="416"/>
      <c r="AA131" s="417" t="e">
        <f t="shared" ref="AA131:AA194" si="13">X131/O131/Z131</f>
        <v>#DIV/0!</v>
      </c>
      <c r="AB131" s="418">
        <v>126</v>
      </c>
      <c r="AC131" s="418" t="s">
        <v>625</v>
      </c>
      <c r="AD131" s="418"/>
      <c r="AE131" s="425"/>
      <c r="AF131" s="418"/>
    </row>
    <row r="132" spans="1:32" s="21" customFormat="1" ht="43.5" customHeight="1">
      <c r="A132" s="402">
        <f t="shared" ref="A132:A195" si="14">A131+1</f>
        <v>130</v>
      </c>
      <c r="B132" s="395"/>
      <c r="C132" s="402">
        <v>1497</v>
      </c>
      <c r="D132" s="402">
        <v>1</v>
      </c>
      <c r="E132" s="402" t="s">
        <v>79</v>
      </c>
      <c r="F132" s="419" t="s">
        <v>681</v>
      </c>
      <c r="G132" s="402">
        <v>399</v>
      </c>
      <c r="H132" s="402" t="s">
        <v>77</v>
      </c>
      <c r="I132" s="402" t="s">
        <v>532</v>
      </c>
      <c r="J132" s="402" t="s">
        <v>533</v>
      </c>
      <c r="K132" s="402">
        <v>6</v>
      </c>
      <c r="L132" s="412" t="s">
        <v>76</v>
      </c>
      <c r="M132" s="418" t="s">
        <v>142</v>
      </c>
      <c r="N132" s="464">
        <v>1233</v>
      </c>
      <c r="O132" s="422">
        <f t="shared" si="10"/>
        <v>7398</v>
      </c>
      <c r="P132" s="423"/>
      <c r="Q132" s="390" t="s">
        <v>39</v>
      </c>
      <c r="R132" s="419" t="s">
        <v>564</v>
      </c>
      <c r="S132" s="437">
        <v>45654</v>
      </c>
      <c r="T132" s="402" t="s">
        <v>565</v>
      </c>
      <c r="U132" s="419" t="s">
        <v>670</v>
      </c>
      <c r="V132" s="412"/>
      <c r="W132" s="413">
        <v>2020</v>
      </c>
      <c r="X132" s="414">
        <f t="shared" si="12"/>
        <v>12120</v>
      </c>
      <c r="Y132" s="415"/>
      <c r="Z132" s="416"/>
      <c r="AA132" s="417" t="e">
        <f t="shared" si="13"/>
        <v>#DIV/0!</v>
      </c>
      <c r="AB132" s="418">
        <v>129</v>
      </c>
      <c r="AC132" s="418"/>
      <c r="AD132" s="418"/>
      <c r="AE132" s="425"/>
      <c r="AF132" s="418"/>
    </row>
    <row r="133" spans="1:32" s="21" customFormat="1" ht="43.5" customHeight="1">
      <c r="A133" s="402">
        <f t="shared" si="14"/>
        <v>131</v>
      </c>
      <c r="B133" s="395"/>
      <c r="C133" s="402">
        <v>1498</v>
      </c>
      <c r="D133" s="402">
        <v>2</v>
      </c>
      <c r="E133" s="402" t="s">
        <v>79</v>
      </c>
      <c r="F133" s="419" t="s">
        <v>589</v>
      </c>
      <c r="G133" s="402">
        <v>399</v>
      </c>
      <c r="H133" s="402" t="s">
        <v>77</v>
      </c>
      <c r="I133" s="402" t="s">
        <v>561</v>
      </c>
      <c r="J133" s="402" t="s">
        <v>562</v>
      </c>
      <c r="K133" s="402">
        <v>8</v>
      </c>
      <c r="L133" s="412" t="s">
        <v>76</v>
      </c>
      <c r="M133" s="418"/>
      <c r="N133" s="422">
        <v>2140</v>
      </c>
      <c r="O133" s="422">
        <f t="shared" si="10"/>
        <v>17120</v>
      </c>
      <c r="P133" s="423"/>
      <c r="Q133" s="390" t="s">
        <v>39</v>
      </c>
      <c r="R133" s="419" t="s">
        <v>564</v>
      </c>
      <c r="S133" s="437">
        <v>45654</v>
      </c>
      <c r="T133" s="402" t="s">
        <v>565</v>
      </c>
      <c r="U133" s="419" t="s">
        <v>654</v>
      </c>
      <c r="V133" s="412"/>
      <c r="W133" s="413">
        <v>3250</v>
      </c>
      <c r="X133" s="414">
        <f t="shared" si="12"/>
        <v>26000</v>
      </c>
      <c r="Y133" s="415"/>
      <c r="Z133" s="416"/>
      <c r="AA133" s="417" t="e">
        <f t="shared" si="13"/>
        <v>#DIV/0!</v>
      </c>
      <c r="AB133" s="418">
        <v>134</v>
      </c>
      <c r="AC133" s="418" t="s">
        <v>665</v>
      </c>
      <c r="AD133" s="418"/>
      <c r="AE133" s="425"/>
      <c r="AF133" s="418"/>
    </row>
    <row r="134" spans="1:32" s="21" customFormat="1" ht="43.5" customHeight="1">
      <c r="A134" s="402">
        <f t="shared" si="14"/>
        <v>132</v>
      </c>
      <c r="B134" s="395"/>
      <c r="C134" s="402">
        <v>1499</v>
      </c>
      <c r="D134" s="402">
        <v>3</v>
      </c>
      <c r="E134" s="402" t="s">
        <v>79</v>
      </c>
      <c r="F134" s="419" t="s">
        <v>204</v>
      </c>
      <c r="G134" s="402">
        <v>399</v>
      </c>
      <c r="H134" s="402" t="s">
        <v>77</v>
      </c>
      <c r="I134" s="402" t="s">
        <v>563</v>
      </c>
      <c r="J134" s="402" t="s">
        <v>562</v>
      </c>
      <c r="K134" s="402">
        <v>4</v>
      </c>
      <c r="L134" s="412" t="s">
        <v>76</v>
      </c>
      <c r="M134" s="418" t="s">
        <v>142</v>
      </c>
      <c r="N134" s="422">
        <v>763.4</v>
      </c>
      <c r="O134" s="422">
        <f t="shared" si="10"/>
        <v>3053.6</v>
      </c>
      <c r="P134" s="423"/>
      <c r="Q134" s="390" t="s">
        <v>39</v>
      </c>
      <c r="R134" s="419" t="s">
        <v>564</v>
      </c>
      <c r="S134" s="437">
        <v>45654</v>
      </c>
      <c r="T134" s="402" t="s">
        <v>565</v>
      </c>
      <c r="U134" s="419" t="s">
        <v>85</v>
      </c>
      <c r="V134" s="412"/>
      <c r="W134" s="413">
        <v>1310</v>
      </c>
      <c r="X134" s="414">
        <f t="shared" si="12"/>
        <v>5240</v>
      </c>
      <c r="Y134" s="415"/>
      <c r="Z134" s="416"/>
      <c r="AA134" s="417" t="e">
        <f t="shared" si="13"/>
        <v>#DIV/0!</v>
      </c>
      <c r="AB134" s="418">
        <v>129</v>
      </c>
      <c r="AC134" s="418"/>
      <c r="AD134" s="418"/>
      <c r="AE134" s="425"/>
      <c r="AF134" s="418"/>
    </row>
    <row r="135" spans="1:32" s="21" customFormat="1" ht="43.5" customHeight="1">
      <c r="A135" s="402">
        <f t="shared" si="14"/>
        <v>133</v>
      </c>
      <c r="B135" s="395"/>
      <c r="C135" s="402">
        <v>1500</v>
      </c>
      <c r="D135" s="402">
        <v>1</v>
      </c>
      <c r="E135" s="402" t="s">
        <v>79</v>
      </c>
      <c r="F135" s="419" t="s">
        <v>204</v>
      </c>
      <c r="G135" s="402">
        <v>399</v>
      </c>
      <c r="H135" s="402" t="s">
        <v>77</v>
      </c>
      <c r="I135" s="402" t="s">
        <v>566</v>
      </c>
      <c r="J135" s="402" t="s">
        <v>567</v>
      </c>
      <c r="K135" s="402">
        <v>120</v>
      </c>
      <c r="L135" s="412" t="s">
        <v>76</v>
      </c>
      <c r="M135" s="418" t="s">
        <v>142</v>
      </c>
      <c r="N135" s="422">
        <v>76</v>
      </c>
      <c r="O135" s="422">
        <f t="shared" si="10"/>
        <v>9120</v>
      </c>
      <c r="P135" s="423"/>
      <c r="Q135" s="390" t="s">
        <v>39</v>
      </c>
      <c r="R135" s="419" t="s">
        <v>571</v>
      </c>
      <c r="S135" s="437">
        <v>45654</v>
      </c>
      <c r="T135" s="402" t="s">
        <v>572</v>
      </c>
      <c r="U135" s="419" t="s">
        <v>85</v>
      </c>
      <c r="V135" s="412"/>
      <c r="W135" s="413">
        <v>130</v>
      </c>
      <c r="X135" s="414">
        <f t="shared" si="12"/>
        <v>15600</v>
      </c>
      <c r="Y135" s="415"/>
      <c r="Z135" s="416"/>
      <c r="AA135" s="417" t="e">
        <f t="shared" si="13"/>
        <v>#DIV/0!</v>
      </c>
      <c r="AB135" s="418">
        <v>129</v>
      </c>
      <c r="AC135" s="418"/>
      <c r="AD135" s="418"/>
      <c r="AE135" s="425"/>
      <c r="AF135" s="418"/>
    </row>
    <row r="136" spans="1:32" s="21" customFormat="1" ht="43.5" customHeight="1">
      <c r="A136" s="402">
        <f t="shared" si="14"/>
        <v>134</v>
      </c>
      <c r="B136" s="395"/>
      <c r="C136" s="402">
        <v>1501</v>
      </c>
      <c r="D136" s="402">
        <v>2</v>
      </c>
      <c r="E136" s="402" t="s">
        <v>79</v>
      </c>
      <c r="F136" s="419" t="s">
        <v>204</v>
      </c>
      <c r="G136" s="402">
        <v>399</v>
      </c>
      <c r="H136" s="402" t="s">
        <v>77</v>
      </c>
      <c r="I136" s="402" t="s">
        <v>568</v>
      </c>
      <c r="J136" s="402" t="s">
        <v>188</v>
      </c>
      <c r="K136" s="402">
        <v>52</v>
      </c>
      <c r="L136" s="412" t="s">
        <v>76</v>
      </c>
      <c r="M136" s="418"/>
      <c r="N136" s="422">
        <v>83</v>
      </c>
      <c r="O136" s="422">
        <f t="shared" si="10"/>
        <v>4316</v>
      </c>
      <c r="P136" s="423"/>
      <c r="Q136" s="390" t="s">
        <v>39</v>
      </c>
      <c r="R136" s="419" t="s">
        <v>571</v>
      </c>
      <c r="S136" s="437">
        <v>45654</v>
      </c>
      <c r="T136" s="402" t="s">
        <v>572</v>
      </c>
      <c r="U136" s="419" t="s">
        <v>85</v>
      </c>
      <c r="V136" s="412"/>
      <c r="W136" s="413">
        <v>140</v>
      </c>
      <c r="X136" s="414">
        <f t="shared" si="12"/>
        <v>7280</v>
      </c>
      <c r="Y136" s="415"/>
      <c r="Z136" s="416"/>
      <c r="AA136" s="417" t="e">
        <f t="shared" si="13"/>
        <v>#DIV/0!</v>
      </c>
      <c r="AB136" s="418">
        <v>129</v>
      </c>
      <c r="AC136" s="418"/>
      <c r="AD136" s="418"/>
      <c r="AE136" s="425"/>
      <c r="AF136" s="418"/>
    </row>
    <row r="137" spans="1:32" s="21" customFormat="1" ht="43.5" customHeight="1">
      <c r="A137" s="402">
        <f t="shared" si="14"/>
        <v>135</v>
      </c>
      <c r="B137" s="395"/>
      <c r="C137" s="402">
        <v>1502</v>
      </c>
      <c r="D137" s="402">
        <v>3</v>
      </c>
      <c r="E137" s="402" t="s">
        <v>79</v>
      </c>
      <c r="F137" s="419" t="s">
        <v>204</v>
      </c>
      <c r="G137" s="402">
        <v>399</v>
      </c>
      <c r="H137" s="402" t="s">
        <v>77</v>
      </c>
      <c r="I137" s="402" t="s">
        <v>569</v>
      </c>
      <c r="J137" s="402" t="s">
        <v>570</v>
      </c>
      <c r="K137" s="402">
        <v>40</v>
      </c>
      <c r="L137" s="412" t="s">
        <v>76</v>
      </c>
      <c r="M137" s="418"/>
      <c r="N137" s="422">
        <v>88.4</v>
      </c>
      <c r="O137" s="422">
        <f t="shared" si="10"/>
        <v>3536</v>
      </c>
      <c r="P137" s="423"/>
      <c r="Q137" s="390" t="s">
        <v>39</v>
      </c>
      <c r="R137" s="419" t="s">
        <v>571</v>
      </c>
      <c r="S137" s="437">
        <v>45654</v>
      </c>
      <c r="T137" s="402" t="s">
        <v>572</v>
      </c>
      <c r="U137" s="419" t="s">
        <v>85</v>
      </c>
      <c r="V137" s="412"/>
      <c r="W137" s="413">
        <v>150</v>
      </c>
      <c r="X137" s="414">
        <f t="shared" si="12"/>
        <v>6000</v>
      </c>
      <c r="Y137" s="415"/>
      <c r="Z137" s="416"/>
      <c r="AA137" s="417" t="e">
        <f t="shared" si="13"/>
        <v>#DIV/0!</v>
      </c>
      <c r="AB137" s="418">
        <v>129</v>
      </c>
      <c r="AC137" s="418"/>
      <c r="AD137" s="418"/>
      <c r="AE137" s="425"/>
      <c r="AF137" s="418"/>
    </row>
    <row r="138" spans="1:32" s="21" customFormat="1" ht="43.5" customHeight="1">
      <c r="A138" s="402">
        <f t="shared" si="14"/>
        <v>136</v>
      </c>
      <c r="B138" s="395"/>
      <c r="C138" s="402">
        <v>1505</v>
      </c>
      <c r="D138" s="402">
        <v>1</v>
      </c>
      <c r="E138" s="402" t="s">
        <v>184</v>
      </c>
      <c r="F138" s="419" t="s">
        <v>590</v>
      </c>
      <c r="G138" s="402">
        <v>400</v>
      </c>
      <c r="H138" s="402" t="s">
        <v>140</v>
      </c>
      <c r="I138" s="402" t="s">
        <v>577</v>
      </c>
      <c r="J138" s="402" t="s">
        <v>578</v>
      </c>
      <c r="K138" s="402">
        <v>1</v>
      </c>
      <c r="L138" s="412" t="s">
        <v>125</v>
      </c>
      <c r="M138" s="418"/>
      <c r="N138" s="422">
        <v>3500</v>
      </c>
      <c r="O138" s="422">
        <f t="shared" si="10"/>
        <v>3500</v>
      </c>
      <c r="P138" s="423"/>
      <c r="Q138" s="390" t="s">
        <v>39</v>
      </c>
      <c r="R138" s="419" t="s">
        <v>579</v>
      </c>
      <c r="S138" s="437">
        <v>45657</v>
      </c>
      <c r="T138" s="402"/>
      <c r="U138" s="419" t="s">
        <v>142</v>
      </c>
      <c r="V138" s="412"/>
      <c r="W138" s="413">
        <v>6150</v>
      </c>
      <c r="X138" s="414">
        <f t="shared" si="12"/>
        <v>6150</v>
      </c>
      <c r="Y138" s="415"/>
      <c r="Z138" s="416"/>
      <c r="AA138" s="417" t="e">
        <f t="shared" si="13"/>
        <v>#DIV/0!</v>
      </c>
      <c r="AB138" s="418"/>
      <c r="AC138" s="418"/>
      <c r="AD138" s="418"/>
      <c r="AE138" s="425"/>
      <c r="AF138" s="418"/>
    </row>
    <row r="139" spans="1:32" s="21" customFormat="1" ht="43.5" customHeight="1">
      <c r="A139" s="402">
        <f t="shared" si="14"/>
        <v>137</v>
      </c>
      <c r="B139" s="395"/>
      <c r="C139" s="402">
        <v>1506</v>
      </c>
      <c r="D139" s="402">
        <v>2</v>
      </c>
      <c r="E139" s="402" t="s">
        <v>184</v>
      </c>
      <c r="F139" s="419" t="s">
        <v>623</v>
      </c>
      <c r="G139" s="402">
        <v>400</v>
      </c>
      <c r="H139" s="402" t="s">
        <v>77</v>
      </c>
      <c r="I139" s="402" t="s">
        <v>580</v>
      </c>
      <c r="J139" s="402" t="s">
        <v>581</v>
      </c>
      <c r="K139" s="402">
        <v>1</v>
      </c>
      <c r="L139" s="412" t="s">
        <v>122</v>
      </c>
      <c r="M139" s="418"/>
      <c r="N139" s="422">
        <v>850</v>
      </c>
      <c r="O139" s="422">
        <f t="shared" si="10"/>
        <v>850</v>
      </c>
      <c r="P139" s="423"/>
      <c r="Q139" s="390" t="s">
        <v>39</v>
      </c>
      <c r="R139" s="419" t="s">
        <v>579</v>
      </c>
      <c r="S139" s="437">
        <v>45657</v>
      </c>
      <c r="T139" s="402"/>
      <c r="U139" s="419" t="s">
        <v>142</v>
      </c>
      <c r="V139" s="412"/>
      <c r="W139" s="413">
        <v>3280</v>
      </c>
      <c r="X139" s="414">
        <f t="shared" si="12"/>
        <v>3280</v>
      </c>
      <c r="Y139" s="415"/>
      <c r="Z139" s="416"/>
      <c r="AA139" s="417" t="e">
        <f t="shared" si="13"/>
        <v>#DIV/0!</v>
      </c>
      <c r="AB139" s="418">
        <v>142</v>
      </c>
      <c r="AC139" s="418" t="s">
        <v>166</v>
      </c>
      <c r="AD139" s="418"/>
      <c r="AE139" s="425"/>
      <c r="AF139" s="418"/>
    </row>
    <row r="140" spans="1:32" s="21" customFormat="1" ht="43.5" customHeight="1">
      <c r="A140" s="402">
        <f t="shared" si="14"/>
        <v>138</v>
      </c>
      <c r="B140" s="395"/>
      <c r="C140" s="402">
        <v>1531</v>
      </c>
      <c r="D140" s="402">
        <v>2</v>
      </c>
      <c r="E140" s="402" t="s">
        <v>184</v>
      </c>
      <c r="F140" s="419" t="s">
        <v>196</v>
      </c>
      <c r="G140" s="402">
        <v>400</v>
      </c>
      <c r="H140" s="402" t="s">
        <v>77</v>
      </c>
      <c r="I140" s="402" t="s">
        <v>580</v>
      </c>
      <c r="J140" s="402" t="s">
        <v>581</v>
      </c>
      <c r="K140" s="402">
        <v>1</v>
      </c>
      <c r="L140" s="412" t="s">
        <v>122</v>
      </c>
      <c r="M140" s="418"/>
      <c r="N140" s="422">
        <v>850</v>
      </c>
      <c r="O140" s="422">
        <f t="shared" si="10"/>
        <v>850</v>
      </c>
      <c r="P140" s="423"/>
      <c r="Q140" s="390" t="s">
        <v>39</v>
      </c>
      <c r="R140" s="419" t="s">
        <v>579</v>
      </c>
      <c r="S140" s="437">
        <v>45657</v>
      </c>
      <c r="T140" s="402"/>
      <c r="U140" s="419" t="s">
        <v>142</v>
      </c>
      <c r="V140" s="412"/>
      <c r="W140" s="413">
        <v>3280</v>
      </c>
      <c r="X140" s="414">
        <f t="shared" si="12"/>
        <v>3280</v>
      </c>
      <c r="Y140" s="415"/>
      <c r="Z140" s="416"/>
      <c r="AA140" s="417" t="e">
        <f t="shared" si="13"/>
        <v>#DIV/0!</v>
      </c>
      <c r="AB140" s="418"/>
      <c r="AC140" s="418" t="s">
        <v>166</v>
      </c>
      <c r="AD140" s="418"/>
      <c r="AE140" s="425"/>
      <c r="AF140" s="418"/>
    </row>
    <row r="141" spans="1:32" s="21" customFormat="1" ht="43.5" customHeight="1">
      <c r="A141" s="402">
        <f t="shared" si="14"/>
        <v>139</v>
      </c>
      <c r="B141" s="395"/>
      <c r="C141" s="402">
        <v>1534</v>
      </c>
      <c r="D141" s="402">
        <v>2</v>
      </c>
      <c r="E141" s="402" t="s">
        <v>184</v>
      </c>
      <c r="F141" s="419" t="s">
        <v>680</v>
      </c>
      <c r="G141" s="402">
        <v>400</v>
      </c>
      <c r="H141" s="402" t="s">
        <v>77</v>
      </c>
      <c r="I141" s="402" t="s">
        <v>580</v>
      </c>
      <c r="J141" s="402" t="s">
        <v>581</v>
      </c>
      <c r="K141" s="402">
        <v>1</v>
      </c>
      <c r="L141" s="412" t="s">
        <v>122</v>
      </c>
      <c r="M141" s="418"/>
      <c r="N141" s="422">
        <v>1000</v>
      </c>
      <c r="O141" s="422">
        <f t="shared" si="10"/>
        <v>1000</v>
      </c>
      <c r="P141" s="423"/>
      <c r="Q141" s="390" t="s">
        <v>39</v>
      </c>
      <c r="R141" s="419" t="s">
        <v>579</v>
      </c>
      <c r="S141" s="437">
        <v>45657</v>
      </c>
      <c r="T141" s="402"/>
      <c r="U141" s="419" t="s">
        <v>142</v>
      </c>
      <c r="V141" s="412"/>
      <c r="W141" s="413">
        <v>3280</v>
      </c>
      <c r="X141" s="414">
        <f t="shared" si="12"/>
        <v>3280</v>
      </c>
      <c r="Y141" s="415"/>
      <c r="Z141" s="416"/>
      <c r="AA141" s="417" t="e">
        <f t="shared" si="13"/>
        <v>#DIV/0!</v>
      </c>
      <c r="AB141" s="418">
        <v>131</v>
      </c>
      <c r="AC141" s="418" t="s">
        <v>166</v>
      </c>
      <c r="AD141" s="418"/>
      <c r="AE141" s="425"/>
      <c r="AF141" s="418"/>
    </row>
    <row r="142" spans="1:32" s="21" customFormat="1" ht="43.5" customHeight="1">
      <c r="A142" s="402">
        <f t="shared" si="14"/>
        <v>140</v>
      </c>
      <c r="B142" s="395"/>
      <c r="C142" s="402">
        <v>1507</v>
      </c>
      <c r="D142" s="402">
        <v>3</v>
      </c>
      <c r="E142" s="402" t="s">
        <v>184</v>
      </c>
      <c r="F142" s="419" t="s">
        <v>622</v>
      </c>
      <c r="G142" s="402">
        <v>400</v>
      </c>
      <c r="H142" s="402" t="s">
        <v>77</v>
      </c>
      <c r="I142" s="402" t="s">
        <v>583</v>
      </c>
      <c r="J142" s="402" t="s">
        <v>584</v>
      </c>
      <c r="K142" s="402">
        <v>1</v>
      </c>
      <c r="L142" s="412" t="s">
        <v>125</v>
      </c>
      <c r="M142" s="418"/>
      <c r="N142" s="422">
        <v>32000</v>
      </c>
      <c r="O142" s="422">
        <f t="shared" si="10"/>
        <v>32000</v>
      </c>
      <c r="P142" s="423"/>
      <c r="Q142" s="390" t="s">
        <v>39</v>
      </c>
      <c r="R142" s="419" t="s">
        <v>579</v>
      </c>
      <c r="S142" s="437">
        <v>45657</v>
      </c>
      <c r="T142" s="402"/>
      <c r="U142" s="419" t="s">
        <v>142</v>
      </c>
      <c r="V142" s="412"/>
      <c r="W142" s="413">
        <v>67700</v>
      </c>
      <c r="X142" s="414">
        <f t="shared" si="12"/>
        <v>67700</v>
      </c>
      <c r="Y142" s="415"/>
      <c r="Z142" s="416"/>
      <c r="AA142" s="417" t="e">
        <f t="shared" si="13"/>
        <v>#DIV/0!</v>
      </c>
      <c r="AB142" s="418">
        <v>129</v>
      </c>
      <c r="AC142" s="428" t="s">
        <v>147</v>
      </c>
      <c r="AD142" s="428"/>
      <c r="AE142" s="425"/>
      <c r="AF142" s="428"/>
    </row>
    <row r="143" spans="1:32" s="21" customFormat="1" ht="43.5" customHeight="1">
      <c r="A143" s="402">
        <f t="shared" si="14"/>
        <v>141</v>
      </c>
      <c r="B143" s="395" t="s">
        <v>662</v>
      </c>
      <c r="C143" s="402">
        <v>1508</v>
      </c>
      <c r="D143" s="402">
        <v>4</v>
      </c>
      <c r="E143" s="402" t="s">
        <v>184</v>
      </c>
      <c r="F143" s="419" t="s">
        <v>661</v>
      </c>
      <c r="G143" s="402">
        <v>400</v>
      </c>
      <c r="H143" s="402" t="s">
        <v>77</v>
      </c>
      <c r="I143" s="402" t="s">
        <v>585</v>
      </c>
      <c r="J143" s="402" t="s">
        <v>586</v>
      </c>
      <c r="K143" s="402">
        <v>1</v>
      </c>
      <c r="L143" s="412" t="s">
        <v>122</v>
      </c>
      <c r="M143" s="418">
        <v>3</v>
      </c>
      <c r="N143" s="438">
        <v>1950</v>
      </c>
      <c r="O143" s="422">
        <f t="shared" si="10"/>
        <v>1950</v>
      </c>
      <c r="P143" s="423"/>
      <c r="Q143" s="389" t="s">
        <v>21</v>
      </c>
      <c r="R143" s="419" t="s">
        <v>579</v>
      </c>
      <c r="S143" s="437">
        <v>45657</v>
      </c>
      <c r="T143" s="402"/>
      <c r="U143" s="419" t="s">
        <v>142</v>
      </c>
      <c r="V143" s="412"/>
      <c r="W143" s="413">
        <v>7130</v>
      </c>
      <c r="X143" s="414">
        <f t="shared" si="12"/>
        <v>7130</v>
      </c>
      <c r="Y143" s="415"/>
      <c r="Z143" s="416"/>
      <c r="AA143" s="417" t="e">
        <f t="shared" si="13"/>
        <v>#DIV/0!</v>
      </c>
      <c r="AB143" s="418"/>
      <c r="AC143" s="418" t="s">
        <v>166</v>
      </c>
      <c r="AD143" s="418"/>
      <c r="AE143" s="425"/>
      <c r="AF143" s="418"/>
    </row>
    <row r="144" spans="1:32" s="21" customFormat="1" ht="43.5" customHeight="1">
      <c r="A144" s="402">
        <f t="shared" si="14"/>
        <v>142</v>
      </c>
      <c r="B144" s="395" t="s">
        <v>662</v>
      </c>
      <c r="C144" s="402">
        <v>1586</v>
      </c>
      <c r="D144" s="402">
        <v>4</v>
      </c>
      <c r="E144" s="402" t="s">
        <v>184</v>
      </c>
      <c r="F144" s="419" t="s">
        <v>661</v>
      </c>
      <c r="G144" s="402">
        <v>400</v>
      </c>
      <c r="H144" s="402" t="s">
        <v>77</v>
      </c>
      <c r="I144" s="402" t="s">
        <v>585</v>
      </c>
      <c r="J144" s="402" t="s">
        <v>586</v>
      </c>
      <c r="K144" s="402">
        <v>1</v>
      </c>
      <c r="L144" s="412" t="s">
        <v>122</v>
      </c>
      <c r="M144" s="418">
        <v>3</v>
      </c>
      <c r="N144" s="438">
        <v>1950</v>
      </c>
      <c r="O144" s="422">
        <f t="shared" si="10"/>
        <v>1950</v>
      </c>
      <c r="P144" s="423"/>
      <c r="Q144" s="389" t="s">
        <v>21</v>
      </c>
      <c r="R144" s="419" t="s">
        <v>579</v>
      </c>
      <c r="S144" s="437">
        <v>45657</v>
      </c>
      <c r="T144" s="402"/>
      <c r="U144" s="419" t="s">
        <v>142</v>
      </c>
      <c r="V144" s="412"/>
      <c r="W144" s="413">
        <v>7130</v>
      </c>
      <c r="X144" s="414">
        <f t="shared" si="12"/>
        <v>7130</v>
      </c>
      <c r="Y144" s="415"/>
      <c r="Z144" s="416"/>
      <c r="AA144" s="417" t="e">
        <f t="shared" si="13"/>
        <v>#DIV/0!</v>
      </c>
      <c r="AB144" s="418"/>
      <c r="AC144" s="418" t="s">
        <v>166</v>
      </c>
      <c r="AD144" s="418"/>
      <c r="AE144" s="425"/>
      <c r="AF144" s="418"/>
    </row>
    <row r="145" spans="1:32" s="21" customFormat="1" ht="43.5" customHeight="1">
      <c r="A145" s="402">
        <f t="shared" si="14"/>
        <v>143</v>
      </c>
      <c r="B145" s="395" t="s">
        <v>662</v>
      </c>
      <c r="C145" s="402">
        <v>1587</v>
      </c>
      <c r="D145" s="402">
        <v>4</v>
      </c>
      <c r="E145" s="402" t="s">
        <v>184</v>
      </c>
      <c r="F145" s="419" t="s">
        <v>660</v>
      </c>
      <c r="G145" s="402">
        <v>400</v>
      </c>
      <c r="H145" s="402" t="s">
        <v>77</v>
      </c>
      <c r="I145" s="402" t="s">
        <v>585</v>
      </c>
      <c r="J145" s="402" t="s">
        <v>586</v>
      </c>
      <c r="K145" s="402">
        <v>1</v>
      </c>
      <c r="L145" s="412" t="s">
        <v>122</v>
      </c>
      <c r="M145" s="418">
        <v>3</v>
      </c>
      <c r="N145" s="438">
        <v>3250</v>
      </c>
      <c r="O145" s="422">
        <f t="shared" si="10"/>
        <v>3250</v>
      </c>
      <c r="P145" s="423"/>
      <c r="Q145" s="390" t="s">
        <v>39</v>
      </c>
      <c r="R145" s="419" t="s">
        <v>579</v>
      </c>
      <c r="S145" s="437">
        <v>45657</v>
      </c>
      <c r="T145" s="402"/>
      <c r="U145" s="419" t="s">
        <v>142</v>
      </c>
      <c r="V145" s="412"/>
      <c r="W145" s="413">
        <v>7130</v>
      </c>
      <c r="X145" s="414">
        <f t="shared" si="12"/>
        <v>7130</v>
      </c>
      <c r="Y145" s="415"/>
      <c r="Z145" s="416">
        <v>1.28</v>
      </c>
      <c r="AA145" s="417">
        <f t="shared" si="13"/>
        <v>1.7139423076923077</v>
      </c>
      <c r="AB145" s="418">
        <v>133</v>
      </c>
      <c r="AC145" s="418" t="s">
        <v>166</v>
      </c>
      <c r="AD145" s="418" t="s">
        <v>722</v>
      </c>
      <c r="AE145" s="425"/>
      <c r="AF145" s="418"/>
    </row>
    <row r="146" spans="1:32" s="21" customFormat="1" ht="43.5" customHeight="1">
      <c r="A146" s="402">
        <f t="shared" si="14"/>
        <v>144</v>
      </c>
      <c r="B146" s="395"/>
      <c r="C146" s="402">
        <v>1519</v>
      </c>
      <c r="D146" s="402">
        <v>5</v>
      </c>
      <c r="E146" s="402" t="s">
        <v>184</v>
      </c>
      <c r="F146" s="402" t="s">
        <v>602</v>
      </c>
      <c r="G146" s="402">
        <v>400</v>
      </c>
      <c r="H146" s="402" t="s">
        <v>603</v>
      </c>
      <c r="I146" s="402">
        <v>6257</v>
      </c>
      <c r="J146" s="402" t="s">
        <v>600</v>
      </c>
      <c r="K146" s="402">
        <v>1</v>
      </c>
      <c r="L146" s="412" t="s">
        <v>601</v>
      </c>
      <c r="M146" s="418"/>
      <c r="N146" s="422">
        <v>1250</v>
      </c>
      <c r="O146" s="422">
        <f t="shared" si="10"/>
        <v>1250</v>
      </c>
      <c r="P146" s="423"/>
      <c r="Q146" s="390" t="s">
        <v>39</v>
      </c>
      <c r="R146" s="419" t="s">
        <v>579</v>
      </c>
      <c r="S146" s="437">
        <v>45665</v>
      </c>
      <c r="T146" s="402"/>
      <c r="U146" s="419" t="s">
        <v>142</v>
      </c>
      <c r="V146" s="412"/>
      <c r="W146" s="413">
        <v>2650</v>
      </c>
      <c r="X146" s="414">
        <f t="shared" si="12"/>
        <v>2650</v>
      </c>
      <c r="Y146" s="415"/>
      <c r="Z146" s="416">
        <v>1.28</v>
      </c>
      <c r="AA146" s="417">
        <f t="shared" si="13"/>
        <v>1.65625</v>
      </c>
      <c r="AB146" s="418">
        <v>131</v>
      </c>
      <c r="AC146" s="418" t="s">
        <v>166</v>
      </c>
      <c r="AD146" s="418"/>
      <c r="AE146" s="425"/>
      <c r="AF146" s="418"/>
    </row>
    <row r="147" spans="1:32" s="21" customFormat="1" ht="43.5" customHeight="1">
      <c r="A147" s="402">
        <f t="shared" si="14"/>
        <v>145</v>
      </c>
      <c r="B147" s="395" t="s">
        <v>628</v>
      </c>
      <c r="C147" s="402">
        <v>1514</v>
      </c>
      <c r="D147" s="402">
        <v>1</v>
      </c>
      <c r="E147" s="402" t="s">
        <v>184</v>
      </c>
      <c r="F147" s="402" t="s">
        <v>595</v>
      </c>
      <c r="G147" s="402">
        <v>400</v>
      </c>
      <c r="H147" s="402" t="s">
        <v>77</v>
      </c>
      <c r="I147" s="402" t="s">
        <v>594</v>
      </c>
      <c r="J147" s="402" t="s">
        <v>593</v>
      </c>
      <c r="K147" s="402">
        <v>1</v>
      </c>
      <c r="L147" s="412" t="s">
        <v>125</v>
      </c>
      <c r="M147" s="418"/>
      <c r="N147" s="422">
        <v>65000</v>
      </c>
      <c r="O147" s="422">
        <f t="shared" si="10"/>
        <v>65000</v>
      </c>
      <c r="P147" s="423"/>
      <c r="Q147" s="388" t="s">
        <v>20</v>
      </c>
      <c r="R147" s="419" t="s">
        <v>596</v>
      </c>
      <c r="S147" s="437">
        <v>45657</v>
      </c>
      <c r="T147" s="402"/>
      <c r="U147" s="419" t="s">
        <v>142</v>
      </c>
      <c r="V147" s="412"/>
      <c r="W147" s="413">
        <v>99480</v>
      </c>
      <c r="X147" s="414">
        <f t="shared" si="12"/>
        <v>99480</v>
      </c>
      <c r="Y147" s="415"/>
      <c r="Z147" s="416">
        <v>1.28</v>
      </c>
      <c r="AA147" s="417">
        <f t="shared" si="13"/>
        <v>1.195673076923077</v>
      </c>
      <c r="AB147" s="418"/>
      <c r="AC147" s="418" t="s">
        <v>166</v>
      </c>
      <c r="AD147" s="395" t="s">
        <v>685</v>
      </c>
      <c r="AE147" s="425"/>
      <c r="AF147" s="418"/>
    </row>
    <row r="148" spans="1:32" s="21" customFormat="1" ht="43.5" customHeight="1">
      <c r="A148" s="402">
        <f t="shared" si="14"/>
        <v>146</v>
      </c>
      <c r="B148" s="395"/>
      <c r="C148" s="402">
        <v>1515</v>
      </c>
      <c r="D148" s="402">
        <v>2</v>
      </c>
      <c r="E148" s="402" t="s">
        <v>184</v>
      </c>
      <c r="F148" s="402" t="s">
        <v>666</v>
      </c>
      <c r="G148" s="402">
        <v>400</v>
      </c>
      <c r="H148" s="402" t="s">
        <v>77</v>
      </c>
      <c r="I148" s="412" t="s">
        <v>598</v>
      </c>
      <c r="J148" s="402" t="s">
        <v>593</v>
      </c>
      <c r="K148" s="402">
        <v>1</v>
      </c>
      <c r="L148" s="412" t="s">
        <v>125</v>
      </c>
      <c r="M148" s="418"/>
      <c r="N148" s="422">
        <v>62500</v>
      </c>
      <c r="O148" s="422">
        <f t="shared" si="10"/>
        <v>62500</v>
      </c>
      <c r="P148" s="423"/>
      <c r="Q148" s="390" t="s">
        <v>39</v>
      </c>
      <c r="R148" s="419" t="s">
        <v>596</v>
      </c>
      <c r="S148" s="437">
        <v>45657</v>
      </c>
      <c r="T148" s="402"/>
      <c r="U148" s="419" t="s">
        <v>142</v>
      </c>
      <c r="V148" s="412" t="s">
        <v>598</v>
      </c>
      <c r="W148" s="413">
        <v>99480</v>
      </c>
      <c r="X148" s="414">
        <f t="shared" si="12"/>
        <v>99480</v>
      </c>
      <c r="Y148" s="415"/>
      <c r="Z148" s="416">
        <v>1.28</v>
      </c>
      <c r="AA148" s="417">
        <f t="shared" si="13"/>
        <v>1.2435</v>
      </c>
      <c r="AB148" s="418">
        <v>131</v>
      </c>
      <c r="AC148" s="395" t="s">
        <v>673</v>
      </c>
      <c r="AD148" s="395"/>
      <c r="AE148" s="425"/>
      <c r="AF148" s="418"/>
    </row>
    <row r="149" spans="1:32" s="21" customFormat="1" ht="43.5" customHeight="1">
      <c r="A149" s="402">
        <f t="shared" si="14"/>
        <v>147</v>
      </c>
      <c r="B149" s="395"/>
      <c r="C149" s="402">
        <v>1517</v>
      </c>
      <c r="D149" s="402">
        <v>1</v>
      </c>
      <c r="E149" s="402" t="s">
        <v>79</v>
      </c>
      <c r="F149" s="419" t="s">
        <v>589</v>
      </c>
      <c r="G149" s="402">
        <v>399</v>
      </c>
      <c r="H149" s="402" t="s">
        <v>77</v>
      </c>
      <c r="I149" s="412" t="s">
        <v>604</v>
      </c>
      <c r="J149" s="402" t="s">
        <v>378</v>
      </c>
      <c r="K149" s="402">
        <v>50</v>
      </c>
      <c r="L149" s="412" t="s">
        <v>76</v>
      </c>
      <c r="M149" s="418"/>
      <c r="N149" s="422">
        <v>17</v>
      </c>
      <c r="O149" s="422">
        <f t="shared" si="10"/>
        <v>850</v>
      </c>
      <c r="P149" s="423"/>
      <c r="Q149" s="390" t="s">
        <v>39</v>
      </c>
      <c r="R149" s="419" t="s">
        <v>605</v>
      </c>
      <c r="S149" s="437">
        <v>45665</v>
      </c>
      <c r="T149" s="402"/>
      <c r="U149" s="419" t="s">
        <v>85</v>
      </c>
      <c r="V149" s="412"/>
      <c r="W149" s="413">
        <v>36</v>
      </c>
      <c r="X149" s="414">
        <f t="shared" si="12"/>
        <v>1800</v>
      </c>
      <c r="Y149" s="415"/>
      <c r="Z149" s="416"/>
      <c r="AA149" s="417" t="e">
        <f t="shared" si="13"/>
        <v>#DIV/0!</v>
      </c>
      <c r="AB149" s="418">
        <v>134</v>
      </c>
      <c r="AC149" s="395" t="s">
        <v>664</v>
      </c>
      <c r="AD149" s="395"/>
      <c r="AE149" s="425"/>
      <c r="AF149" s="395"/>
    </row>
    <row r="150" spans="1:32" s="21" customFormat="1" ht="43.5" customHeight="1">
      <c r="A150" s="402">
        <f t="shared" si="14"/>
        <v>148</v>
      </c>
      <c r="B150" s="395"/>
      <c r="C150" s="402">
        <v>1518</v>
      </c>
      <c r="D150" s="402">
        <v>2</v>
      </c>
      <c r="E150" s="402" t="s">
        <v>79</v>
      </c>
      <c r="F150" s="402" t="s">
        <v>212</v>
      </c>
      <c r="G150" s="402">
        <v>399</v>
      </c>
      <c r="H150" s="402" t="s">
        <v>77</v>
      </c>
      <c r="I150" s="402" t="s">
        <v>606</v>
      </c>
      <c r="J150" s="402" t="s">
        <v>607</v>
      </c>
      <c r="K150" s="402">
        <v>1</v>
      </c>
      <c r="L150" s="412" t="s">
        <v>76</v>
      </c>
      <c r="M150" s="418"/>
      <c r="N150" s="422">
        <v>4500</v>
      </c>
      <c r="O150" s="422">
        <f t="shared" si="10"/>
        <v>4500</v>
      </c>
      <c r="P150" s="423"/>
      <c r="Q150" s="390" t="s">
        <v>39</v>
      </c>
      <c r="R150" s="419" t="s">
        <v>605</v>
      </c>
      <c r="S150" s="437">
        <v>45665</v>
      </c>
      <c r="T150" s="402"/>
      <c r="U150" s="419" t="s">
        <v>85</v>
      </c>
      <c r="V150" s="412"/>
      <c r="W150" s="413">
        <v>8380</v>
      </c>
      <c r="X150" s="414">
        <f t="shared" si="12"/>
        <v>8380</v>
      </c>
      <c r="Y150" s="415"/>
      <c r="Z150" s="416"/>
      <c r="AA150" s="417" t="e">
        <f t="shared" si="13"/>
        <v>#DIV/0!</v>
      </c>
      <c r="AB150" s="418">
        <v>131</v>
      </c>
      <c r="AC150" s="418"/>
      <c r="AD150" s="418"/>
      <c r="AE150" s="425"/>
      <c r="AF150" s="418"/>
    </row>
    <row r="151" spans="1:32" s="21" customFormat="1" ht="43.5" customHeight="1">
      <c r="A151" s="402">
        <f t="shared" si="14"/>
        <v>149</v>
      </c>
      <c r="B151" s="395"/>
      <c r="C151" s="402">
        <v>1525</v>
      </c>
      <c r="D151" s="402">
        <v>1</v>
      </c>
      <c r="E151" s="402" t="s">
        <v>139</v>
      </c>
      <c r="F151" s="419" t="s">
        <v>589</v>
      </c>
      <c r="G151" s="402">
        <v>402</v>
      </c>
      <c r="H151" s="402" t="s">
        <v>140</v>
      </c>
      <c r="I151" s="402" t="s">
        <v>609</v>
      </c>
      <c r="J151" s="402" t="s">
        <v>610</v>
      </c>
      <c r="K151" s="412">
        <v>1</v>
      </c>
      <c r="L151" s="412" t="s">
        <v>76</v>
      </c>
      <c r="M151" s="418"/>
      <c r="N151" s="465">
        <v>800</v>
      </c>
      <c r="O151" s="422">
        <f t="shared" si="10"/>
        <v>800</v>
      </c>
      <c r="P151" s="423"/>
      <c r="Q151" s="390" t="s">
        <v>39</v>
      </c>
      <c r="R151" s="419" t="s">
        <v>621</v>
      </c>
      <c r="S151" s="437">
        <v>45665</v>
      </c>
      <c r="T151" s="402"/>
      <c r="U151" s="419" t="s">
        <v>142</v>
      </c>
      <c r="V151" s="412"/>
      <c r="W151" s="413">
        <v>1610</v>
      </c>
      <c r="X151" s="414">
        <f t="shared" si="12"/>
        <v>1610</v>
      </c>
      <c r="Y151" s="415"/>
      <c r="Z151" s="416"/>
      <c r="AA151" s="417" t="e">
        <f t="shared" si="13"/>
        <v>#DIV/0!</v>
      </c>
      <c r="AB151" s="418">
        <v>134</v>
      </c>
      <c r="AC151" s="418"/>
      <c r="AD151" s="418"/>
      <c r="AE151" s="425"/>
      <c r="AF151" s="418"/>
    </row>
    <row r="152" spans="1:32" s="21" customFormat="1" ht="43.5" customHeight="1">
      <c r="A152" s="402">
        <f t="shared" si="14"/>
        <v>150</v>
      </c>
      <c r="B152" s="395"/>
      <c r="C152" s="402">
        <v>1526</v>
      </c>
      <c r="D152" s="402">
        <v>2</v>
      </c>
      <c r="E152" s="402" t="s">
        <v>139</v>
      </c>
      <c r="F152" s="402" t="s">
        <v>196</v>
      </c>
      <c r="G152" s="402">
        <v>402</v>
      </c>
      <c r="H152" s="402" t="s">
        <v>140</v>
      </c>
      <c r="I152" s="402" t="s">
        <v>611</v>
      </c>
      <c r="J152" s="402" t="s">
        <v>612</v>
      </c>
      <c r="K152" s="412">
        <v>1</v>
      </c>
      <c r="L152" s="412" t="s">
        <v>122</v>
      </c>
      <c r="M152" s="418"/>
      <c r="N152" s="422">
        <v>1100</v>
      </c>
      <c r="O152" s="422">
        <f t="shared" si="10"/>
        <v>1100</v>
      </c>
      <c r="P152" s="423"/>
      <c r="Q152" s="390" t="s">
        <v>39</v>
      </c>
      <c r="R152" s="419" t="s">
        <v>621</v>
      </c>
      <c r="S152" s="437">
        <v>45665</v>
      </c>
      <c r="T152" s="402"/>
      <c r="U152" s="419" t="s">
        <v>142</v>
      </c>
      <c r="V152" s="412"/>
      <c r="W152" s="413">
        <v>2250</v>
      </c>
      <c r="X152" s="414">
        <f t="shared" si="12"/>
        <v>2250</v>
      </c>
      <c r="Y152" s="415"/>
      <c r="Z152" s="416"/>
      <c r="AA152" s="417" t="e">
        <f t="shared" si="13"/>
        <v>#DIV/0!</v>
      </c>
      <c r="AB152" s="418"/>
      <c r="AC152" s="418"/>
      <c r="AD152" s="418"/>
      <c r="AE152" s="425"/>
      <c r="AF152" s="418"/>
    </row>
    <row r="153" spans="1:32" s="21" customFormat="1" ht="43.5" customHeight="1">
      <c r="A153" s="402">
        <f t="shared" si="14"/>
        <v>151</v>
      </c>
      <c r="B153" s="395"/>
      <c r="C153" s="402">
        <v>1527</v>
      </c>
      <c r="D153" s="402">
        <v>3</v>
      </c>
      <c r="E153" s="402" t="s">
        <v>139</v>
      </c>
      <c r="F153" s="402" t="s">
        <v>196</v>
      </c>
      <c r="G153" s="402">
        <v>402</v>
      </c>
      <c r="H153" s="402" t="s">
        <v>140</v>
      </c>
      <c r="I153" s="402" t="s">
        <v>613</v>
      </c>
      <c r="J153" s="402" t="s">
        <v>614</v>
      </c>
      <c r="K153" s="412">
        <v>3</v>
      </c>
      <c r="L153" s="412" t="s">
        <v>91</v>
      </c>
      <c r="M153" s="418"/>
      <c r="N153" s="422">
        <v>300</v>
      </c>
      <c r="O153" s="422">
        <f t="shared" si="10"/>
        <v>900</v>
      </c>
      <c r="P153" s="423"/>
      <c r="Q153" s="390" t="s">
        <v>39</v>
      </c>
      <c r="R153" s="419" t="s">
        <v>621</v>
      </c>
      <c r="S153" s="437">
        <v>45665</v>
      </c>
      <c r="T153" s="402"/>
      <c r="U153" s="419" t="s">
        <v>142</v>
      </c>
      <c r="V153" s="412"/>
      <c r="W153" s="413">
        <v>635</v>
      </c>
      <c r="X153" s="414">
        <f t="shared" si="12"/>
        <v>1905</v>
      </c>
      <c r="Y153" s="415"/>
      <c r="Z153" s="416"/>
      <c r="AA153" s="417" t="e">
        <f t="shared" si="13"/>
        <v>#DIV/0!</v>
      </c>
      <c r="AB153" s="418">
        <v>134</v>
      </c>
      <c r="AC153" s="418"/>
      <c r="AD153" s="418"/>
      <c r="AE153" s="425"/>
      <c r="AF153" s="418"/>
    </row>
    <row r="154" spans="1:32" s="21" customFormat="1" ht="43.5" customHeight="1">
      <c r="A154" s="402">
        <f t="shared" si="14"/>
        <v>152</v>
      </c>
      <c r="B154" s="395"/>
      <c r="C154" s="402">
        <v>1527</v>
      </c>
      <c r="D154" s="402">
        <v>3</v>
      </c>
      <c r="E154" s="402" t="s">
        <v>139</v>
      </c>
      <c r="F154" s="402" t="s">
        <v>196</v>
      </c>
      <c r="G154" s="402">
        <v>402</v>
      </c>
      <c r="H154" s="402" t="s">
        <v>140</v>
      </c>
      <c r="I154" s="402" t="s">
        <v>613</v>
      </c>
      <c r="J154" s="402" t="s">
        <v>614</v>
      </c>
      <c r="K154" s="412">
        <v>1</v>
      </c>
      <c r="L154" s="412" t="s">
        <v>91</v>
      </c>
      <c r="M154" s="418"/>
      <c r="N154" s="422">
        <v>300</v>
      </c>
      <c r="O154" s="422">
        <f t="shared" si="10"/>
        <v>300</v>
      </c>
      <c r="P154" s="423"/>
      <c r="Q154" s="392" t="s">
        <v>22</v>
      </c>
      <c r="R154" s="419" t="s">
        <v>621</v>
      </c>
      <c r="S154" s="437">
        <v>45665</v>
      </c>
      <c r="T154" s="402"/>
      <c r="U154" s="419" t="s">
        <v>142</v>
      </c>
      <c r="V154" s="412"/>
      <c r="W154" s="413">
        <v>635</v>
      </c>
      <c r="X154" s="414">
        <f t="shared" si="12"/>
        <v>635</v>
      </c>
      <c r="Y154" s="415"/>
      <c r="Z154" s="416"/>
      <c r="AA154" s="417" t="e">
        <f t="shared" si="13"/>
        <v>#DIV/0!</v>
      </c>
      <c r="AB154" s="418"/>
      <c r="AC154" s="418"/>
      <c r="AD154" s="418"/>
      <c r="AE154" s="425"/>
      <c r="AF154" s="418"/>
    </row>
    <row r="155" spans="1:32" s="21" customFormat="1" ht="43.5" customHeight="1">
      <c r="A155" s="402">
        <f t="shared" si="14"/>
        <v>153</v>
      </c>
      <c r="B155" s="395"/>
      <c r="C155" s="402">
        <v>1528</v>
      </c>
      <c r="D155" s="402">
        <v>4</v>
      </c>
      <c r="E155" s="402" t="s">
        <v>139</v>
      </c>
      <c r="F155" s="402" t="s">
        <v>196</v>
      </c>
      <c r="G155" s="402">
        <v>402</v>
      </c>
      <c r="H155" s="402" t="s">
        <v>140</v>
      </c>
      <c r="I155" s="402" t="s">
        <v>615</v>
      </c>
      <c r="J155" s="402" t="s">
        <v>616</v>
      </c>
      <c r="K155" s="412">
        <v>1</v>
      </c>
      <c r="L155" s="412" t="s">
        <v>91</v>
      </c>
      <c r="M155" s="418"/>
      <c r="N155" s="422">
        <v>62.91</v>
      </c>
      <c r="O155" s="422">
        <f t="shared" si="10"/>
        <v>62.91</v>
      </c>
      <c r="P155" s="423"/>
      <c r="Q155" s="390" t="s">
        <v>39</v>
      </c>
      <c r="R155" s="419" t="s">
        <v>621</v>
      </c>
      <c r="S155" s="437">
        <v>45665</v>
      </c>
      <c r="T155" s="402"/>
      <c r="U155" s="419" t="s">
        <v>142</v>
      </c>
      <c r="V155" s="412"/>
      <c r="W155" s="413">
        <v>255</v>
      </c>
      <c r="X155" s="414">
        <f t="shared" si="12"/>
        <v>255</v>
      </c>
      <c r="Y155" s="415"/>
      <c r="Z155" s="416"/>
      <c r="AA155" s="417" t="e">
        <f t="shared" si="13"/>
        <v>#DIV/0!</v>
      </c>
      <c r="AB155" s="418">
        <v>134</v>
      </c>
      <c r="AC155" s="418"/>
      <c r="AD155" s="418"/>
      <c r="AE155" s="425"/>
      <c r="AF155" s="418"/>
    </row>
    <row r="156" spans="1:32" s="21" customFormat="1" ht="43.5" customHeight="1">
      <c r="A156" s="402">
        <f t="shared" si="14"/>
        <v>154</v>
      </c>
      <c r="B156" s="395"/>
      <c r="C156" s="402">
        <v>1529</v>
      </c>
      <c r="D156" s="402">
        <v>5</v>
      </c>
      <c r="E156" s="402" t="s">
        <v>139</v>
      </c>
      <c r="F156" s="402" t="s">
        <v>196</v>
      </c>
      <c r="G156" s="402">
        <v>402</v>
      </c>
      <c r="H156" s="402" t="s">
        <v>140</v>
      </c>
      <c r="I156" s="402" t="s">
        <v>617</v>
      </c>
      <c r="J156" s="402" t="s">
        <v>618</v>
      </c>
      <c r="K156" s="412">
        <v>1</v>
      </c>
      <c r="L156" s="412" t="s">
        <v>91</v>
      </c>
      <c r="M156" s="418"/>
      <c r="N156" s="422">
        <v>4500</v>
      </c>
      <c r="O156" s="422">
        <f t="shared" si="10"/>
        <v>4500</v>
      </c>
      <c r="P156" s="423"/>
      <c r="Q156" s="390" t="s">
        <v>39</v>
      </c>
      <c r="R156" s="419" t="s">
        <v>621</v>
      </c>
      <c r="S156" s="437">
        <v>45665</v>
      </c>
      <c r="T156" s="402"/>
      <c r="U156" s="419" t="s">
        <v>142</v>
      </c>
      <c r="V156" s="412"/>
      <c r="W156" s="413">
        <v>7050</v>
      </c>
      <c r="X156" s="414">
        <f t="shared" si="12"/>
        <v>7050</v>
      </c>
      <c r="Y156" s="415"/>
      <c r="Z156" s="416"/>
      <c r="AA156" s="417" t="e">
        <f t="shared" si="13"/>
        <v>#DIV/0!</v>
      </c>
      <c r="AB156" s="418">
        <v>134</v>
      </c>
      <c r="AC156" s="418"/>
      <c r="AD156" s="418"/>
      <c r="AE156" s="425"/>
      <c r="AF156" s="418"/>
    </row>
    <row r="157" spans="1:32" s="21" customFormat="1" ht="43.5" customHeight="1">
      <c r="A157" s="402">
        <f t="shared" si="14"/>
        <v>155</v>
      </c>
      <c r="B157" s="395"/>
      <c r="C157" s="402">
        <v>1530</v>
      </c>
      <c r="D157" s="402">
        <v>6</v>
      </c>
      <c r="E157" s="402" t="s">
        <v>139</v>
      </c>
      <c r="F157" s="402" t="s">
        <v>196</v>
      </c>
      <c r="G157" s="402">
        <v>402</v>
      </c>
      <c r="H157" s="402" t="s">
        <v>140</v>
      </c>
      <c r="I157" s="402" t="s">
        <v>619</v>
      </c>
      <c r="J157" s="402" t="s">
        <v>620</v>
      </c>
      <c r="K157" s="412">
        <v>1</v>
      </c>
      <c r="L157" s="412" t="s">
        <v>91</v>
      </c>
      <c r="M157" s="418"/>
      <c r="N157" s="422">
        <v>53.59</v>
      </c>
      <c r="O157" s="422">
        <f t="shared" si="10"/>
        <v>53.59</v>
      </c>
      <c r="P157" s="423"/>
      <c r="Q157" s="388" t="s">
        <v>20</v>
      </c>
      <c r="R157" s="419" t="s">
        <v>621</v>
      </c>
      <c r="S157" s="437">
        <v>45665</v>
      </c>
      <c r="T157" s="402"/>
      <c r="U157" s="419" t="s">
        <v>142</v>
      </c>
      <c r="V157" s="412"/>
      <c r="W157" s="413">
        <v>0</v>
      </c>
      <c r="X157" s="414">
        <f t="shared" si="12"/>
        <v>0</v>
      </c>
      <c r="Y157" s="415"/>
      <c r="Z157" s="416"/>
      <c r="AA157" s="417" t="e">
        <f t="shared" si="13"/>
        <v>#DIV/0!</v>
      </c>
      <c r="AB157" s="418"/>
      <c r="AC157" s="395" t="s">
        <v>624</v>
      </c>
      <c r="AD157" s="418"/>
      <c r="AE157" s="425"/>
      <c r="AF157" s="418"/>
    </row>
    <row r="158" spans="1:32" s="21" customFormat="1" ht="43.5" customHeight="1">
      <c r="A158" s="402">
        <f t="shared" si="14"/>
        <v>156</v>
      </c>
      <c r="B158" s="395" t="s">
        <v>637</v>
      </c>
      <c r="C158" s="402">
        <v>1584</v>
      </c>
      <c r="D158" s="402">
        <v>1</v>
      </c>
      <c r="E158" s="402" t="s">
        <v>79</v>
      </c>
      <c r="F158" s="418" t="s">
        <v>636</v>
      </c>
      <c r="G158" s="402">
        <v>399</v>
      </c>
      <c r="H158" s="402" t="s">
        <v>635</v>
      </c>
      <c r="I158" s="402" t="s">
        <v>783</v>
      </c>
      <c r="J158" s="402" t="s">
        <v>242</v>
      </c>
      <c r="K158" s="402">
        <v>10</v>
      </c>
      <c r="L158" s="412" t="s">
        <v>76</v>
      </c>
      <c r="M158" s="418"/>
      <c r="N158" s="422">
        <v>48</v>
      </c>
      <c r="O158" s="422">
        <f t="shared" si="10"/>
        <v>480</v>
      </c>
      <c r="P158" s="423"/>
      <c r="Q158" s="390" t="s">
        <v>39</v>
      </c>
      <c r="R158" s="419" t="s">
        <v>633</v>
      </c>
      <c r="S158" s="437">
        <v>45675</v>
      </c>
      <c r="T158" s="402" t="s">
        <v>634</v>
      </c>
      <c r="U158" s="419" t="s">
        <v>81</v>
      </c>
      <c r="V158" s="412"/>
      <c r="W158" s="413">
        <v>100</v>
      </c>
      <c r="X158" s="414">
        <f t="shared" si="12"/>
        <v>1000</v>
      </c>
      <c r="Y158" s="415"/>
      <c r="Z158" s="416"/>
      <c r="AA158" s="417" t="e">
        <f t="shared" si="13"/>
        <v>#DIV/0!</v>
      </c>
      <c r="AB158" s="418">
        <v>129</v>
      </c>
      <c r="AC158" s="418"/>
      <c r="AD158" s="418"/>
      <c r="AE158" s="425"/>
      <c r="AF158" s="418"/>
    </row>
    <row r="159" spans="1:32" s="21" customFormat="1" ht="43.5" customHeight="1">
      <c r="A159" s="402">
        <f t="shared" si="14"/>
        <v>157</v>
      </c>
      <c r="B159" s="395"/>
      <c r="C159" s="402">
        <v>1589</v>
      </c>
      <c r="D159" s="402">
        <v>1</v>
      </c>
      <c r="E159" s="402" t="s">
        <v>201</v>
      </c>
      <c r="F159" s="402" t="s">
        <v>138</v>
      </c>
      <c r="G159" s="402">
        <v>406</v>
      </c>
      <c r="H159" s="402" t="s">
        <v>140</v>
      </c>
      <c r="I159" s="402" t="s">
        <v>649</v>
      </c>
      <c r="J159" s="402" t="s">
        <v>653</v>
      </c>
      <c r="K159" s="402">
        <v>16800</v>
      </c>
      <c r="L159" s="412" t="s">
        <v>76</v>
      </c>
      <c r="M159" s="418"/>
      <c r="N159" s="422">
        <v>0.08</v>
      </c>
      <c r="O159" s="422">
        <f t="shared" si="10"/>
        <v>1344</v>
      </c>
      <c r="P159" s="423"/>
      <c r="Q159" s="390" t="s">
        <v>39</v>
      </c>
      <c r="R159" s="419" t="s">
        <v>784</v>
      </c>
      <c r="S159" s="437" t="s">
        <v>785</v>
      </c>
      <c r="T159" s="402"/>
      <c r="U159" s="419"/>
      <c r="V159" s="412"/>
      <c r="W159" s="466">
        <v>0.25</v>
      </c>
      <c r="X159" s="414">
        <f t="shared" si="12"/>
        <v>4200</v>
      </c>
      <c r="Y159" s="415"/>
      <c r="Z159" s="416"/>
      <c r="AA159" s="417" t="e">
        <f t="shared" si="13"/>
        <v>#DIV/0!</v>
      </c>
      <c r="AB159" s="418">
        <v>144</v>
      </c>
      <c r="AC159" s="418"/>
      <c r="AD159" s="418"/>
      <c r="AE159" s="425"/>
      <c r="AF159" s="418"/>
    </row>
    <row r="160" spans="1:32" s="21" customFormat="1" ht="43.5" customHeight="1">
      <c r="A160" s="402">
        <f t="shared" si="14"/>
        <v>158</v>
      </c>
      <c r="B160" s="395"/>
      <c r="C160" s="402">
        <v>1590</v>
      </c>
      <c r="D160" s="402">
        <v>2</v>
      </c>
      <c r="E160" s="402" t="s">
        <v>201</v>
      </c>
      <c r="F160" s="402" t="s">
        <v>138</v>
      </c>
      <c r="G160" s="402">
        <v>406</v>
      </c>
      <c r="H160" s="402" t="s">
        <v>140</v>
      </c>
      <c r="I160" s="402" t="s">
        <v>650</v>
      </c>
      <c r="J160" s="402" t="s">
        <v>651</v>
      </c>
      <c r="K160" s="402">
        <v>3500</v>
      </c>
      <c r="L160" s="412" t="s">
        <v>76</v>
      </c>
      <c r="M160" s="418"/>
      <c r="N160" s="422">
        <v>2.35</v>
      </c>
      <c r="O160" s="422">
        <f t="shared" si="10"/>
        <v>8225</v>
      </c>
      <c r="P160" s="423"/>
      <c r="Q160" s="390" t="s">
        <v>39</v>
      </c>
      <c r="R160" s="419" t="s">
        <v>784</v>
      </c>
      <c r="S160" s="437" t="s">
        <v>785</v>
      </c>
      <c r="T160" s="402"/>
      <c r="U160" s="419"/>
      <c r="V160" s="412"/>
      <c r="W160" s="466">
        <v>4.0999999999999996</v>
      </c>
      <c r="X160" s="414">
        <f t="shared" si="12"/>
        <v>14349.999999999998</v>
      </c>
      <c r="Y160" s="415"/>
      <c r="Z160" s="416"/>
      <c r="AA160" s="417" t="e">
        <f t="shared" si="13"/>
        <v>#DIV/0!</v>
      </c>
      <c r="AB160" s="418">
        <v>140</v>
      </c>
      <c r="AC160" s="418"/>
      <c r="AD160" s="418"/>
      <c r="AE160" s="425"/>
      <c r="AF160" s="418"/>
    </row>
    <row r="161" spans="1:32" s="21" customFormat="1" ht="43.5" customHeight="1">
      <c r="A161" s="402">
        <f t="shared" si="14"/>
        <v>159</v>
      </c>
      <c r="B161" s="395"/>
      <c r="C161" s="402">
        <v>1591</v>
      </c>
      <c r="D161" s="402">
        <v>3</v>
      </c>
      <c r="E161" s="402" t="s">
        <v>201</v>
      </c>
      <c r="F161" s="402" t="s">
        <v>138</v>
      </c>
      <c r="G161" s="402">
        <v>406</v>
      </c>
      <c r="H161" s="402" t="s">
        <v>140</v>
      </c>
      <c r="I161" s="402" t="s">
        <v>234</v>
      </c>
      <c r="J161" s="402" t="s">
        <v>652</v>
      </c>
      <c r="K161" s="402">
        <v>1000</v>
      </c>
      <c r="L161" s="412" t="s">
        <v>76</v>
      </c>
      <c r="M161" s="418"/>
      <c r="N161" s="422">
        <v>0.05</v>
      </c>
      <c r="O161" s="422">
        <f t="shared" si="10"/>
        <v>50</v>
      </c>
      <c r="P161" s="423"/>
      <c r="Q161" s="390" t="s">
        <v>39</v>
      </c>
      <c r="R161" s="419" t="s">
        <v>784</v>
      </c>
      <c r="S161" s="437" t="s">
        <v>785</v>
      </c>
      <c r="T161" s="402"/>
      <c r="U161" s="419"/>
      <c r="V161" s="412"/>
      <c r="W161" s="466">
        <v>0.4</v>
      </c>
      <c r="X161" s="414">
        <f>W161*M161</f>
        <v>0</v>
      </c>
      <c r="Y161" s="415"/>
      <c r="Z161" s="416"/>
      <c r="AA161" s="417" t="e">
        <f t="shared" si="13"/>
        <v>#DIV/0!</v>
      </c>
      <c r="AB161" s="418">
        <v>140</v>
      </c>
      <c r="AC161" s="402" t="s">
        <v>916</v>
      </c>
      <c r="AD161" s="418"/>
      <c r="AE161" s="425"/>
      <c r="AF161" s="418"/>
    </row>
    <row r="162" spans="1:32" s="21" customFormat="1" ht="43.5" customHeight="1">
      <c r="A162" s="402">
        <f t="shared" si="14"/>
        <v>160</v>
      </c>
      <c r="B162" s="395"/>
      <c r="C162" s="402">
        <v>1592</v>
      </c>
      <c r="D162" s="402">
        <v>4</v>
      </c>
      <c r="E162" s="402" t="s">
        <v>201</v>
      </c>
      <c r="F162" s="402" t="s">
        <v>138</v>
      </c>
      <c r="G162" s="402">
        <v>406</v>
      </c>
      <c r="H162" s="402" t="s">
        <v>140</v>
      </c>
      <c r="I162" s="402" t="s">
        <v>235</v>
      </c>
      <c r="J162" s="402" t="s">
        <v>236</v>
      </c>
      <c r="K162" s="402">
        <v>229</v>
      </c>
      <c r="L162" s="412" t="s">
        <v>76</v>
      </c>
      <c r="M162" s="418"/>
      <c r="N162" s="422">
        <v>1.87</v>
      </c>
      <c r="O162" s="422">
        <f t="shared" ref="O162:O225" si="15">N162*K162</f>
        <v>428.23</v>
      </c>
      <c r="P162" s="423"/>
      <c r="Q162" s="390" t="s">
        <v>39</v>
      </c>
      <c r="R162" s="419" t="s">
        <v>784</v>
      </c>
      <c r="S162" s="437" t="s">
        <v>785</v>
      </c>
      <c r="T162" s="402"/>
      <c r="U162" s="419"/>
      <c r="V162" s="412"/>
      <c r="W162" s="466">
        <v>3.4</v>
      </c>
      <c r="X162" s="414">
        <f>W162*K162</f>
        <v>778.6</v>
      </c>
      <c r="Y162" s="415"/>
      <c r="Z162" s="416"/>
      <c r="AA162" s="417" t="e">
        <f t="shared" si="13"/>
        <v>#DIV/0!</v>
      </c>
      <c r="AB162" s="418">
        <v>140</v>
      </c>
      <c r="AC162" s="418"/>
      <c r="AD162" s="418"/>
      <c r="AE162" s="425"/>
      <c r="AF162" s="418"/>
    </row>
    <row r="163" spans="1:32" s="21" customFormat="1" ht="43.5" customHeight="1">
      <c r="A163" s="402">
        <f t="shared" si="14"/>
        <v>161</v>
      </c>
      <c r="B163" s="395"/>
      <c r="C163" s="402">
        <v>1593</v>
      </c>
      <c r="D163" s="402">
        <v>5</v>
      </c>
      <c r="E163" s="402" t="s">
        <v>201</v>
      </c>
      <c r="F163" s="402" t="s">
        <v>138</v>
      </c>
      <c r="G163" s="402">
        <v>406</v>
      </c>
      <c r="H163" s="402" t="s">
        <v>140</v>
      </c>
      <c r="I163" s="402" t="s">
        <v>239</v>
      </c>
      <c r="J163" s="402" t="s">
        <v>240</v>
      </c>
      <c r="K163" s="402">
        <v>400</v>
      </c>
      <c r="L163" s="412" t="s">
        <v>76</v>
      </c>
      <c r="M163" s="418"/>
      <c r="N163" s="422">
        <v>0.13</v>
      </c>
      <c r="O163" s="422">
        <f t="shared" si="15"/>
        <v>52</v>
      </c>
      <c r="P163" s="423"/>
      <c r="Q163" s="390" t="s">
        <v>39</v>
      </c>
      <c r="R163" s="419" t="s">
        <v>784</v>
      </c>
      <c r="S163" s="437" t="s">
        <v>785</v>
      </c>
      <c r="T163" s="402"/>
      <c r="U163" s="419"/>
      <c r="V163" s="412"/>
      <c r="W163" s="466">
        <v>0.9</v>
      </c>
      <c r="X163" s="414">
        <f>W163*M163</f>
        <v>0</v>
      </c>
      <c r="Y163" s="415"/>
      <c r="Z163" s="416"/>
      <c r="AA163" s="417" t="e">
        <f t="shared" si="13"/>
        <v>#DIV/0!</v>
      </c>
      <c r="AB163" s="418">
        <v>140</v>
      </c>
      <c r="AC163" s="402">
        <v>200</v>
      </c>
      <c r="AD163" s="418"/>
      <c r="AE163" s="425"/>
      <c r="AF163" s="418"/>
    </row>
    <row r="164" spans="1:32" s="21" customFormat="1" ht="43.5" customHeight="1">
      <c r="A164" s="402">
        <f t="shared" si="14"/>
        <v>162</v>
      </c>
      <c r="B164" s="395"/>
      <c r="C164" s="402">
        <v>1594</v>
      </c>
      <c r="D164" s="402">
        <v>6</v>
      </c>
      <c r="E164" s="402" t="s">
        <v>201</v>
      </c>
      <c r="F164" s="402" t="s">
        <v>138</v>
      </c>
      <c r="G164" s="402">
        <v>406</v>
      </c>
      <c r="H164" s="402" t="s">
        <v>140</v>
      </c>
      <c r="I164" s="402" t="s">
        <v>241</v>
      </c>
      <c r="J164" s="402" t="s">
        <v>240</v>
      </c>
      <c r="K164" s="402">
        <v>1000</v>
      </c>
      <c r="L164" s="412" t="s">
        <v>76</v>
      </c>
      <c r="M164" s="418"/>
      <c r="N164" s="422">
        <v>0.05</v>
      </c>
      <c r="O164" s="422">
        <f t="shared" si="15"/>
        <v>50</v>
      </c>
      <c r="P164" s="423"/>
      <c r="Q164" s="390" t="s">
        <v>39</v>
      </c>
      <c r="R164" s="419" t="s">
        <v>784</v>
      </c>
      <c r="S164" s="437" t="s">
        <v>785</v>
      </c>
      <c r="T164" s="402"/>
      <c r="U164" s="419"/>
      <c r="V164" s="412"/>
      <c r="W164" s="466">
        <v>0.4</v>
      </c>
      <c r="X164" s="414">
        <f>W164*M164</f>
        <v>0</v>
      </c>
      <c r="Y164" s="415"/>
      <c r="Z164" s="416"/>
      <c r="AA164" s="417" t="e">
        <f t="shared" si="13"/>
        <v>#DIV/0!</v>
      </c>
      <c r="AB164" s="418">
        <v>140</v>
      </c>
      <c r="AC164" s="402">
        <v>500</v>
      </c>
      <c r="AD164" s="418"/>
      <c r="AE164" s="425"/>
      <c r="AF164" s="418"/>
    </row>
    <row r="165" spans="1:32" s="21" customFormat="1" ht="43.5" customHeight="1">
      <c r="A165" s="402">
        <f t="shared" si="14"/>
        <v>163</v>
      </c>
      <c r="B165" s="395" t="s">
        <v>387</v>
      </c>
      <c r="C165" s="402">
        <v>1588</v>
      </c>
      <c r="D165" s="402">
        <v>1</v>
      </c>
      <c r="E165" s="402" t="s">
        <v>79</v>
      </c>
      <c r="F165" s="418" t="s">
        <v>514</v>
      </c>
      <c r="G165" s="402">
        <v>407</v>
      </c>
      <c r="H165" s="402" t="s">
        <v>77</v>
      </c>
      <c r="I165" s="402" t="s">
        <v>655</v>
      </c>
      <c r="J165" s="402" t="s">
        <v>656</v>
      </c>
      <c r="K165" s="402">
        <v>1</v>
      </c>
      <c r="L165" s="412" t="s">
        <v>125</v>
      </c>
      <c r="M165" s="418"/>
      <c r="N165" s="422">
        <v>36960</v>
      </c>
      <c r="O165" s="422">
        <f t="shared" si="15"/>
        <v>36960</v>
      </c>
      <c r="P165" s="423"/>
      <c r="Q165" s="390" t="s">
        <v>39</v>
      </c>
      <c r="R165" s="419" t="s">
        <v>658</v>
      </c>
      <c r="S165" s="437">
        <v>45678</v>
      </c>
      <c r="T165" s="402" t="s">
        <v>659</v>
      </c>
      <c r="U165" s="419" t="s">
        <v>85</v>
      </c>
      <c r="V165" s="412"/>
      <c r="W165" s="413">
        <v>78960</v>
      </c>
      <c r="X165" s="414">
        <f>W165*K165</f>
        <v>78960</v>
      </c>
      <c r="Y165" s="415"/>
      <c r="Z165" s="416"/>
      <c r="AA165" s="417" t="e">
        <f t="shared" si="13"/>
        <v>#DIV/0!</v>
      </c>
      <c r="AB165" s="418">
        <v>136</v>
      </c>
      <c r="AC165" s="402" t="s">
        <v>657</v>
      </c>
      <c r="AD165" s="402"/>
      <c r="AE165" s="425"/>
      <c r="AF165" s="418"/>
    </row>
    <row r="166" spans="1:32" s="21" customFormat="1" ht="43.5" customHeight="1">
      <c r="A166" s="402">
        <f t="shared" si="14"/>
        <v>164</v>
      </c>
      <c r="B166" s="395"/>
      <c r="C166" s="411"/>
      <c r="D166" s="402">
        <v>1</v>
      </c>
      <c r="E166" s="402" t="s">
        <v>192</v>
      </c>
      <c r="F166" s="402" t="s">
        <v>247</v>
      </c>
      <c r="G166" s="402">
        <v>396</v>
      </c>
      <c r="H166" s="402" t="s">
        <v>140</v>
      </c>
      <c r="I166" s="402" t="s">
        <v>248</v>
      </c>
      <c r="J166" s="402" t="s">
        <v>249</v>
      </c>
      <c r="K166" s="402">
        <v>72</v>
      </c>
      <c r="L166" s="412" t="s">
        <v>125</v>
      </c>
      <c r="M166" s="418"/>
      <c r="N166" s="422">
        <v>3650</v>
      </c>
      <c r="O166" s="422">
        <f t="shared" si="15"/>
        <v>262800</v>
      </c>
      <c r="P166" s="423"/>
      <c r="Q166" s="390" t="s">
        <v>39</v>
      </c>
      <c r="R166" s="419"/>
      <c r="S166" s="437"/>
      <c r="T166" s="402"/>
      <c r="U166" s="419"/>
      <c r="V166" s="412"/>
      <c r="W166" s="413">
        <v>6000</v>
      </c>
      <c r="X166" s="414">
        <f>W166*K166</f>
        <v>432000</v>
      </c>
      <c r="Y166" s="415"/>
      <c r="Z166" s="416"/>
      <c r="AA166" s="417" t="e">
        <f t="shared" si="13"/>
        <v>#DIV/0!</v>
      </c>
      <c r="AB166" s="418"/>
      <c r="AC166" s="418"/>
      <c r="AD166" s="418"/>
      <c r="AE166" s="425"/>
      <c r="AF166" s="418"/>
    </row>
    <row r="167" spans="1:32" s="21" customFormat="1" ht="43.5" customHeight="1">
      <c r="A167" s="402">
        <f t="shared" si="14"/>
        <v>165</v>
      </c>
      <c r="B167" s="395"/>
      <c r="C167" s="402">
        <v>1610</v>
      </c>
      <c r="D167" s="402">
        <v>1</v>
      </c>
      <c r="E167" s="402" t="s">
        <v>209</v>
      </c>
      <c r="F167" s="402" t="s">
        <v>233</v>
      </c>
      <c r="G167" s="402">
        <v>411</v>
      </c>
      <c r="H167" s="402" t="s">
        <v>140</v>
      </c>
      <c r="I167" s="402" t="s">
        <v>675</v>
      </c>
      <c r="J167" s="402" t="s">
        <v>676</v>
      </c>
      <c r="K167" s="402">
        <v>10</v>
      </c>
      <c r="L167" s="412" t="s">
        <v>76</v>
      </c>
      <c r="M167" s="418"/>
      <c r="N167" s="422">
        <v>66.180000000000007</v>
      </c>
      <c r="O167" s="422">
        <f t="shared" si="15"/>
        <v>661.80000000000007</v>
      </c>
      <c r="P167" s="423"/>
      <c r="Q167" s="390" t="s">
        <v>39</v>
      </c>
      <c r="R167" s="467" t="s">
        <v>676</v>
      </c>
      <c r="S167" s="437"/>
      <c r="T167" s="402"/>
      <c r="U167" s="419"/>
      <c r="V167" s="412"/>
      <c r="W167" s="413">
        <v>105</v>
      </c>
      <c r="X167" s="414">
        <f>W167*K167</f>
        <v>1050</v>
      </c>
      <c r="Y167" s="415"/>
      <c r="Z167" s="416"/>
      <c r="AA167" s="417" t="e">
        <f t="shared" si="13"/>
        <v>#DIV/0!</v>
      </c>
      <c r="AB167" s="418">
        <v>131</v>
      </c>
      <c r="AC167" s="418"/>
      <c r="AD167" s="418"/>
      <c r="AE167" s="425"/>
      <c r="AF167" s="418"/>
    </row>
    <row r="168" spans="1:32" s="21" customFormat="1" ht="43.5" customHeight="1">
      <c r="A168" s="402">
        <f t="shared" si="14"/>
        <v>166</v>
      </c>
      <c r="B168" s="395"/>
      <c r="C168" s="402">
        <v>1611</v>
      </c>
      <c r="D168" s="402">
        <v>2</v>
      </c>
      <c r="E168" s="402" t="s">
        <v>209</v>
      </c>
      <c r="F168" s="402" t="s">
        <v>233</v>
      </c>
      <c r="G168" s="402">
        <v>411</v>
      </c>
      <c r="H168" s="402" t="s">
        <v>140</v>
      </c>
      <c r="I168" s="402" t="s">
        <v>677</v>
      </c>
      <c r="J168" s="402" t="s">
        <v>678</v>
      </c>
      <c r="K168" s="402">
        <v>10</v>
      </c>
      <c r="L168" s="412" t="s">
        <v>76</v>
      </c>
      <c r="M168" s="418"/>
      <c r="N168" s="422">
        <v>15.73</v>
      </c>
      <c r="O168" s="422">
        <f t="shared" si="15"/>
        <v>157.30000000000001</v>
      </c>
      <c r="P168" s="423"/>
      <c r="Q168" s="390" t="s">
        <v>39</v>
      </c>
      <c r="R168" s="467" t="s">
        <v>676</v>
      </c>
      <c r="S168" s="437"/>
      <c r="T168" s="402"/>
      <c r="U168" s="419"/>
      <c r="V168" s="412"/>
      <c r="W168" s="413">
        <v>175</v>
      </c>
      <c r="X168" s="414">
        <f>W168*K168</f>
        <v>1750</v>
      </c>
      <c r="Y168" s="415"/>
      <c r="Z168" s="416"/>
      <c r="AA168" s="417" t="e">
        <f t="shared" si="13"/>
        <v>#DIV/0!</v>
      </c>
      <c r="AB168" s="418">
        <v>131</v>
      </c>
      <c r="AC168" s="418"/>
      <c r="AD168" s="418"/>
      <c r="AE168" s="425"/>
      <c r="AF168" s="418"/>
    </row>
    <row r="169" spans="1:32" s="21" customFormat="1" ht="43.5" customHeight="1">
      <c r="A169" s="402">
        <f t="shared" si="14"/>
        <v>167</v>
      </c>
      <c r="B169" s="395"/>
      <c r="C169" s="402">
        <v>1614</v>
      </c>
      <c r="D169" s="402">
        <v>1</v>
      </c>
      <c r="E169" s="402" t="s">
        <v>694</v>
      </c>
      <c r="F169" s="402" t="s">
        <v>695</v>
      </c>
      <c r="G169" s="402">
        <v>410</v>
      </c>
      <c r="H169" s="402" t="s">
        <v>140</v>
      </c>
      <c r="I169" s="402" t="s">
        <v>686</v>
      </c>
      <c r="J169" s="402" t="s">
        <v>691</v>
      </c>
      <c r="K169" s="402">
        <v>4</v>
      </c>
      <c r="L169" s="412" t="s">
        <v>76</v>
      </c>
      <c r="M169" s="418"/>
      <c r="N169" s="422">
        <v>800</v>
      </c>
      <c r="O169" s="422">
        <f t="shared" si="15"/>
        <v>3200</v>
      </c>
      <c r="P169" s="423"/>
      <c r="Q169" s="390" t="s">
        <v>39</v>
      </c>
      <c r="R169" s="468">
        <v>14033083</v>
      </c>
      <c r="S169" s="437"/>
      <c r="T169" s="402"/>
      <c r="U169" s="419"/>
      <c r="V169" s="412"/>
      <c r="W169" s="413">
        <v>1770</v>
      </c>
      <c r="X169" s="414">
        <f>W169*K169</f>
        <v>7080</v>
      </c>
      <c r="Y169" s="415"/>
      <c r="Z169" s="416"/>
      <c r="AA169" s="417" t="e">
        <f t="shared" si="13"/>
        <v>#DIV/0!</v>
      </c>
      <c r="AB169" s="418"/>
      <c r="AC169" s="418"/>
      <c r="AD169" s="418"/>
      <c r="AE169" s="425"/>
      <c r="AF169" s="418"/>
    </row>
    <row r="170" spans="1:32" s="21" customFormat="1" ht="43.5" customHeight="1">
      <c r="A170" s="402">
        <f t="shared" si="14"/>
        <v>168</v>
      </c>
      <c r="B170" s="395"/>
      <c r="C170" s="402">
        <v>1615</v>
      </c>
      <c r="D170" s="402">
        <v>2</v>
      </c>
      <c r="E170" s="402" t="s">
        <v>694</v>
      </c>
      <c r="F170" s="402" t="s">
        <v>182</v>
      </c>
      <c r="G170" s="402">
        <v>410</v>
      </c>
      <c r="H170" s="402" t="s">
        <v>140</v>
      </c>
      <c r="I170" s="402" t="s">
        <v>687</v>
      </c>
      <c r="J170" s="402" t="s">
        <v>162</v>
      </c>
      <c r="K170" s="402">
        <v>150</v>
      </c>
      <c r="L170" s="412" t="s">
        <v>76</v>
      </c>
      <c r="M170" s="469">
        <v>50</v>
      </c>
      <c r="N170" s="422">
        <v>1.84</v>
      </c>
      <c r="O170" s="422">
        <f t="shared" si="15"/>
        <v>276</v>
      </c>
      <c r="P170" s="423"/>
      <c r="Q170" s="390" t="s">
        <v>39</v>
      </c>
      <c r="R170" s="468">
        <v>14033083</v>
      </c>
      <c r="S170" s="437"/>
      <c r="T170" s="402"/>
      <c r="U170" s="419"/>
      <c r="V170" s="412"/>
      <c r="W170" s="413">
        <v>6</v>
      </c>
      <c r="X170" s="414">
        <f>W170*M170</f>
        <v>300</v>
      </c>
      <c r="Y170" s="415"/>
      <c r="Z170" s="416"/>
      <c r="AA170" s="417" t="e">
        <f t="shared" si="13"/>
        <v>#DIV/0!</v>
      </c>
      <c r="AB170" s="418">
        <v>134</v>
      </c>
      <c r="AC170" s="418"/>
      <c r="AD170" s="418"/>
      <c r="AE170" s="425"/>
      <c r="AF170" s="418"/>
    </row>
    <row r="171" spans="1:32" s="21" customFormat="1" ht="43.5" customHeight="1">
      <c r="A171" s="402">
        <f t="shared" si="14"/>
        <v>169</v>
      </c>
      <c r="B171" s="395"/>
      <c r="C171" s="402">
        <v>1617</v>
      </c>
      <c r="D171" s="402">
        <v>3</v>
      </c>
      <c r="E171" s="402" t="s">
        <v>694</v>
      </c>
      <c r="F171" s="402" t="s">
        <v>182</v>
      </c>
      <c r="G171" s="402">
        <v>410</v>
      </c>
      <c r="H171" s="402" t="s">
        <v>140</v>
      </c>
      <c r="I171" s="402" t="s">
        <v>688</v>
      </c>
      <c r="J171" s="402" t="s">
        <v>692</v>
      </c>
      <c r="K171" s="402">
        <v>50</v>
      </c>
      <c r="L171" s="412" t="s">
        <v>76</v>
      </c>
      <c r="M171" s="418"/>
      <c r="N171" s="422">
        <v>1.84</v>
      </c>
      <c r="O171" s="422">
        <f t="shared" si="15"/>
        <v>92</v>
      </c>
      <c r="P171" s="423"/>
      <c r="Q171" s="390" t="s">
        <v>39</v>
      </c>
      <c r="R171" s="468">
        <v>14033083</v>
      </c>
      <c r="S171" s="437"/>
      <c r="T171" s="402"/>
      <c r="U171" s="419"/>
      <c r="V171" s="412"/>
      <c r="W171" s="413">
        <v>6</v>
      </c>
      <c r="X171" s="414">
        <f t="shared" ref="X171:X202" si="16">W171*K171</f>
        <v>300</v>
      </c>
      <c r="Y171" s="415"/>
      <c r="Z171" s="416"/>
      <c r="AA171" s="417" t="e">
        <f t="shared" si="13"/>
        <v>#DIV/0!</v>
      </c>
      <c r="AB171" s="418"/>
      <c r="AC171" s="418"/>
      <c r="AD171" s="418"/>
      <c r="AE171" s="425"/>
      <c r="AF171" s="418"/>
    </row>
    <row r="172" spans="1:32" s="21" customFormat="1" ht="43.5" customHeight="1">
      <c r="A172" s="402">
        <f t="shared" si="14"/>
        <v>170</v>
      </c>
      <c r="B172" s="395"/>
      <c r="C172" s="402">
        <v>1618</v>
      </c>
      <c r="D172" s="402">
        <v>4</v>
      </c>
      <c r="E172" s="402" t="s">
        <v>694</v>
      </c>
      <c r="F172" s="402" t="s">
        <v>182</v>
      </c>
      <c r="G172" s="402">
        <v>410</v>
      </c>
      <c r="H172" s="402" t="s">
        <v>140</v>
      </c>
      <c r="I172" s="419" t="s">
        <v>690</v>
      </c>
      <c r="J172" s="402" t="s">
        <v>692</v>
      </c>
      <c r="K172" s="402">
        <v>50</v>
      </c>
      <c r="L172" s="412" t="s">
        <v>76</v>
      </c>
      <c r="M172" s="418"/>
      <c r="N172" s="422">
        <v>1.84</v>
      </c>
      <c r="O172" s="422">
        <f t="shared" si="15"/>
        <v>92</v>
      </c>
      <c r="P172" s="423"/>
      <c r="Q172" s="390" t="s">
        <v>39</v>
      </c>
      <c r="R172" s="468">
        <v>14033083</v>
      </c>
      <c r="S172" s="437"/>
      <c r="T172" s="402"/>
      <c r="U172" s="419"/>
      <c r="V172" s="412"/>
      <c r="W172" s="413">
        <v>6</v>
      </c>
      <c r="X172" s="414">
        <f t="shared" si="16"/>
        <v>300</v>
      </c>
      <c r="Y172" s="415"/>
      <c r="Z172" s="416"/>
      <c r="AA172" s="417" t="e">
        <f t="shared" si="13"/>
        <v>#DIV/0!</v>
      </c>
      <c r="AB172" s="418"/>
      <c r="AC172" s="418"/>
      <c r="AD172" s="418"/>
      <c r="AE172" s="425"/>
      <c r="AF172" s="418"/>
    </row>
    <row r="173" spans="1:32" s="21" customFormat="1" ht="43.5" customHeight="1">
      <c r="A173" s="402">
        <f t="shared" si="14"/>
        <v>171</v>
      </c>
      <c r="B173" s="395"/>
      <c r="C173" s="402">
        <v>1619</v>
      </c>
      <c r="D173" s="402">
        <v>5</v>
      </c>
      <c r="E173" s="402" t="s">
        <v>694</v>
      </c>
      <c r="F173" s="402" t="s">
        <v>182</v>
      </c>
      <c r="G173" s="402">
        <v>410</v>
      </c>
      <c r="H173" s="402" t="s">
        <v>140</v>
      </c>
      <c r="I173" s="402" t="s">
        <v>689</v>
      </c>
      <c r="J173" s="402" t="s">
        <v>693</v>
      </c>
      <c r="K173" s="402">
        <v>50</v>
      </c>
      <c r="L173" s="412" t="s">
        <v>76</v>
      </c>
      <c r="M173" s="418"/>
      <c r="N173" s="422">
        <v>1.84</v>
      </c>
      <c r="O173" s="422">
        <f t="shared" si="15"/>
        <v>92</v>
      </c>
      <c r="P173" s="423"/>
      <c r="Q173" s="390" t="s">
        <v>39</v>
      </c>
      <c r="R173" s="468">
        <v>14033083</v>
      </c>
      <c r="S173" s="437"/>
      <c r="T173" s="402"/>
      <c r="U173" s="419"/>
      <c r="V173" s="412"/>
      <c r="W173" s="413">
        <v>6</v>
      </c>
      <c r="X173" s="414">
        <f t="shared" si="16"/>
        <v>300</v>
      </c>
      <c r="Y173" s="415"/>
      <c r="Z173" s="416"/>
      <c r="AA173" s="417" t="e">
        <f t="shared" si="13"/>
        <v>#DIV/0!</v>
      </c>
      <c r="AB173" s="418">
        <v>134</v>
      </c>
      <c r="AC173" s="418"/>
      <c r="AD173" s="418"/>
      <c r="AE173" s="425"/>
      <c r="AF173" s="418"/>
    </row>
    <row r="174" spans="1:32" s="21" customFormat="1" ht="43.5" customHeight="1">
      <c r="A174" s="402">
        <f t="shared" si="14"/>
        <v>172</v>
      </c>
      <c r="B174" s="395"/>
      <c r="C174" s="402">
        <v>1619</v>
      </c>
      <c r="D174" s="402">
        <v>3</v>
      </c>
      <c r="E174" s="402" t="s">
        <v>209</v>
      </c>
      <c r="F174" s="402" t="s">
        <v>182</v>
      </c>
      <c r="G174" s="402">
        <v>411</v>
      </c>
      <c r="H174" s="402" t="s">
        <v>140</v>
      </c>
      <c r="I174" s="402" t="s">
        <v>696</v>
      </c>
      <c r="J174" s="402" t="s">
        <v>214</v>
      </c>
      <c r="K174" s="402">
        <v>100</v>
      </c>
      <c r="L174" s="412" t="s">
        <v>76</v>
      </c>
      <c r="M174" s="418"/>
      <c r="N174" s="422">
        <v>0.52</v>
      </c>
      <c r="O174" s="422">
        <f t="shared" si="15"/>
        <v>52</v>
      </c>
      <c r="P174" s="423"/>
      <c r="Q174" s="390" t="s">
        <v>39</v>
      </c>
      <c r="R174" s="470" t="s">
        <v>703</v>
      </c>
      <c r="S174" s="437"/>
      <c r="T174" s="402"/>
      <c r="U174" s="419"/>
      <c r="V174" s="412"/>
      <c r="W174" s="413">
        <v>1</v>
      </c>
      <c r="X174" s="414">
        <f t="shared" si="16"/>
        <v>100</v>
      </c>
      <c r="Y174" s="415"/>
      <c r="Z174" s="416"/>
      <c r="AA174" s="417" t="e">
        <f t="shared" si="13"/>
        <v>#DIV/0!</v>
      </c>
      <c r="AB174" s="418">
        <v>139</v>
      </c>
      <c r="AC174" s="418"/>
      <c r="AD174" s="418"/>
      <c r="AE174" s="425"/>
      <c r="AF174" s="418"/>
    </row>
    <row r="175" spans="1:32" s="21" customFormat="1" ht="43.5" customHeight="1">
      <c r="A175" s="402">
        <f t="shared" si="14"/>
        <v>173</v>
      </c>
      <c r="B175" s="395" t="s">
        <v>922</v>
      </c>
      <c r="C175" s="402">
        <v>1620</v>
      </c>
      <c r="D175" s="402">
        <v>4</v>
      </c>
      <c r="E175" s="402" t="s">
        <v>209</v>
      </c>
      <c r="F175" s="402" t="s">
        <v>211</v>
      </c>
      <c r="G175" s="402">
        <v>411</v>
      </c>
      <c r="H175" s="402" t="s">
        <v>140</v>
      </c>
      <c r="I175" s="402" t="s">
        <v>915</v>
      </c>
      <c r="J175" s="402" t="s">
        <v>198</v>
      </c>
      <c r="K175" s="402">
        <v>22</v>
      </c>
      <c r="L175" s="412" t="s">
        <v>76</v>
      </c>
      <c r="M175" s="418"/>
      <c r="N175" s="422">
        <v>35</v>
      </c>
      <c r="O175" s="422">
        <f t="shared" si="15"/>
        <v>770</v>
      </c>
      <c r="P175" s="423"/>
      <c r="Q175" s="471" t="s">
        <v>12</v>
      </c>
      <c r="R175" s="470" t="s">
        <v>703</v>
      </c>
      <c r="S175" s="437"/>
      <c r="T175" s="402"/>
      <c r="U175" s="419"/>
      <c r="V175" s="412"/>
      <c r="W175" s="413">
        <v>89</v>
      </c>
      <c r="X175" s="414">
        <f t="shared" si="16"/>
        <v>1958</v>
      </c>
      <c r="Y175" s="415"/>
      <c r="Z175" s="416"/>
      <c r="AA175" s="417" t="e">
        <f t="shared" si="13"/>
        <v>#DIV/0!</v>
      </c>
      <c r="AB175" s="418"/>
      <c r="AC175" s="418"/>
      <c r="AD175" s="418"/>
      <c r="AE175" s="425"/>
      <c r="AF175" s="418"/>
    </row>
    <row r="176" spans="1:32" s="21" customFormat="1" ht="43.5" customHeight="1">
      <c r="A176" s="402">
        <f t="shared" si="14"/>
        <v>174</v>
      </c>
      <c r="B176" s="395"/>
      <c r="C176" s="402">
        <v>1621</v>
      </c>
      <c r="D176" s="402">
        <v>5</v>
      </c>
      <c r="E176" s="402" t="s">
        <v>209</v>
      </c>
      <c r="F176" s="402" t="s">
        <v>720</v>
      </c>
      <c r="G176" s="402">
        <v>411</v>
      </c>
      <c r="H176" s="402" t="s">
        <v>140</v>
      </c>
      <c r="I176" s="402" t="s">
        <v>697</v>
      </c>
      <c r="J176" s="402" t="s">
        <v>246</v>
      </c>
      <c r="K176" s="402">
        <v>1000</v>
      </c>
      <c r="L176" s="412" t="s">
        <v>76</v>
      </c>
      <c r="M176" s="418"/>
      <c r="N176" s="422">
        <v>0.44</v>
      </c>
      <c r="O176" s="422">
        <f t="shared" si="15"/>
        <v>440</v>
      </c>
      <c r="P176" s="423"/>
      <c r="Q176" s="471" t="s">
        <v>12</v>
      </c>
      <c r="R176" s="470" t="s">
        <v>703</v>
      </c>
      <c r="S176" s="437"/>
      <c r="T176" s="402"/>
      <c r="U176" s="419"/>
      <c r="V176" s="412"/>
      <c r="W176" s="413">
        <v>1</v>
      </c>
      <c r="X176" s="414">
        <f t="shared" si="16"/>
        <v>1000</v>
      </c>
      <c r="Y176" s="415"/>
      <c r="Z176" s="416"/>
      <c r="AA176" s="417" t="e">
        <f t="shared" si="13"/>
        <v>#DIV/0!</v>
      </c>
      <c r="AB176" s="418"/>
      <c r="AC176" s="418"/>
      <c r="AD176" s="418"/>
      <c r="AE176" s="425"/>
      <c r="AF176" s="418"/>
    </row>
    <row r="177" spans="1:32" s="21" customFormat="1" ht="43.5" customHeight="1">
      <c r="A177" s="402">
        <f t="shared" si="14"/>
        <v>175</v>
      </c>
      <c r="B177" s="395"/>
      <c r="C177" s="402">
        <v>1622</v>
      </c>
      <c r="D177" s="402">
        <v>7</v>
      </c>
      <c r="E177" s="402" t="s">
        <v>209</v>
      </c>
      <c r="F177" s="402" t="s">
        <v>138</v>
      </c>
      <c r="G177" s="402">
        <v>411</v>
      </c>
      <c r="H177" s="402" t="s">
        <v>140</v>
      </c>
      <c r="I177" s="446" t="s">
        <v>698</v>
      </c>
      <c r="J177" s="402" t="s">
        <v>214</v>
      </c>
      <c r="K177" s="402">
        <v>100</v>
      </c>
      <c r="L177" s="412" t="s">
        <v>76</v>
      </c>
      <c r="M177" s="418"/>
      <c r="N177" s="422">
        <v>0.55000000000000004</v>
      </c>
      <c r="O177" s="422">
        <f t="shared" si="15"/>
        <v>55.000000000000007</v>
      </c>
      <c r="P177" s="423"/>
      <c r="Q177" s="390" t="s">
        <v>39</v>
      </c>
      <c r="R177" s="470" t="s">
        <v>703</v>
      </c>
      <c r="S177" s="437"/>
      <c r="T177" s="402"/>
      <c r="U177" s="419"/>
      <c r="V177" s="412"/>
      <c r="W177" s="413">
        <v>1</v>
      </c>
      <c r="X177" s="414">
        <f t="shared" si="16"/>
        <v>100</v>
      </c>
      <c r="Y177" s="415"/>
      <c r="Z177" s="416"/>
      <c r="AA177" s="417" t="e">
        <f t="shared" si="13"/>
        <v>#DIV/0!</v>
      </c>
      <c r="AB177" s="418">
        <v>139</v>
      </c>
      <c r="AC177" s="418"/>
      <c r="AD177" s="418"/>
      <c r="AE177" s="425"/>
      <c r="AF177" s="418"/>
    </row>
    <row r="178" spans="1:32" s="21" customFormat="1" ht="43.5" customHeight="1">
      <c r="A178" s="402">
        <f t="shared" si="14"/>
        <v>176</v>
      </c>
      <c r="B178" s="395"/>
      <c r="C178" s="402">
        <v>1623</v>
      </c>
      <c r="D178" s="402">
        <v>11</v>
      </c>
      <c r="E178" s="402" t="s">
        <v>209</v>
      </c>
      <c r="F178" s="402" t="s">
        <v>138</v>
      </c>
      <c r="G178" s="402">
        <v>411</v>
      </c>
      <c r="H178" s="402" t="s">
        <v>140</v>
      </c>
      <c r="I178" s="446" t="s">
        <v>699</v>
      </c>
      <c r="J178" s="402" t="s">
        <v>214</v>
      </c>
      <c r="K178" s="402">
        <v>200</v>
      </c>
      <c r="L178" s="412" t="s">
        <v>76</v>
      </c>
      <c r="M178" s="418"/>
      <c r="N178" s="422">
        <v>2.1</v>
      </c>
      <c r="O178" s="422">
        <f t="shared" si="15"/>
        <v>420</v>
      </c>
      <c r="P178" s="423"/>
      <c r="Q178" s="390" t="s">
        <v>39</v>
      </c>
      <c r="R178" s="470" t="s">
        <v>703</v>
      </c>
      <c r="S178" s="437"/>
      <c r="T178" s="402"/>
      <c r="U178" s="419"/>
      <c r="V178" s="412"/>
      <c r="W178" s="413">
        <v>3</v>
      </c>
      <c r="X178" s="414">
        <f t="shared" si="16"/>
        <v>600</v>
      </c>
      <c r="Y178" s="415"/>
      <c r="Z178" s="416"/>
      <c r="AA178" s="417" t="e">
        <f t="shared" si="13"/>
        <v>#DIV/0!</v>
      </c>
      <c r="AB178" s="418">
        <v>139</v>
      </c>
      <c r="AC178" s="418"/>
      <c r="AD178" s="418"/>
      <c r="AE178" s="425"/>
      <c r="AF178" s="418"/>
    </row>
    <row r="179" spans="1:32" s="21" customFormat="1" ht="43.5" customHeight="1">
      <c r="A179" s="402">
        <f t="shared" si="14"/>
        <v>177</v>
      </c>
      <c r="B179" s="395"/>
      <c r="C179" s="402">
        <v>1624</v>
      </c>
      <c r="D179" s="402">
        <v>12</v>
      </c>
      <c r="E179" s="402" t="s">
        <v>209</v>
      </c>
      <c r="F179" s="402" t="s">
        <v>720</v>
      </c>
      <c r="G179" s="402">
        <v>411</v>
      </c>
      <c r="H179" s="402" t="s">
        <v>140</v>
      </c>
      <c r="I179" s="402" t="s">
        <v>748</v>
      </c>
      <c r="J179" s="402" t="s">
        <v>198</v>
      </c>
      <c r="K179" s="402">
        <v>54</v>
      </c>
      <c r="L179" s="412" t="s">
        <v>76</v>
      </c>
      <c r="M179" s="418">
        <v>60</v>
      </c>
      <c r="N179" s="422">
        <v>37.659999999999997</v>
      </c>
      <c r="O179" s="422">
        <f t="shared" si="15"/>
        <v>2033.6399999999999</v>
      </c>
      <c r="P179" s="423"/>
      <c r="Q179" s="390" t="s">
        <v>39</v>
      </c>
      <c r="R179" s="470" t="s">
        <v>703</v>
      </c>
      <c r="S179" s="437"/>
      <c r="T179" s="402"/>
      <c r="U179" s="419"/>
      <c r="V179" s="412"/>
      <c r="W179" s="413">
        <v>66</v>
      </c>
      <c r="X179" s="414">
        <f t="shared" si="16"/>
        <v>3564</v>
      </c>
      <c r="Y179" s="415"/>
      <c r="Z179" s="416"/>
      <c r="AA179" s="417" t="e">
        <f t="shared" si="13"/>
        <v>#DIV/0!</v>
      </c>
      <c r="AB179" s="418">
        <v>139</v>
      </c>
      <c r="AC179" s="418"/>
      <c r="AD179" s="418"/>
      <c r="AE179" s="425"/>
      <c r="AF179" s="418"/>
    </row>
    <row r="180" spans="1:32" s="21" customFormat="1" ht="43.5" customHeight="1">
      <c r="A180" s="402">
        <f t="shared" si="14"/>
        <v>178</v>
      </c>
      <c r="B180" s="395"/>
      <c r="C180" s="402">
        <v>1624</v>
      </c>
      <c r="D180" s="402">
        <v>12</v>
      </c>
      <c r="E180" s="402" t="s">
        <v>209</v>
      </c>
      <c r="F180" s="402" t="s">
        <v>720</v>
      </c>
      <c r="G180" s="402">
        <v>411</v>
      </c>
      <c r="H180" s="402" t="s">
        <v>140</v>
      </c>
      <c r="I180" s="402" t="s">
        <v>748</v>
      </c>
      <c r="J180" s="402" t="s">
        <v>198</v>
      </c>
      <c r="K180" s="402">
        <v>6</v>
      </c>
      <c r="L180" s="412" t="s">
        <v>76</v>
      </c>
      <c r="M180" s="418"/>
      <c r="N180" s="422">
        <v>37.659999999999997</v>
      </c>
      <c r="O180" s="422">
        <f t="shared" si="15"/>
        <v>225.95999999999998</v>
      </c>
      <c r="P180" s="423"/>
      <c r="Q180" s="392" t="s">
        <v>22</v>
      </c>
      <c r="R180" s="470" t="s">
        <v>703</v>
      </c>
      <c r="S180" s="437"/>
      <c r="T180" s="402"/>
      <c r="U180" s="419"/>
      <c r="V180" s="412"/>
      <c r="W180" s="413">
        <v>66</v>
      </c>
      <c r="X180" s="414">
        <f t="shared" si="16"/>
        <v>396</v>
      </c>
      <c r="Y180" s="415"/>
      <c r="Z180" s="416"/>
      <c r="AA180" s="417" t="e">
        <f t="shared" si="13"/>
        <v>#DIV/0!</v>
      </c>
      <c r="AB180" s="418"/>
      <c r="AC180" s="418"/>
      <c r="AD180" s="418"/>
      <c r="AE180" s="425"/>
      <c r="AF180" s="418"/>
    </row>
    <row r="181" spans="1:32" s="21" customFormat="1" ht="43.5" customHeight="1">
      <c r="A181" s="402">
        <f t="shared" si="14"/>
        <v>179</v>
      </c>
      <c r="B181" s="395"/>
      <c r="C181" s="402">
        <v>1625</v>
      </c>
      <c r="D181" s="402">
        <v>14</v>
      </c>
      <c r="E181" s="402" t="s">
        <v>209</v>
      </c>
      <c r="F181" s="402" t="s">
        <v>138</v>
      </c>
      <c r="G181" s="402">
        <v>411</v>
      </c>
      <c r="H181" s="402" t="s">
        <v>140</v>
      </c>
      <c r="I181" s="446" t="s">
        <v>700</v>
      </c>
      <c r="J181" s="402" t="s">
        <v>242</v>
      </c>
      <c r="K181" s="402">
        <v>1000</v>
      </c>
      <c r="L181" s="412" t="s">
        <v>76</v>
      </c>
      <c r="M181" s="418"/>
      <c r="N181" s="422">
        <v>0.45</v>
      </c>
      <c r="O181" s="422">
        <f t="shared" si="15"/>
        <v>450</v>
      </c>
      <c r="P181" s="423"/>
      <c r="Q181" s="390" t="s">
        <v>39</v>
      </c>
      <c r="R181" s="470" t="s">
        <v>703</v>
      </c>
      <c r="S181" s="437"/>
      <c r="T181" s="402"/>
      <c r="U181" s="419"/>
      <c r="V181" s="412"/>
      <c r="W181" s="413">
        <v>1</v>
      </c>
      <c r="X181" s="414">
        <f t="shared" si="16"/>
        <v>1000</v>
      </c>
      <c r="Y181" s="415"/>
      <c r="Z181" s="416"/>
      <c r="AA181" s="417" t="e">
        <f t="shared" si="13"/>
        <v>#DIV/0!</v>
      </c>
      <c r="AB181" s="418">
        <v>139</v>
      </c>
      <c r="AC181" s="418"/>
      <c r="AD181" s="418"/>
      <c r="AE181" s="425"/>
      <c r="AF181" s="418"/>
    </row>
    <row r="182" spans="1:32" s="21" customFormat="1" ht="43.5" customHeight="1">
      <c r="A182" s="402">
        <f t="shared" si="14"/>
        <v>180</v>
      </c>
      <c r="B182" s="395"/>
      <c r="C182" s="402">
        <v>1626</v>
      </c>
      <c r="D182" s="402">
        <v>19</v>
      </c>
      <c r="E182" s="402" t="s">
        <v>209</v>
      </c>
      <c r="F182" s="402" t="s">
        <v>182</v>
      </c>
      <c r="G182" s="402">
        <v>411</v>
      </c>
      <c r="H182" s="402" t="s">
        <v>140</v>
      </c>
      <c r="I182" s="402" t="s">
        <v>702</v>
      </c>
      <c r="J182" s="402" t="s">
        <v>223</v>
      </c>
      <c r="K182" s="402">
        <v>500</v>
      </c>
      <c r="L182" s="412" t="s">
        <v>76</v>
      </c>
      <c r="M182" s="418"/>
      <c r="N182" s="422">
        <v>0.62</v>
      </c>
      <c r="O182" s="422">
        <f t="shared" si="15"/>
        <v>310</v>
      </c>
      <c r="P182" s="423"/>
      <c r="Q182" s="390" t="s">
        <v>39</v>
      </c>
      <c r="R182" s="470" t="s">
        <v>703</v>
      </c>
      <c r="S182" s="437"/>
      <c r="T182" s="402"/>
      <c r="U182" s="419"/>
      <c r="V182" s="412"/>
      <c r="W182" s="413">
        <v>1</v>
      </c>
      <c r="X182" s="414">
        <f t="shared" si="16"/>
        <v>500</v>
      </c>
      <c r="Y182" s="415"/>
      <c r="Z182" s="416"/>
      <c r="AA182" s="417" t="e">
        <f t="shared" si="13"/>
        <v>#DIV/0!</v>
      </c>
      <c r="AB182" s="418">
        <v>139</v>
      </c>
      <c r="AC182" s="418"/>
      <c r="AD182" s="418"/>
      <c r="AE182" s="425"/>
      <c r="AF182" s="418"/>
    </row>
    <row r="183" spans="1:32" s="21" customFormat="1" ht="43.5" customHeight="1">
      <c r="A183" s="402">
        <f t="shared" si="14"/>
        <v>181</v>
      </c>
      <c r="B183" s="395"/>
      <c r="C183" s="402">
        <v>1627</v>
      </c>
      <c r="D183" s="402">
        <v>7</v>
      </c>
      <c r="E183" s="402" t="s">
        <v>201</v>
      </c>
      <c r="F183" s="402" t="s">
        <v>196</v>
      </c>
      <c r="G183" s="402">
        <v>406</v>
      </c>
      <c r="H183" s="402" t="s">
        <v>140</v>
      </c>
      <c r="I183" s="402" t="s">
        <v>706</v>
      </c>
      <c r="J183" s="402" t="s">
        <v>713</v>
      </c>
      <c r="K183" s="402">
        <v>1</v>
      </c>
      <c r="L183" s="412" t="s">
        <v>91</v>
      </c>
      <c r="M183" s="418"/>
      <c r="N183" s="422">
        <v>1710</v>
      </c>
      <c r="O183" s="422">
        <f t="shared" si="15"/>
        <v>1710</v>
      </c>
      <c r="P183" s="426"/>
      <c r="Q183" s="390" t="s">
        <v>39</v>
      </c>
      <c r="R183" s="402" t="s">
        <v>715</v>
      </c>
      <c r="S183" s="437" t="s">
        <v>716</v>
      </c>
      <c r="T183" s="402"/>
      <c r="U183" s="419"/>
      <c r="V183" s="412"/>
      <c r="W183" s="413">
        <v>2600</v>
      </c>
      <c r="X183" s="414">
        <f t="shared" si="16"/>
        <v>2600</v>
      </c>
      <c r="Y183" s="415"/>
      <c r="Z183" s="416"/>
      <c r="AA183" s="417" t="e">
        <f t="shared" si="13"/>
        <v>#DIV/0!</v>
      </c>
      <c r="AB183" s="418">
        <v>144</v>
      </c>
      <c r="AC183" s="418"/>
      <c r="AD183" s="395" t="s">
        <v>738</v>
      </c>
      <c r="AE183" s="425"/>
      <c r="AF183" s="418"/>
    </row>
    <row r="184" spans="1:32" s="21" customFormat="1" ht="43.5" customHeight="1">
      <c r="A184" s="402">
        <f t="shared" si="14"/>
        <v>182</v>
      </c>
      <c r="B184" s="395"/>
      <c r="C184" s="402">
        <v>1628</v>
      </c>
      <c r="D184" s="402">
        <v>16</v>
      </c>
      <c r="E184" s="402" t="s">
        <v>201</v>
      </c>
      <c r="F184" s="402" t="s">
        <v>138</v>
      </c>
      <c r="G184" s="402">
        <v>406</v>
      </c>
      <c r="H184" s="402" t="s">
        <v>140</v>
      </c>
      <c r="I184" s="402" t="s">
        <v>707</v>
      </c>
      <c r="J184" s="402" t="s">
        <v>714</v>
      </c>
      <c r="K184" s="402">
        <v>20</v>
      </c>
      <c r="L184" s="412" t="s">
        <v>76</v>
      </c>
      <c r="M184" s="418"/>
      <c r="N184" s="422">
        <v>2.71</v>
      </c>
      <c r="O184" s="422">
        <f t="shared" si="15"/>
        <v>54.2</v>
      </c>
      <c r="P184" s="423"/>
      <c r="Q184" s="471" t="s">
        <v>12</v>
      </c>
      <c r="R184" s="419" t="s">
        <v>715</v>
      </c>
      <c r="S184" s="437" t="s">
        <v>716</v>
      </c>
      <c r="T184" s="402"/>
      <c r="U184" s="419"/>
      <c r="V184" s="412"/>
      <c r="W184" s="413">
        <v>12.5</v>
      </c>
      <c r="X184" s="414">
        <f t="shared" si="16"/>
        <v>250</v>
      </c>
      <c r="Y184" s="415"/>
      <c r="Z184" s="416"/>
      <c r="AA184" s="417" t="e">
        <f t="shared" si="13"/>
        <v>#DIV/0!</v>
      </c>
      <c r="AB184" s="418"/>
      <c r="AC184" s="418"/>
      <c r="AD184" s="418"/>
      <c r="AE184" s="425"/>
      <c r="AF184" s="418"/>
    </row>
    <row r="185" spans="1:32" s="21" customFormat="1" ht="43.5" customHeight="1">
      <c r="A185" s="402">
        <f t="shared" si="14"/>
        <v>183</v>
      </c>
      <c r="B185" s="395"/>
      <c r="C185" s="402">
        <v>1629</v>
      </c>
      <c r="D185" s="402">
        <v>38</v>
      </c>
      <c r="E185" s="402" t="s">
        <v>201</v>
      </c>
      <c r="F185" s="402" t="s">
        <v>746</v>
      </c>
      <c r="G185" s="402">
        <v>406</v>
      </c>
      <c r="H185" s="402" t="s">
        <v>140</v>
      </c>
      <c r="I185" s="402" t="s">
        <v>708</v>
      </c>
      <c r="J185" s="402" t="s">
        <v>135</v>
      </c>
      <c r="K185" s="402">
        <v>120</v>
      </c>
      <c r="L185" s="412" t="s">
        <v>91</v>
      </c>
      <c r="M185" s="418"/>
      <c r="N185" s="422">
        <v>13</v>
      </c>
      <c r="O185" s="422">
        <f t="shared" si="15"/>
        <v>1560</v>
      </c>
      <c r="P185" s="423"/>
      <c r="Q185" s="390" t="s">
        <v>39</v>
      </c>
      <c r="R185" s="419" t="s">
        <v>715</v>
      </c>
      <c r="S185" s="437" t="s">
        <v>716</v>
      </c>
      <c r="T185" s="402"/>
      <c r="U185" s="419"/>
      <c r="V185" s="412"/>
      <c r="W185" s="413">
        <v>32.5</v>
      </c>
      <c r="X185" s="472">
        <f t="shared" si="16"/>
        <v>3900</v>
      </c>
      <c r="Y185" s="415"/>
      <c r="Z185" s="416"/>
      <c r="AA185" s="417" t="e">
        <f t="shared" si="13"/>
        <v>#DIV/0!</v>
      </c>
      <c r="AB185" s="418">
        <v>148</v>
      </c>
      <c r="AC185" s="418"/>
      <c r="AD185" s="418"/>
      <c r="AE185" s="425"/>
      <c r="AF185" s="418"/>
    </row>
    <row r="186" spans="1:32" s="21" customFormat="1" ht="43.5" customHeight="1">
      <c r="A186" s="402">
        <f t="shared" si="14"/>
        <v>184</v>
      </c>
      <c r="B186" s="395"/>
      <c r="C186" s="402">
        <v>1630</v>
      </c>
      <c r="D186" s="402">
        <v>43</v>
      </c>
      <c r="E186" s="402" t="s">
        <v>201</v>
      </c>
      <c r="F186" s="402" t="s">
        <v>721</v>
      </c>
      <c r="G186" s="402">
        <v>406</v>
      </c>
      <c r="H186" s="402" t="s">
        <v>140</v>
      </c>
      <c r="I186" s="402" t="s">
        <v>709</v>
      </c>
      <c r="J186" s="402" t="s">
        <v>135</v>
      </c>
      <c r="K186" s="402">
        <v>5</v>
      </c>
      <c r="L186" s="412" t="s">
        <v>91</v>
      </c>
      <c r="M186" s="418"/>
      <c r="N186" s="422">
        <v>20</v>
      </c>
      <c r="O186" s="422">
        <f t="shared" si="15"/>
        <v>100</v>
      </c>
      <c r="P186" s="423"/>
      <c r="Q186" s="390" t="s">
        <v>39</v>
      </c>
      <c r="R186" s="419" t="s">
        <v>715</v>
      </c>
      <c r="S186" s="437" t="s">
        <v>716</v>
      </c>
      <c r="T186" s="402"/>
      <c r="U186" s="419"/>
      <c r="V186" s="412"/>
      <c r="W186" s="413">
        <v>61.5</v>
      </c>
      <c r="X186" s="414">
        <f t="shared" si="16"/>
        <v>307.5</v>
      </c>
      <c r="Y186" s="415"/>
      <c r="Z186" s="416"/>
      <c r="AA186" s="417" t="e">
        <f t="shared" si="13"/>
        <v>#DIV/0!</v>
      </c>
      <c r="AB186" s="418">
        <v>142</v>
      </c>
      <c r="AC186" s="418"/>
      <c r="AD186" s="418"/>
      <c r="AE186" s="425"/>
      <c r="AF186" s="418"/>
    </row>
    <row r="187" spans="1:32" s="21" customFormat="1" ht="43.5" customHeight="1">
      <c r="A187" s="402">
        <f t="shared" si="14"/>
        <v>185</v>
      </c>
      <c r="B187" s="395"/>
      <c r="C187" s="402">
        <v>1631</v>
      </c>
      <c r="D187" s="402">
        <v>45</v>
      </c>
      <c r="E187" s="402" t="s">
        <v>201</v>
      </c>
      <c r="F187" s="402" t="s">
        <v>717</v>
      </c>
      <c r="G187" s="402">
        <v>406</v>
      </c>
      <c r="H187" s="402" t="s">
        <v>140</v>
      </c>
      <c r="I187" s="402" t="s">
        <v>710</v>
      </c>
      <c r="J187" s="402" t="s">
        <v>133</v>
      </c>
      <c r="K187" s="402">
        <v>25</v>
      </c>
      <c r="L187" s="412" t="s">
        <v>76</v>
      </c>
      <c r="M187" s="418"/>
      <c r="N187" s="422">
        <v>65</v>
      </c>
      <c r="O187" s="422">
        <f t="shared" si="15"/>
        <v>1625</v>
      </c>
      <c r="P187" s="423"/>
      <c r="Q187" s="390" t="s">
        <v>39</v>
      </c>
      <c r="R187" s="419" t="s">
        <v>715</v>
      </c>
      <c r="S187" s="437" t="s">
        <v>716</v>
      </c>
      <c r="T187" s="402"/>
      <c r="U187" s="419"/>
      <c r="V187" s="412"/>
      <c r="W187" s="413">
        <v>99.5</v>
      </c>
      <c r="X187" s="414">
        <f t="shared" si="16"/>
        <v>2487.5</v>
      </c>
      <c r="Y187" s="415"/>
      <c r="Z187" s="416"/>
      <c r="AA187" s="417" t="e">
        <f t="shared" si="13"/>
        <v>#DIV/0!</v>
      </c>
      <c r="AB187" s="418">
        <v>142</v>
      </c>
      <c r="AC187" s="418"/>
      <c r="AD187" s="418"/>
      <c r="AE187" s="425"/>
      <c r="AF187" s="418"/>
    </row>
    <row r="188" spans="1:32" s="21" customFormat="1" ht="43.5" customHeight="1">
      <c r="A188" s="402">
        <f t="shared" si="14"/>
        <v>186</v>
      </c>
      <c r="B188" s="395"/>
      <c r="C188" s="402">
        <v>1632</v>
      </c>
      <c r="D188" s="402">
        <v>47</v>
      </c>
      <c r="E188" s="402" t="s">
        <v>201</v>
      </c>
      <c r="F188" s="402" t="s">
        <v>790</v>
      </c>
      <c r="G188" s="402">
        <v>406</v>
      </c>
      <c r="H188" s="402" t="s">
        <v>140</v>
      </c>
      <c r="I188" s="402" t="s">
        <v>711</v>
      </c>
      <c r="J188" s="402" t="s">
        <v>133</v>
      </c>
      <c r="K188" s="402">
        <v>20</v>
      </c>
      <c r="L188" s="412" t="s">
        <v>76</v>
      </c>
      <c r="M188" s="418"/>
      <c r="N188" s="422">
        <v>68</v>
      </c>
      <c r="O188" s="422">
        <f t="shared" si="15"/>
        <v>1360</v>
      </c>
      <c r="P188" s="423"/>
      <c r="Q188" s="390" t="s">
        <v>39</v>
      </c>
      <c r="R188" s="419" t="s">
        <v>715</v>
      </c>
      <c r="S188" s="437" t="s">
        <v>716</v>
      </c>
      <c r="T188" s="402"/>
      <c r="U188" s="419"/>
      <c r="V188" s="412"/>
      <c r="W188" s="413">
        <v>110</v>
      </c>
      <c r="X188" s="414">
        <f t="shared" si="16"/>
        <v>2200</v>
      </c>
      <c r="Y188" s="415"/>
      <c r="Z188" s="416"/>
      <c r="AA188" s="417" t="e">
        <f t="shared" si="13"/>
        <v>#DIV/0!</v>
      </c>
      <c r="AB188" s="418">
        <v>142</v>
      </c>
      <c r="AC188" s="418"/>
      <c r="AD188" s="418"/>
      <c r="AE188" s="425"/>
      <c r="AF188" s="418"/>
    </row>
    <row r="189" spans="1:32" s="21" customFormat="1" ht="43.5" customHeight="1">
      <c r="A189" s="402">
        <f t="shared" si="14"/>
        <v>187</v>
      </c>
      <c r="B189" s="395"/>
      <c r="C189" s="402">
        <v>1633</v>
      </c>
      <c r="D189" s="402">
        <v>49</v>
      </c>
      <c r="E189" s="402" t="s">
        <v>201</v>
      </c>
      <c r="F189" s="402" t="s">
        <v>718</v>
      </c>
      <c r="G189" s="402">
        <v>406</v>
      </c>
      <c r="H189" s="402" t="s">
        <v>140</v>
      </c>
      <c r="I189" s="402" t="s">
        <v>712</v>
      </c>
      <c r="J189" s="402" t="s">
        <v>133</v>
      </c>
      <c r="K189" s="402">
        <v>2</v>
      </c>
      <c r="L189" s="412" t="s">
        <v>76</v>
      </c>
      <c r="M189" s="418"/>
      <c r="N189" s="422">
        <v>60</v>
      </c>
      <c r="O189" s="422">
        <f t="shared" si="15"/>
        <v>120</v>
      </c>
      <c r="P189" s="423"/>
      <c r="Q189" s="390" t="s">
        <v>39</v>
      </c>
      <c r="R189" s="419" t="s">
        <v>715</v>
      </c>
      <c r="S189" s="437" t="s">
        <v>716</v>
      </c>
      <c r="T189" s="402"/>
      <c r="U189" s="419"/>
      <c r="V189" s="412"/>
      <c r="W189" s="413">
        <v>170</v>
      </c>
      <c r="X189" s="414">
        <f t="shared" si="16"/>
        <v>340</v>
      </c>
      <c r="Y189" s="415"/>
      <c r="Z189" s="416"/>
      <c r="AA189" s="417" t="e">
        <f t="shared" si="13"/>
        <v>#DIV/0!</v>
      </c>
      <c r="AB189" s="418">
        <v>142</v>
      </c>
      <c r="AC189" s="418"/>
      <c r="AD189" s="418"/>
      <c r="AE189" s="425"/>
      <c r="AF189" s="418"/>
    </row>
    <row r="190" spans="1:32" s="21" customFormat="1" ht="43.5" customHeight="1">
      <c r="A190" s="402">
        <f t="shared" si="14"/>
        <v>188</v>
      </c>
      <c r="B190" s="395"/>
      <c r="C190" s="402">
        <v>1644</v>
      </c>
      <c r="D190" s="402">
        <v>1</v>
      </c>
      <c r="E190" s="402" t="s">
        <v>184</v>
      </c>
      <c r="F190" s="402" t="s">
        <v>182</v>
      </c>
      <c r="G190" s="402">
        <v>413</v>
      </c>
      <c r="H190" s="402" t="s">
        <v>77</v>
      </c>
      <c r="I190" s="402" t="s">
        <v>735</v>
      </c>
      <c r="J190" s="402" t="s">
        <v>725</v>
      </c>
      <c r="K190" s="402">
        <v>2</v>
      </c>
      <c r="L190" s="412" t="s">
        <v>76</v>
      </c>
      <c r="M190" s="418"/>
      <c r="N190" s="422">
        <v>146.19999999999999</v>
      </c>
      <c r="O190" s="422">
        <f t="shared" si="15"/>
        <v>292.39999999999998</v>
      </c>
      <c r="P190" s="423"/>
      <c r="Q190" s="390" t="s">
        <v>39</v>
      </c>
      <c r="R190" s="419" t="s">
        <v>723</v>
      </c>
      <c r="S190" s="437" t="s">
        <v>737</v>
      </c>
      <c r="T190" s="402"/>
      <c r="U190" s="419"/>
      <c r="V190" s="412" t="s">
        <v>724</v>
      </c>
      <c r="W190" s="413">
        <v>280</v>
      </c>
      <c r="X190" s="414">
        <f t="shared" si="16"/>
        <v>560</v>
      </c>
      <c r="Y190" s="415"/>
      <c r="Z190" s="416"/>
      <c r="AA190" s="417" t="e">
        <f t="shared" si="13"/>
        <v>#DIV/0!</v>
      </c>
      <c r="AB190" s="418">
        <v>140</v>
      </c>
      <c r="AC190" s="418" t="s">
        <v>740</v>
      </c>
      <c r="AD190" s="469" t="s">
        <v>739</v>
      </c>
      <c r="AE190" s="425"/>
      <c r="AF190" s="418"/>
    </row>
    <row r="191" spans="1:32" s="21" customFormat="1" ht="43.5" customHeight="1">
      <c r="A191" s="402">
        <f t="shared" si="14"/>
        <v>189</v>
      </c>
      <c r="B191" s="395"/>
      <c r="C191" s="402">
        <v>1645</v>
      </c>
      <c r="D191" s="402">
        <v>2</v>
      </c>
      <c r="E191" s="402" t="s">
        <v>184</v>
      </c>
      <c r="F191" s="402" t="s">
        <v>792</v>
      </c>
      <c r="G191" s="402">
        <v>413</v>
      </c>
      <c r="H191" s="402" t="s">
        <v>77</v>
      </c>
      <c r="I191" s="402" t="s">
        <v>726</v>
      </c>
      <c r="J191" s="402" t="s">
        <v>727</v>
      </c>
      <c r="K191" s="402">
        <v>1</v>
      </c>
      <c r="L191" s="412" t="s">
        <v>91</v>
      </c>
      <c r="M191" s="418"/>
      <c r="N191" s="444">
        <v>2300</v>
      </c>
      <c r="O191" s="422">
        <f t="shared" si="15"/>
        <v>2300</v>
      </c>
      <c r="P191" s="423"/>
      <c r="Q191" s="68" t="s">
        <v>17</v>
      </c>
      <c r="R191" s="419" t="s">
        <v>723</v>
      </c>
      <c r="S191" s="437" t="s">
        <v>737</v>
      </c>
      <c r="T191" s="402"/>
      <c r="U191" s="419"/>
      <c r="V191" s="412"/>
      <c r="W191" s="413">
        <v>2480</v>
      </c>
      <c r="X191" s="414">
        <f t="shared" si="16"/>
        <v>2480</v>
      </c>
      <c r="Y191" s="415"/>
      <c r="Z191" s="416"/>
      <c r="AA191" s="417" t="e">
        <f t="shared" si="13"/>
        <v>#DIV/0!</v>
      </c>
      <c r="AB191" s="418"/>
      <c r="AC191" s="395" t="s">
        <v>795</v>
      </c>
      <c r="AD191" s="402" t="s">
        <v>421</v>
      </c>
      <c r="AE191" s="425"/>
      <c r="AF191" s="418"/>
    </row>
    <row r="192" spans="1:32" s="21" customFormat="1" ht="43.5" customHeight="1">
      <c r="A192" s="402">
        <f t="shared" si="14"/>
        <v>190</v>
      </c>
      <c r="B192" s="395" t="s">
        <v>143</v>
      </c>
      <c r="C192" s="402">
        <v>1646</v>
      </c>
      <c r="D192" s="402">
        <v>3</v>
      </c>
      <c r="E192" s="402" t="s">
        <v>184</v>
      </c>
      <c r="F192" s="402" t="s">
        <v>796</v>
      </c>
      <c r="G192" s="402">
        <v>413</v>
      </c>
      <c r="H192" s="402" t="s">
        <v>77</v>
      </c>
      <c r="I192" s="402" t="s">
        <v>728</v>
      </c>
      <c r="J192" s="402" t="s">
        <v>729</v>
      </c>
      <c r="K192" s="402">
        <v>2</v>
      </c>
      <c r="L192" s="412" t="s">
        <v>125</v>
      </c>
      <c r="M192" s="418"/>
      <c r="N192" s="422">
        <v>2500</v>
      </c>
      <c r="O192" s="422">
        <f t="shared" si="15"/>
        <v>5000</v>
      </c>
      <c r="P192" s="423"/>
      <c r="Q192" s="68" t="s">
        <v>17</v>
      </c>
      <c r="R192" s="419" t="s">
        <v>723</v>
      </c>
      <c r="S192" s="437" t="s">
        <v>737</v>
      </c>
      <c r="T192" s="402"/>
      <c r="U192" s="419"/>
      <c r="V192" s="412"/>
      <c r="W192" s="413">
        <v>4820</v>
      </c>
      <c r="X192" s="414">
        <f t="shared" si="16"/>
        <v>9640</v>
      </c>
      <c r="Y192" s="415"/>
      <c r="Z192" s="416"/>
      <c r="AA192" s="417" t="e">
        <f t="shared" si="13"/>
        <v>#DIV/0!</v>
      </c>
      <c r="AB192" s="418">
        <v>155</v>
      </c>
      <c r="AC192" s="418"/>
      <c r="AD192" s="402" t="s">
        <v>535</v>
      </c>
      <c r="AE192" s="425"/>
      <c r="AF192" s="418"/>
    </row>
    <row r="193" spans="1:32" s="21" customFormat="1" ht="43.5" customHeight="1">
      <c r="A193" s="402">
        <f t="shared" si="14"/>
        <v>191</v>
      </c>
      <c r="B193" s="395" t="s">
        <v>662</v>
      </c>
      <c r="C193" s="402">
        <v>1647</v>
      </c>
      <c r="D193" s="402">
        <v>4</v>
      </c>
      <c r="E193" s="402" t="s">
        <v>184</v>
      </c>
      <c r="F193" s="402" t="s">
        <v>732</v>
      </c>
      <c r="G193" s="402">
        <v>413</v>
      </c>
      <c r="H193" s="402" t="s">
        <v>77</v>
      </c>
      <c r="I193" s="402" t="s">
        <v>730</v>
      </c>
      <c r="J193" s="402" t="s">
        <v>731</v>
      </c>
      <c r="K193" s="402">
        <v>1</v>
      </c>
      <c r="L193" s="412" t="s">
        <v>125</v>
      </c>
      <c r="M193" s="418"/>
      <c r="N193" s="422">
        <v>2400</v>
      </c>
      <c r="O193" s="422">
        <f t="shared" si="15"/>
        <v>2400</v>
      </c>
      <c r="P193" s="426"/>
      <c r="Q193" s="68" t="s">
        <v>17</v>
      </c>
      <c r="R193" s="402" t="s">
        <v>723</v>
      </c>
      <c r="S193" s="437" t="s">
        <v>737</v>
      </c>
      <c r="T193" s="402"/>
      <c r="U193" s="419"/>
      <c r="V193" s="412"/>
      <c r="W193" s="413">
        <v>5530</v>
      </c>
      <c r="X193" s="414">
        <f t="shared" si="16"/>
        <v>5530</v>
      </c>
      <c r="Y193" s="415"/>
      <c r="Z193" s="416"/>
      <c r="AA193" s="417" t="e">
        <f t="shared" si="13"/>
        <v>#DIV/0!</v>
      </c>
      <c r="AB193" s="418"/>
      <c r="AC193" s="418"/>
      <c r="AD193" s="402" t="s">
        <v>540</v>
      </c>
      <c r="AE193" s="425"/>
      <c r="AF193" s="418"/>
    </row>
    <row r="194" spans="1:32" s="21" customFormat="1" ht="43.5" customHeight="1">
      <c r="A194" s="402">
        <f t="shared" si="14"/>
        <v>192</v>
      </c>
      <c r="B194" s="395" t="s">
        <v>763</v>
      </c>
      <c r="C194" s="402">
        <v>1648</v>
      </c>
      <c r="D194" s="402">
        <v>5</v>
      </c>
      <c r="E194" s="402" t="s">
        <v>184</v>
      </c>
      <c r="F194" s="402" t="s">
        <v>734</v>
      </c>
      <c r="G194" s="402">
        <v>413</v>
      </c>
      <c r="H194" s="402" t="s">
        <v>77</v>
      </c>
      <c r="I194" s="402" t="s">
        <v>736</v>
      </c>
      <c r="J194" s="402" t="s">
        <v>251</v>
      </c>
      <c r="K194" s="402">
        <v>4</v>
      </c>
      <c r="L194" s="412" t="s">
        <v>76</v>
      </c>
      <c r="M194" s="418"/>
      <c r="N194" s="422">
        <v>1100</v>
      </c>
      <c r="O194" s="422">
        <f t="shared" si="15"/>
        <v>4400</v>
      </c>
      <c r="P194" s="426"/>
      <c r="Q194" s="390" t="s">
        <v>39</v>
      </c>
      <c r="R194" s="402" t="s">
        <v>723</v>
      </c>
      <c r="S194" s="437" t="s">
        <v>737</v>
      </c>
      <c r="T194" s="402"/>
      <c r="U194" s="419"/>
      <c r="V194" s="412" t="s">
        <v>733</v>
      </c>
      <c r="W194" s="413">
        <v>1500</v>
      </c>
      <c r="X194" s="414">
        <f t="shared" si="16"/>
        <v>6000</v>
      </c>
      <c r="Y194" s="415"/>
      <c r="Z194" s="473">
        <v>1.18</v>
      </c>
      <c r="AA194" s="474">
        <f t="shared" si="13"/>
        <v>1.1556240369799691</v>
      </c>
      <c r="AB194" s="418"/>
      <c r="AC194" s="418"/>
      <c r="AD194" s="402" t="s">
        <v>541</v>
      </c>
      <c r="AE194" s="425"/>
      <c r="AF194" s="418"/>
    </row>
    <row r="195" spans="1:32" s="21" customFormat="1" ht="43.5" customHeight="1">
      <c r="A195" s="402">
        <f t="shared" si="14"/>
        <v>193</v>
      </c>
      <c r="B195" s="395"/>
      <c r="C195" s="402">
        <v>1676</v>
      </c>
      <c r="D195" s="402">
        <v>1</v>
      </c>
      <c r="E195" s="402" t="s">
        <v>742</v>
      </c>
      <c r="F195" s="402" t="s">
        <v>743</v>
      </c>
      <c r="G195" s="402">
        <v>415</v>
      </c>
      <c r="H195" s="402" t="s">
        <v>140</v>
      </c>
      <c r="I195" s="402" t="s">
        <v>741</v>
      </c>
      <c r="J195" s="402" t="s">
        <v>744</v>
      </c>
      <c r="K195" s="402">
        <v>1</v>
      </c>
      <c r="L195" s="412" t="s">
        <v>76</v>
      </c>
      <c r="M195" s="418"/>
      <c r="N195" s="422">
        <v>219</v>
      </c>
      <c r="O195" s="422">
        <f t="shared" si="15"/>
        <v>219</v>
      </c>
      <c r="P195" s="426"/>
      <c r="Q195" s="390" t="s">
        <v>39</v>
      </c>
      <c r="R195" s="402" t="s">
        <v>820</v>
      </c>
      <c r="S195" s="437">
        <v>45705</v>
      </c>
      <c r="T195" s="402"/>
      <c r="U195" s="419"/>
      <c r="V195" s="412"/>
      <c r="W195" s="413">
        <v>410</v>
      </c>
      <c r="X195" s="414">
        <f t="shared" si="16"/>
        <v>410</v>
      </c>
      <c r="Y195" s="415"/>
      <c r="Z195" s="416"/>
      <c r="AA195" s="417" t="e">
        <f t="shared" ref="AA195:AA258" si="17">X195/O195/Z195</f>
        <v>#DIV/0!</v>
      </c>
      <c r="AB195" s="418">
        <v>142</v>
      </c>
      <c r="AC195" s="418"/>
      <c r="AD195" s="402" t="s">
        <v>701</v>
      </c>
      <c r="AE195" s="425"/>
      <c r="AF195" s="418"/>
    </row>
    <row r="196" spans="1:32" s="21" customFormat="1" ht="43.5" customHeight="1">
      <c r="A196" s="402">
        <f t="shared" ref="A196:A259" si="18">A195+1</f>
        <v>194</v>
      </c>
      <c r="B196" s="395"/>
      <c r="C196" s="402">
        <v>1692</v>
      </c>
      <c r="D196" s="402">
        <v>1</v>
      </c>
      <c r="E196" s="402" t="s">
        <v>742</v>
      </c>
      <c r="F196" s="402" t="s">
        <v>743</v>
      </c>
      <c r="G196" s="402">
        <v>415</v>
      </c>
      <c r="H196" s="402" t="s">
        <v>140</v>
      </c>
      <c r="I196" s="402" t="s">
        <v>821</v>
      </c>
      <c r="J196" s="402" t="s">
        <v>744</v>
      </c>
      <c r="K196" s="402">
        <v>1</v>
      </c>
      <c r="L196" s="412" t="s">
        <v>76</v>
      </c>
      <c r="M196" s="418"/>
      <c r="N196" s="422">
        <v>350</v>
      </c>
      <c r="O196" s="422">
        <f t="shared" si="15"/>
        <v>350</v>
      </c>
      <c r="P196" s="426"/>
      <c r="Q196" s="390" t="s">
        <v>39</v>
      </c>
      <c r="R196" s="402" t="s">
        <v>820</v>
      </c>
      <c r="S196" s="437">
        <v>45705</v>
      </c>
      <c r="T196" s="402"/>
      <c r="U196" s="419"/>
      <c r="V196" s="412" t="s">
        <v>741</v>
      </c>
      <c r="W196" s="413">
        <v>410</v>
      </c>
      <c r="X196" s="414">
        <f t="shared" si="16"/>
        <v>410</v>
      </c>
      <c r="Y196" s="415"/>
      <c r="Z196" s="416"/>
      <c r="AA196" s="417" t="e">
        <f t="shared" si="17"/>
        <v>#DIV/0!</v>
      </c>
      <c r="AB196" s="418">
        <v>142</v>
      </c>
      <c r="AC196" s="418"/>
      <c r="AD196" s="402" t="s">
        <v>707</v>
      </c>
      <c r="AE196" s="425"/>
      <c r="AF196" s="418"/>
    </row>
    <row r="197" spans="1:32" s="21" customFormat="1" ht="43.5" customHeight="1">
      <c r="A197" s="402">
        <f t="shared" si="18"/>
        <v>195</v>
      </c>
      <c r="B197" s="395" t="s">
        <v>760</v>
      </c>
      <c r="C197" s="402">
        <v>1694</v>
      </c>
      <c r="D197" s="402">
        <v>1</v>
      </c>
      <c r="E197" s="402" t="s">
        <v>184</v>
      </c>
      <c r="F197" s="402" t="s">
        <v>776</v>
      </c>
      <c r="G197" s="402">
        <v>420</v>
      </c>
      <c r="H197" s="402" t="s">
        <v>140</v>
      </c>
      <c r="I197" s="402" t="s">
        <v>753</v>
      </c>
      <c r="J197" s="402" t="s">
        <v>749</v>
      </c>
      <c r="K197" s="402">
        <v>1</v>
      </c>
      <c r="L197" s="412" t="s">
        <v>125</v>
      </c>
      <c r="M197" s="418"/>
      <c r="N197" s="422">
        <v>14500</v>
      </c>
      <c r="O197" s="422">
        <f t="shared" si="15"/>
        <v>14500</v>
      </c>
      <c r="P197" s="426"/>
      <c r="Q197" s="24" t="s">
        <v>39</v>
      </c>
      <c r="R197" s="402" t="s">
        <v>750</v>
      </c>
      <c r="S197" s="437">
        <v>45714</v>
      </c>
      <c r="T197" s="402"/>
      <c r="U197" s="419"/>
      <c r="V197" s="412"/>
      <c r="W197" s="413">
        <v>24000</v>
      </c>
      <c r="X197" s="414">
        <f t="shared" si="16"/>
        <v>24000</v>
      </c>
      <c r="Y197" s="415"/>
      <c r="Z197" s="416"/>
      <c r="AA197" s="417" t="e">
        <f t="shared" si="17"/>
        <v>#DIV/0!</v>
      </c>
      <c r="AB197" s="418"/>
      <c r="AC197" s="418"/>
      <c r="AD197" s="418"/>
      <c r="AE197" s="425"/>
      <c r="AF197" s="418"/>
    </row>
    <row r="198" spans="1:32" s="21" customFormat="1" ht="48.95" customHeight="1">
      <c r="A198" s="402">
        <f t="shared" si="18"/>
        <v>196</v>
      </c>
      <c r="B198" s="395" t="s">
        <v>760</v>
      </c>
      <c r="C198" s="402">
        <v>1695</v>
      </c>
      <c r="D198" s="402">
        <v>2</v>
      </c>
      <c r="E198" s="402" t="s">
        <v>184</v>
      </c>
      <c r="F198" s="402" t="s">
        <v>776</v>
      </c>
      <c r="G198" s="402">
        <v>420</v>
      </c>
      <c r="H198" s="402" t="s">
        <v>140</v>
      </c>
      <c r="I198" s="402" t="s">
        <v>752</v>
      </c>
      <c r="J198" s="402" t="s">
        <v>751</v>
      </c>
      <c r="K198" s="402">
        <v>1</v>
      </c>
      <c r="L198" s="412" t="s">
        <v>125</v>
      </c>
      <c r="M198" s="418"/>
      <c r="N198" s="422">
        <v>16500</v>
      </c>
      <c r="O198" s="422">
        <f t="shared" si="15"/>
        <v>16500</v>
      </c>
      <c r="P198" s="426"/>
      <c r="Q198" s="24" t="s">
        <v>39</v>
      </c>
      <c r="R198" s="402" t="s">
        <v>750</v>
      </c>
      <c r="S198" s="437">
        <v>45714</v>
      </c>
      <c r="T198" s="402"/>
      <c r="U198" s="419"/>
      <c r="V198" s="412"/>
      <c r="W198" s="413">
        <v>26230</v>
      </c>
      <c r="X198" s="414">
        <f t="shared" si="16"/>
        <v>26230</v>
      </c>
      <c r="Y198" s="415"/>
      <c r="Z198" s="416"/>
      <c r="AA198" s="417" t="e">
        <f t="shared" si="17"/>
        <v>#DIV/0!</v>
      </c>
      <c r="AB198" s="418"/>
      <c r="AC198" s="418"/>
      <c r="AD198" s="418"/>
      <c r="AE198" s="425"/>
      <c r="AF198" s="418"/>
    </row>
    <row r="199" spans="1:32" s="21" customFormat="1" ht="39" customHeight="1">
      <c r="A199" s="402">
        <f t="shared" si="18"/>
        <v>197</v>
      </c>
      <c r="B199" s="395"/>
      <c r="C199" s="402">
        <v>1696</v>
      </c>
      <c r="D199" s="402">
        <v>3</v>
      </c>
      <c r="E199" s="402" t="s">
        <v>184</v>
      </c>
      <c r="F199" s="402" t="s">
        <v>257</v>
      </c>
      <c r="G199" s="402">
        <v>420</v>
      </c>
      <c r="H199" s="402" t="s">
        <v>140</v>
      </c>
      <c r="I199" s="402" t="s">
        <v>754</v>
      </c>
      <c r="J199" s="402" t="s">
        <v>757</v>
      </c>
      <c r="K199" s="402">
        <v>1</v>
      </c>
      <c r="L199" s="412" t="s">
        <v>125</v>
      </c>
      <c r="M199" s="422">
        <v>27295</v>
      </c>
      <c r="N199" s="422">
        <v>25000</v>
      </c>
      <c r="O199" s="422">
        <f t="shared" si="15"/>
        <v>25000</v>
      </c>
      <c r="P199" s="426"/>
      <c r="Q199" s="24" t="s">
        <v>39</v>
      </c>
      <c r="R199" s="402" t="s">
        <v>750</v>
      </c>
      <c r="S199" s="437">
        <v>45714</v>
      </c>
      <c r="T199" s="402"/>
      <c r="U199" s="419"/>
      <c r="V199" s="412"/>
      <c r="W199" s="413">
        <v>41610</v>
      </c>
      <c r="X199" s="414">
        <f t="shared" si="16"/>
        <v>41610</v>
      </c>
      <c r="Y199" s="415"/>
      <c r="Z199" s="416"/>
      <c r="AA199" s="417" t="e">
        <f t="shared" si="17"/>
        <v>#DIV/0!</v>
      </c>
      <c r="AB199" s="418"/>
      <c r="AC199" s="395"/>
      <c r="AD199" s="418"/>
      <c r="AE199" s="425"/>
      <c r="AF199" s="418"/>
    </row>
    <row r="200" spans="1:32" s="21" customFormat="1" ht="43.5" customHeight="1">
      <c r="A200" s="402">
        <f t="shared" si="18"/>
        <v>198</v>
      </c>
      <c r="B200" s="395"/>
      <c r="C200" s="402">
        <v>1697</v>
      </c>
      <c r="D200" s="402">
        <v>1</v>
      </c>
      <c r="E200" s="402" t="s">
        <v>184</v>
      </c>
      <c r="F200" s="402" t="s">
        <v>782</v>
      </c>
      <c r="G200" s="402">
        <v>420</v>
      </c>
      <c r="H200" s="402" t="s">
        <v>140</v>
      </c>
      <c r="I200" s="402" t="s">
        <v>1007</v>
      </c>
      <c r="J200" s="402" t="s">
        <v>756</v>
      </c>
      <c r="K200" s="402">
        <v>1</v>
      </c>
      <c r="L200" s="412" t="s">
        <v>125</v>
      </c>
      <c r="M200" s="412">
        <v>22500</v>
      </c>
      <c r="N200" s="422">
        <v>22000</v>
      </c>
      <c r="O200" s="422">
        <f t="shared" si="15"/>
        <v>22000</v>
      </c>
      <c r="P200" s="426"/>
      <c r="Q200" s="514" t="s">
        <v>35</v>
      </c>
      <c r="R200" s="402" t="s">
        <v>765</v>
      </c>
      <c r="S200" s="437">
        <v>45714</v>
      </c>
      <c r="T200" s="402"/>
      <c r="U200" s="419"/>
      <c r="V200" s="412"/>
      <c r="W200" s="413">
        <v>34800</v>
      </c>
      <c r="X200" s="414">
        <f t="shared" si="16"/>
        <v>34800</v>
      </c>
      <c r="Y200" s="415"/>
      <c r="Z200" s="416"/>
      <c r="AA200" s="417" t="e">
        <f t="shared" si="17"/>
        <v>#DIV/0!</v>
      </c>
      <c r="AB200" s="418"/>
      <c r="AC200" s="396" t="s">
        <v>793</v>
      </c>
      <c r="AD200" s="395" t="s">
        <v>1006</v>
      </c>
      <c r="AE200" s="425"/>
      <c r="AF200" s="418"/>
    </row>
    <row r="201" spans="1:32" s="21" customFormat="1" ht="43.5" customHeight="1">
      <c r="A201" s="402">
        <f t="shared" si="18"/>
        <v>199</v>
      </c>
      <c r="B201" s="395"/>
      <c r="C201" s="411">
        <v>1698</v>
      </c>
      <c r="D201" s="411">
        <v>2</v>
      </c>
      <c r="E201" s="411" t="s">
        <v>184</v>
      </c>
      <c r="F201" s="411" t="s">
        <v>761</v>
      </c>
      <c r="G201" s="411">
        <v>420</v>
      </c>
      <c r="H201" s="402" t="s">
        <v>140</v>
      </c>
      <c r="I201" s="411" t="s">
        <v>759</v>
      </c>
      <c r="J201" s="411" t="s">
        <v>758</v>
      </c>
      <c r="K201" s="411">
        <v>1</v>
      </c>
      <c r="L201" s="475" t="s">
        <v>125</v>
      </c>
      <c r="M201" s="444">
        <v>17500</v>
      </c>
      <c r="N201" s="444">
        <v>16800</v>
      </c>
      <c r="O201" s="422">
        <f t="shared" si="15"/>
        <v>16800</v>
      </c>
      <c r="P201" s="426"/>
      <c r="Q201" s="394" t="s">
        <v>203</v>
      </c>
      <c r="R201" s="402" t="s">
        <v>765</v>
      </c>
      <c r="S201" s="437">
        <v>45714</v>
      </c>
      <c r="T201" s="402"/>
      <c r="U201" s="419"/>
      <c r="V201" s="412"/>
      <c r="W201" s="413">
        <v>30000</v>
      </c>
      <c r="X201" s="414">
        <f t="shared" si="16"/>
        <v>30000</v>
      </c>
      <c r="Y201" s="415"/>
      <c r="Z201" s="416"/>
      <c r="AA201" s="417" t="e">
        <f t="shared" si="17"/>
        <v>#DIV/0!</v>
      </c>
      <c r="AB201" s="418"/>
      <c r="AC201" s="395" t="s">
        <v>791</v>
      </c>
      <c r="AD201" s="418"/>
      <c r="AE201" s="425"/>
      <c r="AF201" s="418"/>
    </row>
    <row r="202" spans="1:32" s="21" customFormat="1" ht="43.5" customHeight="1">
      <c r="A202" s="402">
        <f t="shared" si="18"/>
        <v>200</v>
      </c>
      <c r="B202" s="395"/>
      <c r="C202" s="402">
        <v>1869</v>
      </c>
      <c r="D202" s="402">
        <v>2</v>
      </c>
      <c r="E202" s="402" t="s">
        <v>184</v>
      </c>
      <c r="F202" s="402" t="s">
        <v>920</v>
      </c>
      <c r="G202" s="402">
        <v>420</v>
      </c>
      <c r="H202" s="402" t="s">
        <v>140</v>
      </c>
      <c r="I202" s="402" t="s">
        <v>921</v>
      </c>
      <c r="J202" s="402" t="s">
        <v>758</v>
      </c>
      <c r="K202" s="402">
        <v>1</v>
      </c>
      <c r="L202" s="412" t="s">
        <v>125</v>
      </c>
      <c r="M202" s="422"/>
      <c r="N202" s="422">
        <v>19500</v>
      </c>
      <c r="O202" s="422">
        <f t="shared" si="15"/>
        <v>19500</v>
      </c>
      <c r="P202" s="426"/>
      <c r="Q202" s="389" t="s">
        <v>62</v>
      </c>
      <c r="R202" s="402" t="s">
        <v>765</v>
      </c>
      <c r="S202" s="437">
        <v>45714</v>
      </c>
      <c r="T202" s="402"/>
      <c r="U202" s="419"/>
      <c r="V202" s="412"/>
      <c r="W202" s="413">
        <v>30000</v>
      </c>
      <c r="X202" s="414">
        <f t="shared" si="16"/>
        <v>30000</v>
      </c>
      <c r="Y202" s="415"/>
      <c r="Z202" s="416"/>
      <c r="AA202" s="417" t="e">
        <f t="shared" si="17"/>
        <v>#DIV/0!</v>
      </c>
      <c r="AB202" s="418"/>
      <c r="AC202" s="395" t="s">
        <v>1036</v>
      </c>
      <c r="AD202" s="418"/>
      <c r="AE202" s="425"/>
      <c r="AF202" s="418"/>
    </row>
    <row r="203" spans="1:32" s="21" customFormat="1" ht="49.5">
      <c r="A203" s="402">
        <f t="shared" si="18"/>
        <v>201</v>
      </c>
      <c r="B203" s="395"/>
      <c r="C203" s="402">
        <v>1693</v>
      </c>
      <c r="D203" s="402">
        <v>1</v>
      </c>
      <c r="E203" s="402" t="s">
        <v>762</v>
      </c>
      <c r="F203" s="402" t="s">
        <v>247</v>
      </c>
      <c r="G203" s="402" t="s">
        <v>764</v>
      </c>
      <c r="H203" s="402" t="s">
        <v>140</v>
      </c>
      <c r="I203" s="402" t="s">
        <v>248</v>
      </c>
      <c r="J203" s="402" t="s">
        <v>249</v>
      </c>
      <c r="K203" s="402">
        <v>72</v>
      </c>
      <c r="L203" s="412" t="s">
        <v>125</v>
      </c>
      <c r="M203" s="418"/>
      <c r="N203" s="422">
        <v>3650</v>
      </c>
      <c r="O203" s="422">
        <f t="shared" si="15"/>
        <v>262800</v>
      </c>
      <c r="P203" s="426"/>
      <c r="Q203" s="393" t="s">
        <v>16</v>
      </c>
      <c r="R203" s="402"/>
      <c r="S203" s="437"/>
      <c r="T203" s="402"/>
      <c r="U203" s="419"/>
      <c r="V203" s="412"/>
      <c r="W203" s="413">
        <v>0</v>
      </c>
      <c r="X203" s="414">
        <f t="shared" ref="X203:X230" si="19">W203*K203</f>
        <v>0</v>
      </c>
      <c r="Y203" s="415"/>
      <c r="Z203" s="416"/>
      <c r="AA203" s="417" t="e">
        <f t="shared" si="17"/>
        <v>#DIV/0!</v>
      </c>
      <c r="AB203" s="418"/>
      <c r="AC203" s="395" t="s">
        <v>910</v>
      </c>
      <c r="AD203" s="418"/>
      <c r="AE203" s="425"/>
      <c r="AF203" s="418"/>
    </row>
    <row r="204" spans="1:32" s="21" customFormat="1" ht="43.5" customHeight="1">
      <c r="A204" s="402">
        <f t="shared" si="18"/>
        <v>202</v>
      </c>
      <c r="B204" s="395" t="s">
        <v>143</v>
      </c>
      <c r="C204" s="402">
        <v>1699</v>
      </c>
      <c r="D204" s="402">
        <v>3</v>
      </c>
      <c r="E204" s="402" t="s">
        <v>209</v>
      </c>
      <c r="F204" s="509" t="s">
        <v>768</v>
      </c>
      <c r="G204" s="402">
        <v>419</v>
      </c>
      <c r="H204" s="402" t="s">
        <v>140</v>
      </c>
      <c r="I204" s="402" t="s">
        <v>766</v>
      </c>
      <c r="J204" s="402" t="s">
        <v>767</v>
      </c>
      <c r="K204" s="402">
        <v>50</v>
      </c>
      <c r="L204" s="412" t="s">
        <v>76</v>
      </c>
      <c r="M204" s="418"/>
      <c r="N204" s="422">
        <v>9.9172999999999991</v>
      </c>
      <c r="O204" s="422">
        <f t="shared" si="15"/>
        <v>495.86499999999995</v>
      </c>
      <c r="P204" s="423"/>
      <c r="Q204" s="515" t="s">
        <v>34</v>
      </c>
      <c r="R204" s="476" t="s">
        <v>769</v>
      </c>
      <c r="S204" s="437">
        <v>45714</v>
      </c>
      <c r="T204" s="402"/>
      <c r="U204" s="419"/>
      <c r="V204" s="412"/>
      <c r="W204" s="413">
        <v>13</v>
      </c>
      <c r="X204" s="414">
        <f t="shared" si="19"/>
        <v>650</v>
      </c>
      <c r="Y204" s="415"/>
      <c r="Z204" s="416"/>
      <c r="AA204" s="417" t="e">
        <f t="shared" si="17"/>
        <v>#DIV/0!</v>
      </c>
      <c r="AB204" s="418"/>
      <c r="AC204" s="450" t="s">
        <v>1027</v>
      </c>
      <c r="AD204" s="418"/>
      <c r="AE204" s="425"/>
      <c r="AF204" s="418"/>
    </row>
    <row r="205" spans="1:32" s="21" customFormat="1" ht="43.5" customHeight="1">
      <c r="A205" s="402">
        <f t="shared" si="18"/>
        <v>203</v>
      </c>
      <c r="B205" s="395" t="s">
        <v>143</v>
      </c>
      <c r="C205" s="402">
        <v>1700</v>
      </c>
      <c r="D205" s="402">
        <v>3</v>
      </c>
      <c r="E205" s="402" t="s">
        <v>209</v>
      </c>
      <c r="F205" s="402" t="s">
        <v>991</v>
      </c>
      <c r="G205" s="402">
        <v>419</v>
      </c>
      <c r="H205" s="402" t="s">
        <v>140</v>
      </c>
      <c r="I205" s="402" t="s">
        <v>770</v>
      </c>
      <c r="J205" s="402" t="s">
        <v>772</v>
      </c>
      <c r="K205" s="402">
        <v>25</v>
      </c>
      <c r="L205" s="412" t="s">
        <v>76</v>
      </c>
      <c r="M205" s="418">
        <v>20</v>
      </c>
      <c r="N205" s="444">
        <v>21.05</v>
      </c>
      <c r="O205" s="422">
        <f t="shared" si="15"/>
        <v>526.25</v>
      </c>
      <c r="P205" s="423"/>
      <c r="Q205" s="471" t="s">
        <v>12</v>
      </c>
      <c r="R205" s="477" t="s">
        <v>774</v>
      </c>
      <c r="S205" s="437">
        <v>45714</v>
      </c>
      <c r="T205" s="402"/>
      <c r="U205" s="419"/>
      <c r="V205" s="412"/>
      <c r="W205" s="506">
        <v>20</v>
      </c>
      <c r="X205" s="414">
        <f t="shared" si="19"/>
        <v>500</v>
      </c>
      <c r="Y205" s="415"/>
      <c r="Z205" s="416"/>
      <c r="AA205" s="417" t="e">
        <f t="shared" si="17"/>
        <v>#DIV/0!</v>
      </c>
      <c r="AB205" s="418"/>
      <c r="AC205" s="418"/>
      <c r="AD205" s="418"/>
      <c r="AE205" s="425"/>
      <c r="AF205" s="418"/>
    </row>
    <row r="206" spans="1:32" s="21" customFormat="1" ht="43.5" customHeight="1">
      <c r="A206" s="402">
        <f t="shared" si="18"/>
        <v>204</v>
      </c>
      <c r="B206" s="395"/>
      <c r="C206" s="402">
        <v>1701</v>
      </c>
      <c r="D206" s="402">
        <v>14</v>
      </c>
      <c r="E206" s="402" t="s">
        <v>209</v>
      </c>
      <c r="F206" s="402" t="s">
        <v>233</v>
      </c>
      <c r="G206" s="402">
        <v>419</v>
      </c>
      <c r="H206" s="402" t="s">
        <v>140</v>
      </c>
      <c r="I206" s="402" t="s">
        <v>771</v>
      </c>
      <c r="J206" s="402" t="s">
        <v>773</v>
      </c>
      <c r="K206" s="402">
        <v>50</v>
      </c>
      <c r="L206" s="412" t="s">
        <v>76</v>
      </c>
      <c r="M206" s="418"/>
      <c r="N206" s="422">
        <v>63</v>
      </c>
      <c r="O206" s="422">
        <f t="shared" si="15"/>
        <v>3150</v>
      </c>
      <c r="P206" s="423"/>
      <c r="Q206" s="388" t="s">
        <v>20</v>
      </c>
      <c r="R206" s="477" t="s">
        <v>774</v>
      </c>
      <c r="S206" s="437">
        <v>45714</v>
      </c>
      <c r="T206" s="402"/>
      <c r="U206" s="419"/>
      <c r="V206" s="412"/>
      <c r="W206" s="413">
        <v>85</v>
      </c>
      <c r="X206" s="414">
        <f t="shared" si="19"/>
        <v>4250</v>
      </c>
      <c r="Y206" s="415"/>
      <c r="Z206" s="416"/>
      <c r="AA206" s="417" t="e">
        <f t="shared" si="17"/>
        <v>#DIV/0!</v>
      </c>
      <c r="AB206" s="418"/>
      <c r="AC206" s="418" t="s">
        <v>789</v>
      </c>
      <c r="AD206" s="418"/>
      <c r="AE206" s="425"/>
      <c r="AF206" s="418"/>
    </row>
    <row r="207" spans="1:32" s="21" customFormat="1" ht="43.5" customHeight="1">
      <c r="A207" s="402">
        <f t="shared" si="18"/>
        <v>205</v>
      </c>
      <c r="B207" s="395"/>
      <c r="C207" s="402">
        <v>1779</v>
      </c>
      <c r="D207" s="402">
        <v>17</v>
      </c>
      <c r="E207" s="402" t="s">
        <v>209</v>
      </c>
      <c r="F207" s="419" t="s">
        <v>720</v>
      </c>
      <c r="G207" s="402">
        <v>419</v>
      </c>
      <c r="H207" s="402" t="s">
        <v>140</v>
      </c>
      <c r="I207" s="402" t="s">
        <v>787</v>
      </c>
      <c r="J207" s="402" t="s">
        <v>788</v>
      </c>
      <c r="K207" s="402">
        <v>200</v>
      </c>
      <c r="L207" s="412" t="s">
        <v>76</v>
      </c>
      <c r="M207" s="418"/>
      <c r="N207" s="422">
        <v>1.89</v>
      </c>
      <c r="O207" s="422">
        <f t="shared" si="15"/>
        <v>378</v>
      </c>
      <c r="P207" s="423"/>
      <c r="Q207" s="471" t="s">
        <v>12</v>
      </c>
      <c r="R207" s="470" t="s">
        <v>703</v>
      </c>
      <c r="S207" s="437">
        <v>45721</v>
      </c>
      <c r="T207" s="402"/>
      <c r="U207" s="419"/>
      <c r="V207" s="412" t="s">
        <v>786</v>
      </c>
      <c r="W207" s="413">
        <v>2.6</v>
      </c>
      <c r="X207" s="414">
        <f t="shared" si="19"/>
        <v>520</v>
      </c>
      <c r="Y207" s="415"/>
      <c r="Z207" s="416"/>
      <c r="AA207" s="417" t="e">
        <f t="shared" si="17"/>
        <v>#DIV/0!</v>
      </c>
      <c r="AB207" s="418"/>
      <c r="AC207" s="418"/>
      <c r="AD207" s="418"/>
      <c r="AE207" s="425"/>
      <c r="AF207" s="418"/>
    </row>
    <row r="208" spans="1:32" s="21" customFormat="1" ht="43.5" customHeight="1">
      <c r="A208" s="402">
        <f t="shared" si="18"/>
        <v>206</v>
      </c>
      <c r="B208" s="395"/>
      <c r="C208" s="402">
        <v>1767</v>
      </c>
      <c r="D208" s="402">
        <v>1</v>
      </c>
      <c r="E208" s="402" t="s">
        <v>201</v>
      </c>
      <c r="F208" s="419" t="s">
        <v>818</v>
      </c>
      <c r="G208" s="402">
        <v>424</v>
      </c>
      <c r="H208" s="402" t="s">
        <v>140</v>
      </c>
      <c r="I208" s="402" t="s">
        <v>802</v>
      </c>
      <c r="J208" s="402" t="s">
        <v>803</v>
      </c>
      <c r="K208" s="402">
        <v>10</v>
      </c>
      <c r="L208" s="412" t="s">
        <v>76</v>
      </c>
      <c r="M208" s="418"/>
      <c r="N208" s="422">
        <v>10.89</v>
      </c>
      <c r="O208" s="422">
        <f t="shared" si="15"/>
        <v>108.9</v>
      </c>
      <c r="P208" s="423"/>
      <c r="Q208" s="68" t="s">
        <v>17</v>
      </c>
      <c r="R208" s="419" t="s">
        <v>816</v>
      </c>
      <c r="S208" s="437">
        <v>45727</v>
      </c>
      <c r="T208" s="402"/>
      <c r="U208" s="419"/>
      <c r="V208" s="412"/>
      <c r="W208" s="413">
        <v>25</v>
      </c>
      <c r="X208" s="414">
        <f t="shared" si="19"/>
        <v>250</v>
      </c>
      <c r="Y208" s="415"/>
      <c r="Z208" s="416"/>
      <c r="AA208" s="417" t="e">
        <f t="shared" si="17"/>
        <v>#DIV/0!</v>
      </c>
      <c r="AB208" s="418"/>
      <c r="AC208" s="418"/>
      <c r="AD208" s="418"/>
      <c r="AE208" s="425"/>
      <c r="AF208" s="418"/>
    </row>
    <row r="209" spans="1:32" s="21" customFormat="1" ht="43.5" customHeight="1">
      <c r="A209" s="402">
        <f t="shared" si="18"/>
        <v>207</v>
      </c>
      <c r="B209" s="395"/>
      <c r="C209" s="402">
        <v>1768</v>
      </c>
      <c r="D209" s="402">
        <v>2</v>
      </c>
      <c r="E209" s="402" t="s">
        <v>201</v>
      </c>
      <c r="F209" s="419" t="s">
        <v>818</v>
      </c>
      <c r="G209" s="402">
        <v>424</v>
      </c>
      <c r="H209" s="402" t="s">
        <v>140</v>
      </c>
      <c r="I209" s="402" t="s">
        <v>804</v>
      </c>
      <c r="J209" s="402" t="s">
        <v>803</v>
      </c>
      <c r="K209" s="402">
        <v>8</v>
      </c>
      <c r="L209" s="412" t="s">
        <v>76</v>
      </c>
      <c r="M209" s="418"/>
      <c r="N209" s="422">
        <v>18.18</v>
      </c>
      <c r="O209" s="422">
        <f t="shared" si="15"/>
        <v>145.44</v>
      </c>
      <c r="P209" s="423"/>
      <c r="Q209" s="68" t="s">
        <v>17</v>
      </c>
      <c r="R209" s="419" t="s">
        <v>816</v>
      </c>
      <c r="S209" s="437">
        <v>45727</v>
      </c>
      <c r="T209" s="402"/>
      <c r="U209" s="419"/>
      <c r="V209" s="412"/>
      <c r="W209" s="413">
        <v>34.5</v>
      </c>
      <c r="X209" s="414">
        <f t="shared" si="19"/>
        <v>276</v>
      </c>
      <c r="Y209" s="415"/>
      <c r="Z209" s="416"/>
      <c r="AA209" s="417" t="e">
        <f t="shared" si="17"/>
        <v>#DIV/0!</v>
      </c>
      <c r="AB209" s="418"/>
      <c r="AC209" s="418"/>
      <c r="AD209" s="418"/>
      <c r="AE209" s="425"/>
      <c r="AF209" s="418"/>
    </row>
    <row r="210" spans="1:32" s="21" customFormat="1" ht="43.5" customHeight="1">
      <c r="A210" s="402">
        <f t="shared" si="18"/>
        <v>208</v>
      </c>
      <c r="B210" s="395"/>
      <c r="C210" s="402">
        <v>1769</v>
      </c>
      <c r="D210" s="402">
        <v>3</v>
      </c>
      <c r="E210" s="402" t="s">
        <v>201</v>
      </c>
      <c r="F210" s="419" t="s">
        <v>818</v>
      </c>
      <c r="G210" s="402">
        <v>424</v>
      </c>
      <c r="H210" s="402" t="s">
        <v>140</v>
      </c>
      <c r="I210" s="402" t="s">
        <v>806</v>
      </c>
      <c r="J210" s="402" t="s">
        <v>803</v>
      </c>
      <c r="K210" s="402">
        <v>5</v>
      </c>
      <c r="L210" s="412" t="s">
        <v>76</v>
      </c>
      <c r="M210" s="418"/>
      <c r="N210" s="422">
        <v>28.62</v>
      </c>
      <c r="O210" s="422">
        <f t="shared" si="15"/>
        <v>143.1</v>
      </c>
      <c r="P210" s="423"/>
      <c r="Q210" s="68" t="s">
        <v>17</v>
      </c>
      <c r="R210" s="419" t="s">
        <v>816</v>
      </c>
      <c r="S210" s="437">
        <v>45727</v>
      </c>
      <c r="T210" s="402"/>
      <c r="U210" s="419"/>
      <c r="V210" s="412"/>
      <c r="W210" s="413">
        <v>54.5</v>
      </c>
      <c r="X210" s="414">
        <f t="shared" si="19"/>
        <v>272.5</v>
      </c>
      <c r="Y210" s="415"/>
      <c r="Z210" s="416"/>
      <c r="AA210" s="417" t="e">
        <f t="shared" si="17"/>
        <v>#DIV/0!</v>
      </c>
      <c r="AB210" s="418"/>
      <c r="AC210" s="418"/>
      <c r="AD210" s="418"/>
      <c r="AE210" s="425"/>
      <c r="AF210" s="418"/>
    </row>
    <row r="211" spans="1:32" s="21" customFormat="1" ht="43.5" customHeight="1">
      <c r="A211" s="402">
        <f t="shared" si="18"/>
        <v>209</v>
      </c>
      <c r="B211" s="395"/>
      <c r="C211" s="402">
        <v>1770</v>
      </c>
      <c r="D211" s="402">
        <v>4</v>
      </c>
      <c r="E211" s="402" t="s">
        <v>201</v>
      </c>
      <c r="F211" s="419" t="s">
        <v>818</v>
      </c>
      <c r="G211" s="402">
        <v>424</v>
      </c>
      <c r="H211" s="402" t="s">
        <v>140</v>
      </c>
      <c r="I211" s="402" t="s">
        <v>807</v>
      </c>
      <c r="J211" s="402" t="s">
        <v>803</v>
      </c>
      <c r="K211" s="402">
        <v>4</v>
      </c>
      <c r="L211" s="412" t="s">
        <v>76</v>
      </c>
      <c r="M211" s="418"/>
      <c r="N211" s="422">
        <v>23.08</v>
      </c>
      <c r="O211" s="422">
        <f t="shared" si="15"/>
        <v>92.32</v>
      </c>
      <c r="P211" s="423"/>
      <c r="Q211" s="68" t="s">
        <v>17</v>
      </c>
      <c r="R211" s="419" t="s">
        <v>816</v>
      </c>
      <c r="S211" s="437">
        <v>45727</v>
      </c>
      <c r="T211" s="402"/>
      <c r="U211" s="419"/>
      <c r="V211" s="412"/>
      <c r="W211" s="413">
        <v>50</v>
      </c>
      <c r="X211" s="414">
        <f t="shared" si="19"/>
        <v>200</v>
      </c>
      <c r="Y211" s="415"/>
      <c r="Z211" s="416"/>
      <c r="AA211" s="417" t="e">
        <f t="shared" si="17"/>
        <v>#DIV/0!</v>
      </c>
      <c r="AB211" s="418"/>
      <c r="AC211" s="418"/>
      <c r="AD211" s="418"/>
      <c r="AE211" s="425"/>
      <c r="AF211" s="418"/>
    </row>
    <row r="212" spans="1:32" s="21" customFormat="1" ht="43.5" customHeight="1">
      <c r="A212" s="402">
        <f t="shared" si="18"/>
        <v>210</v>
      </c>
      <c r="B212" s="395" t="s">
        <v>143</v>
      </c>
      <c r="C212" s="402">
        <v>1771</v>
      </c>
      <c r="D212" s="402">
        <v>5</v>
      </c>
      <c r="E212" s="402" t="s">
        <v>201</v>
      </c>
      <c r="F212" s="419" t="s">
        <v>1003</v>
      </c>
      <c r="G212" s="402">
        <v>424</v>
      </c>
      <c r="H212" s="402" t="s">
        <v>140</v>
      </c>
      <c r="I212" s="402" t="s">
        <v>817</v>
      </c>
      <c r="J212" s="402" t="s">
        <v>808</v>
      </c>
      <c r="K212" s="402">
        <v>2</v>
      </c>
      <c r="L212" s="412" t="s">
        <v>76</v>
      </c>
      <c r="M212" s="418"/>
      <c r="N212" s="422">
        <v>627</v>
      </c>
      <c r="O212" s="422">
        <f t="shared" si="15"/>
        <v>1254</v>
      </c>
      <c r="P212" s="423"/>
      <c r="Q212" s="68" t="s">
        <v>17</v>
      </c>
      <c r="R212" s="419" t="s">
        <v>816</v>
      </c>
      <c r="S212" s="437">
        <v>45727</v>
      </c>
      <c r="T212" s="402"/>
      <c r="U212" s="419"/>
      <c r="V212" s="412"/>
      <c r="W212" s="413">
        <v>935</v>
      </c>
      <c r="X212" s="414">
        <f t="shared" si="19"/>
        <v>1870</v>
      </c>
      <c r="Y212" s="415"/>
      <c r="Z212" s="416"/>
      <c r="AA212" s="417" t="e">
        <f t="shared" si="17"/>
        <v>#DIV/0!</v>
      </c>
      <c r="AB212" s="418"/>
      <c r="AC212" s="418"/>
      <c r="AD212" s="418"/>
      <c r="AE212" s="425"/>
      <c r="AF212" s="418"/>
    </row>
    <row r="213" spans="1:32" s="21" customFormat="1" ht="43.5" customHeight="1">
      <c r="A213" s="402">
        <f t="shared" si="18"/>
        <v>211</v>
      </c>
      <c r="B213" s="395"/>
      <c r="C213" s="402">
        <v>1772</v>
      </c>
      <c r="D213" s="402">
        <v>6</v>
      </c>
      <c r="E213" s="402" t="s">
        <v>201</v>
      </c>
      <c r="F213" s="419" t="s">
        <v>818</v>
      </c>
      <c r="G213" s="402">
        <v>424</v>
      </c>
      <c r="H213" s="402" t="s">
        <v>140</v>
      </c>
      <c r="I213" s="402" t="s">
        <v>809</v>
      </c>
      <c r="J213" s="402" t="s">
        <v>803</v>
      </c>
      <c r="K213" s="402">
        <v>5</v>
      </c>
      <c r="L213" s="412" t="s">
        <v>76</v>
      </c>
      <c r="M213" s="418"/>
      <c r="N213" s="422">
        <v>31.17</v>
      </c>
      <c r="O213" s="422">
        <f t="shared" si="15"/>
        <v>155.85000000000002</v>
      </c>
      <c r="P213" s="423"/>
      <c r="Q213" s="68" t="s">
        <v>17</v>
      </c>
      <c r="R213" s="419" t="s">
        <v>816</v>
      </c>
      <c r="S213" s="437">
        <v>45727</v>
      </c>
      <c r="T213" s="402"/>
      <c r="U213" s="419"/>
      <c r="V213" s="412"/>
      <c r="W213" s="413">
        <v>78.5</v>
      </c>
      <c r="X213" s="414">
        <f t="shared" si="19"/>
        <v>392.5</v>
      </c>
      <c r="Y213" s="415"/>
      <c r="Z213" s="416"/>
      <c r="AA213" s="417" t="e">
        <f t="shared" si="17"/>
        <v>#DIV/0!</v>
      </c>
      <c r="AB213" s="418"/>
      <c r="AC213" s="418"/>
      <c r="AD213" s="418"/>
      <c r="AE213" s="425"/>
      <c r="AF213" s="418"/>
    </row>
    <row r="214" spans="1:32" s="21" customFormat="1" ht="43.5" customHeight="1">
      <c r="A214" s="402">
        <f t="shared" si="18"/>
        <v>212</v>
      </c>
      <c r="B214" s="395"/>
      <c r="C214" s="402">
        <v>1773</v>
      </c>
      <c r="D214" s="402">
        <v>7</v>
      </c>
      <c r="E214" s="402" t="s">
        <v>201</v>
      </c>
      <c r="F214" s="419" t="s">
        <v>818</v>
      </c>
      <c r="G214" s="402">
        <v>424</v>
      </c>
      <c r="H214" s="402" t="s">
        <v>140</v>
      </c>
      <c r="I214" s="402" t="s">
        <v>810</v>
      </c>
      <c r="J214" s="402" t="s">
        <v>803</v>
      </c>
      <c r="K214" s="402">
        <v>3</v>
      </c>
      <c r="L214" s="412" t="s">
        <v>76</v>
      </c>
      <c r="M214" s="418"/>
      <c r="N214" s="422">
        <v>45.55</v>
      </c>
      <c r="O214" s="422">
        <f t="shared" si="15"/>
        <v>136.64999999999998</v>
      </c>
      <c r="P214" s="423"/>
      <c r="Q214" s="68" t="s">
        <v>17</v>
      </c>
      <c r="R214" s="419" t="s">
        <v>816</v>
      </c>
      <c r="S214" s="437">
        <v>45727</v>
      </c>
      <c r="T214" s="402"/>
      <c r="U214" s="419"/>
      <c r="V214" s="412"/>
      <c r="W214" s="413">
        <v>99</v>
      </c>
      <c r="X214" s="414">
        <f t="shared" si="19"/>
        <v>297</v>
      </c>
      <c r="Y214" s="415"/>
      <c r="Z214" s="416"/>
      <c r="AA214" s="417" t="e">
        <f t="shared" si="17"/>
        <v>#DIV/0!</v>
      </c>
      <c r="AB214" s="418"/>
      <c r="AC214" s="418"/>
      <c r="AD214" s="418"/>
      <c r="AE214" s="425"/>
      <c r="AF214" s="418"/>
    </row>
    <row r="215" spans="1:32" s="21" customFormat="1" ht="43.5" customHeight="1">
      <c r="A215" s="402">
        <f t="shared" si="18"/>
        <v>213</v>
      </c>
      <c r="B215" s="395"/>
      <c r="C215" s="402">
        <v>1774</v>
      </c>
      <c r="D215" s="402">
        <v>8</v>
      </c>
      <c r="E215" s="402" t="s">
        <v>201</v>
      </c>
      <c r="F215" s="419" t="s">
        <v>818</v>
      </c>
      <c r="G215" s="402">
        <v>424</v>
      </c>
      <c r="H215" s="402" t="s">
        <v>140</v>
      </c>
      <c r="I215" s="402" t="s">
        <v>811</v>
      </c>
      <c r="J215" s="402" t="s">
        <v>803</v>
      </c>
      <c r="K215" s="402">
        <v>5</v>
      </c>
      <c r="L215" s="412" t="s">
        <v>76</v>
      </c>
      <c r="M215" s="418"/>
      <c r="N215" s="422">
        <v>29.97</v>
      </c>
      <c r="O215" s="422">
        <f t="shared" si="15"/>
        <v>149.85</v>
      </c>
      <c r="P215" s="423"/>
      <c r="Q215" s="68" t="s">
        <v>17</v>
      </c>
      <c r="R215" s="419" t="s">
        <v>816</v>
      </c>
      <c r="S215" s="437">
        <v>45727</v>
      </c>
      <c r="T215" s="402"/>
      <c r="U215" s="419"/>
      <c r="V215" s="412"/>
      <c r="W215" s="413">
        <v>77</v>
      </c>
      <c r="X215" s="414">
        <f t="shared" si="19"/>
        <v>385</v>
      </c>
      <c r="Y215" s="415"/>
      <c r="Z215" s="416"/>
      <c r="AA215" s="417" t="e">
        <f t="shared" si="17"/>
        <v>#DIV/0!</v>
      </c>
      <c r="AB215" s="418"/>
      <c r="AC215" s="418"/>
      <c r="AD215" s="418"/>
      <c r="AE215" s="425"/>
      <c r="AF215" s="418"/>
    </row>
    <row r="216" spans="1:32" s="21" customFormat="1" ht="43.5" customHeight="1">
      <c r="A216" s="402">
        <f t="shared" si="18"/>
        <v>214</v>
      </c>
      <c r="B216" s="395"/>
      <c r="C216" s="402">
        <v>1775</v>
      </c>
      <c r="D216" s="402">
        <v>9</v>
      </c>
      <c r="E216" s="402" t="s">
        <v>201</v>
      </c>
      <c r="F216" s="419" t="s">
        <v>818</v>
      </c>
      <c r="G216" s="402">
        <v>424</v>
      </c>
      <c r="H216" s="402" t="s">
        <v>140</v>
      </c>
      <c r="I216" s="402" t="s">
        <v>812</v>
      </c>
      <c r="J216" s="402" t="s">
        <v>803</v>
      </c>
      <c r="K216" s="402">
        <v>8</v>
      </c>
      <c r="L216" s="412" t="s">
        <v>76</v>
      </c>
      <c r="M216" s="418"/>
      <c r="N216" s="422">
        <v>24.17</v>
      </c>
      <c r="O216" s="422">
        <f t="shared" si="15"/>
        <v>193.36</v>
      </c>
      <c r="P216" s="423"/>
      <c r="Q216" s="68" t="s">
        <v>17</v>
      </c>
      <c r="R216" s="419" t="s">
        <v>816</v>
      </c>
      <c r="S216" s="437">
        <v>45727</v>
      </c>
      <c r="T216" s="402"/>
      <c r="U216" s="419"/>
      <c r="V216" s="412"/>
      <c r="W216" s="413">
        <v>43</v>
      </c>
      <c r="X216" s="414">
        <f t="shared" si="19"/>
        <v>344</v>
      </c>
      <c r="Y216" s="415"/>
      <c r="Z216" s="416"/>
      <c r="AA216" s="417" t="e">
        <f t="shared" si="17"/>
        <v>#DIV/0!</v>
      </c>
      <c r="AB216" s="418"/>
      <c r="AC216" s="418"/>
      <c r="AD216" s="418"/>
      <c r="AE216" s="425"/>
      <c r="AF216" s="418"/>
    </row>
    <row r="217" spans="1:32" s="21" customFormat="1" ht="43.5" customHeight="1">
      <c r="A217" s="402">
        <f t="shared" si="18"/>
        <v>215</v>
      </c>
      <c r="B217" s="395"/>
      <c r="C217" s="402">
        <v>1776</v>
      </c>
      <c r="D217" s="402">
        <v>10</v>
      </c>
      <c r="E217" s="402" t="s">
        <v>201</v>
      </c>
      <c r="F217" s="419" t="s">
        <v>818</v>
      </c>
      <c r="G217" s="402">
        <v>424</v>
      </c>
      <c r="H217" s="402" t="s">
        <v>140</v>
      </c>
      <c r="I217" s="402" t="s">
        <v>813</v>
      </c>
      <c r="J217" s="402" t="s">
        <v>803</v>
      </c>
      <c r="K217" s="402">
        <v>2</v>
      </c>
      <c r="L217" s="412" t="s">
        <v>76</v>
      </c>
      <c r="M217" s="418"/>
      <c r="N217" s="422">
        <v>43.57</v>
      </c>
      <c r="O217" s="422">
        <f t="shared" si="15"/>
        <v>87.14</v>
      </c>
      <c r="P217" s="423"/>
      <c r="Q217" s="68" t="s">
        <v>17</v>
      </c>
      <c r="R217" s="419" t="s">
        <v>816</v>
      </c>
      <c r="S217" s="437">
        <v>45727</v>
      </c>
      <c r="T217" s="402"/>
      <c r="U217" s="419"/>
      <c r="V217" s="412"/>
      <c r="W217" s="413">
        <v>96.5</v>
      </c>
      <c r="X217" s="414">
        <f t="shared" si="19"/>
        <v>193</v>
      </c>
      <c r="Y217" s="415"/>
      <c r="Z217" s="416"/>
      <c r="AA217" s="417" t="e">
        <f t="shared" si="17"/>
        <v>#DIV/0!</v>
      </c>
      <c r="AB217" s="418"/>
      <c r="AC217" s="418"/>
      <c r="AD217" s="418"/>
      <c r="AE217" s="425"/>
      <c r="AF217" s="418"/>
    </row>
    <row r="218" spans="1:32" s="21" customFormat="1" ht="43.5" customHeight="1">
      <c r="A218" s="402">
        <f t="shared" si="18"/>
        <v>216</v>
      </c>
      <c r="B218" s="395"/>
      <c r="C218" s="402">
        <v>1777</v>
      </c>
      <c r="D218" s="402">
        <v>11</v>
      </c>
      <c r="E218" s="402" t="s">
        <v>201</v>
      </c>
      <c r="F218" s="419" t="s">
        <v>818</v>
      </c>
      <c r="G218" s="402">
        <v>424</v>
      </c>
      <c r="H218" s="402" t="s">
        <v>140</v>
      </c>
      <c r="I218" s="402" t="s">
        <v>814</v>
      </c>
      <c r="J218" s="402" t="s">
        <v>803</v>
      </c>
      <c r="K218" s="402">
        <v>2</v>
      </c>
      <c r="L218" s="412" t="s">
        <v>76</v>
      </c>
      <c r="M218" s="418"/>
      <c r="N218" s="422">
        <v>45.85</v>
      </c>
      <c r="O218" s="422">
        <f t="shared" si="15"/>
        <v>91.7</v>
      </c>
      <c r="P218" s="423"/>
      <c r="Q218" s="68" t="s">
        <v>17</v>
      </c>
      <c r="R218" s="419" t="s">
        <v>816</v>
      </c>
      <c r="S218" s="437">
        <v>45727</v>
      </c>
      <c r="T218" s="402"/>
      <c r="U218" s="419"/>
      <c r="V218" s="412"/>
      <c r="W218" s="413">
        <v>99.5</v>
      </c>
      <c r="X218" s="414">
        <f t="shared" si="19"/>
        <v>199</v>
      </c>
      <c r="Y218" s="415"/>
      <c r="Z218" s="416"/>
      <c r="AA218" s="417" t="e">
        <f t="shared" si="17"/>
        <v>#DIV/0!</v>
      </c>
      <c r="AB218" s="418"/>
      <c r="AC218" s="418"/>
      <c r="AD218" s="418"/>
      <c r="AE218" s="425"/>
      <c r="AF218" s="418"/>
    </row>
    <row r="219" spans="1:32" s="21" customFormat="1" ht="43.5" customHeight="1">
      <c r="A219" s="402">
        <f t="shared" si="18"/>
        <v>217</v>
      </c>
      <c r="B219" s="395" t="s">
        <v>202</v>
      </c>
      <c r="C219" s="402">
        <v>1778</v>
      </c>
      <c r="D219" s="402">
        <v>12</v>
      </c>
      <c r="E219" s="402" t="s">
        <v>201</v>
      </c>
      <c r="F219" s="478" t="s">
        <v>138</v>
      </c>
      <c r="G219" s="402">
        <v>424</v>
      </c>
      <c r="H219" s="402" t="s">
        <v>140</v>
      </c>
      <c r="I219" s="402" t="s">
        <v>238</v>
      </c>
      <c r="J219" s="402" t="s">
        <v>237</v>
      </c>
      <c r="K219" s="402">
        <v>938</v>
      </c>
      <c r="L219" s="412" t="s">
        <v>76</v>
      </c>
      <c r="M219" s="418"/>
      <c r="N219" s="422">
        <v>1.4</v>
      </c>
      <c r="O219" s="422">
        <f t="shared" si="15"/>
        <v>1313.1999999999998</v>
      </c>
      <c r="P219" s="423"/>
      <c r="Q219" s="68" t="s">
        <v>17</v>
      </c>
      <c r="R219" s="419" t="s">
        <v>816</v>
      </c>
      <c r="S219" s="437">
        <v>45727</v>
      </c>
      <c r="T219" s="402"/>
      <c r="U219" s="419"/>
      <c r="V219" s="412" t="s">
        <v>815</v>
      </c>
      <c r="W219" s="413">
        <v>5.6</v>
      </c>
      <c r="X219" s="414">
        <f t="shared" si="19"/>
        <v>5252.7999999999993</v>
      </c>
      <c r="Y219" s="415"/>
      <c r="Z219" s="416"/>
      <c r="AA219" s="417" t="e">
        <f t="shared" si="17"/>
        <v>#DIV/0!</v>
      </c>
      <c r="AB219" s="418"/>
      <c r="AC219" s="418"/>
      <c r="AD219" s="418"/>
      <c r="AE219" s="425"/>
      <c r="AF219" s="418"/>
    </row>
    <row r="220" spans="1:32" s="21" customFormat="1" ht="43.5" customHeight="1">
      <c r="A220" s="402">
        <f t="shared" si="18"/>
        <v>218</v>
      </c>
      <c r="B220" s="401" t="s">
        <v>166</v>
      </c>
      <c r="C220" s="402">
        <v>1809</v>
      </c>
      <c r="D220" s="402">
        <v>1</v>
      </c>
      <c r="E220" s="402" t="s">
        <v>184</v>
      </c>
      <c r="F220" s="419" t="s">
        <v>196</v>
      </c>
      <c r="G220" s="402">
        <v>420</v>
      </c>
      <c r="H220" s="402" t="s">
        <v>140</v>
      </c>
      <c r="I220" s="402" t="s">
        <v>822</v>
      </c>
      <c r="J220" s="402" t="s">
        <v>823</v>
      </c>
      <c r="K220" s="402">
        <v>1</v>
      </c>
      <c r="L220" s="412" t="s">
        <v>76</v>
      </c>
      <c r="M220" s="418"/>
      <c r="N220" s="422">
        <v>1000</v>
      </c>
      <c r="O220" s="422">
        <f t="shared" si="15"/>
        <v>1000</v>
      </c>
      <c r="P220" s="423"/>
      <c r="Q220" s="24" t="s">
        <v>39</v>
      </c>
      <c r="R220" s="419" t="s">
        <v>824</v>
      </c>
      <c r="S220" s="437">
        <v>45733</v>
      </c>
      <c r="T220" s="402"/>
      <c r="U220" s="419"/>
      <c r="V220" s="412"/>
      <c r="W220" s="413">
        <v>2900</v>
      </c>
      <c r="X220" s="414">
        <f t="shared" si="19"/>
        <v>2900</v>
      </c>
      <c r="Y220" s="415"/>
      <c r="Z220" s="416"/>
      <c r="AA220" s="417" t="e">
        <f t="shared" si="17"/>
        <v>#DIV/0!</v>
      </c>
      <c r="AB220" s="418"/>
      <c r="AC220" s="418"/>
      <c r="AD220" s="418"/>
      <c r="AE220" s="425"/>
      <c r="AF220" s="418"/>
    </row>
    <row r="221" spans="1:32" s="21" customFormat="1" ht="43.5" customHeight="1">
      <c r="A221" s="402">
        <f t="shared" si="18"/>
        <v>219</v>
      </c>
      <c r="B221" s="401" t="s">
        <v>166</v>
      </c>
      <c r="C221" s="402">
        <v>1810</v>
      </c>
      <c r="D221" s="402">
        <v>2</v>
      </c>
      <c r="E221" s="402" t="s">
        <v>184</v>
      </c>
      <c r="F221" s="419" t="s">
        <v>886</v>
      </c>
      <c r="G221" s="402">
        <v>420</v>
      </c>
      <c r="H221" s="402" t="s">
        <v>140</v>
      </c>
      <c r="I221" s="402" t="s">
        <v>829</v>
      </c>
      <c r="J221" s="402" t="s">
        <v>827</v>
      </c>
      <c r="K221" s="402">
        <v>1</v>
      </c>
      <c r="L221" s="412" t="s">
        <v>125</v>
      </c>
      <c r="M221" s="418"/>
      <c r="N221" s="422">
        <v>2500</v>
      </c>
      <c r="O221" s="422">
        <f t="shared" si="15"/>
        <v>2500</v>
      </c>
      <c r="P221" s="423"/>
      <c r="Q221" s="68" t="s">
        <v>17</v>
      </c>
      <c r="R221" s="419" t="s">
        <v>824</v>
      </c>
      <c r="S221" s="437">
        <v>45733</v>
      </c>
      <c r="T221" s="402"/>
      <c r="U221" s="419"/>
      <c r="V221" s="412" t="s">
        <v>826</v>
      </c>
      <c r="W221" s="413">
        <v>4335</v>
      </c>
      <c r="X221" s="414">
        <f t="shared" si="19"/>
        <v>4335</v>
      </c>
      <c r="Y221" s="415"/>
      <c r="Z221" s="416"/>
      <c r="AA221" s="417" t="e">
        <f t="shared" si="17"/>
        <v>#DIV/0!</v>
      </c>
      <c r="AB221" s="418"/>
      <c r="AC221" s="418"/>
      <c r="AD221" s="418"/>
      <c r="AE221" s="425"/>
      <c r="AF221" s="418"/>
    </row>
    <row r="222" spans="1:32" s="21" customFormat="1" ht="43.5" customHeight="1">
      <c r="A222" s="402">
        <f t="shared" si="18"/>
        <v>220</v>
      </c>
      <c r="B222" s="401" t="s">
        <v>166</v>
      </c>
      <c r="C222" s="402">
        <v>1811</v>
      </c>
      <c r="D222" s="402">
        <v>3</v>
      </c>
      <c r="E222" s="402" t="s">
        <v>184</v>
      </c>
      <c r="F222" s="419" t="s">
        <v>830</v>
      </c>
      <c r="G222" s="402">
        <v>420</v>
      </c>
      <c r="H222" s="402" t="s">
        <v>140</v>
      </c>
      <c r="I222" s="402" t="s">
        <v>825</v>
      </c>
      <c r="J222" s="402" t="s">
        <v>828</v>
      </c>
      <c r="K222" s="402">
        <v>1</v>
      </c>
      <c r="L222" s="412" t="s">
        <v>76</v>
      </c>
      <c r="M222" s="418"/>
      <c r="N222" s="422">
        <v>5000</v>
      </c>
      <c r="O222" s="422">
        <f t="shared" si="15"/>
        <v>5000</v>
      </c>
      <c r="P222" s="423"/>
      <c r="Q222" s="24" t="s">
        <v>39</v>
      </c>
      <c r="R222" s="419" t="s">
        <v>824</v>
      </c>
      <c r="S222" s="437">
        <v>45733</v>
      </c>
      <c r="T222" s="402"/>
      <c r="U222" s="419"/>
      <c r="V222" s="412"/>
      <c r="W222" s="413">
        <v>8145</v>
      </c>
      <c r="X222" s="414">
        <f t="shared" si="19"/>
        <v>8145</v>
      </c>
      <c r="Y222" s="415"/>
      <c r="Z222" s="416"/>
      <c r="AA222" s="417" t="e">
        <f t="shared" si="17"/>
        <v>#DIV/0!</v>
      </c>
      <c r="AB222" s="418"/>
      <c r="AC222" s="418"/>
      <c r="AD222" s="418"/>
      <c r="AE222" s="425"/>
      <c r="AF222" s="418"/>
    </row>
    <row r="223" spans="1:32" s="21" customFormat="1" ht="43.5" customHeight="1">
      <c r="A223" s="402">
        <f t="shared" si="18"/>
        <v>221</v>
      </c>
      <c r="B223" s="395"/>
      <c r="C223" s="402">
        <v>1812</v>
      </c>
      <c r="D223" s="402">
        <v>1</v>
      </c>
      <c r="E223" s="402" t="s">
        <v>184</v>
      </c>
      <c r="F223" s="419" t="s">
        <v>776</v>
      </c>
      <c r="G223" s="402">
        <v>420</v>
      </c>
      <c r="H223" s="402" t="s">
        <v>140</v>
      </c>
      <c r="I223" s="402" t="s">
        <v>836</v>
      </c>
      <c r="J223" s="402" t="s">
        <v>832</v>
      </c>
      <c r="K223" s="402">
        <v>1</v>
      </c>
      <c r="L223" s="412" t="s">
        <v>125</v>
      </c>
      <c r="M223" s="418"/>
      <c r="N223" s="422">
        <v>65000</v>
      </c>
      <c r="O223" s="422">
        <f t="shared" si="15"/>
        <v>65000</v>
      </c>
      <c r="P223" s="423"/>
      <c r="Q223" s="516" t="s">
        <v>22</v>
      </c>
      <c r="R223" s="419" t="s">
        <v>831</v>
      </c>
      <c r="S223" s="437">
        <v>45733</v>
      </c>
      <c r="T223" s="402"/>
      <c r="U223" s="419"/>
      <c r="V223" s="412"/>
      <c r="W223" s="413">
        <v>107800</v>
      </c>
      <c r="X223" s="414">
        <f t="shared" si="19"/>
        <v>107800</v>
      </c>
      <c r="Y223" s="415"/>
      <c r="Z223" s="416"/>
      <c r="AA223" s="417" t="e">
        <f t="shared" si="17"/>
        <v>#DIV/0!</v>
      </c>
      <c r="AB223" s="418"/>
      <c r="AC223" s="418"/>
      <c r="AD223" s="418"/>
      <c r="AE223" s="425"/>
      <c r="AF223" s="418"/>
    </row>
    <row r="224" spans="1:32" s="21" customFormat="1" ht="43.5" customHeight="1">
      <c r="A224" s="402">
        <f t="shared" si="18"/>
        <v>222</v>
      </c>
      <c r="B224" s="395"/>
      <c r="C224" s="402">
        <v>1813</v>
      </c>
      <c r="D224" s="402">
        <v>2</v>
      </c>
      <c r="E224" s="402" t="s">
        <v>184</v>
      </c>
      <c r="F224" s="419" t="s">
        <v>834</v>
      </c>
      <c r="G224" s="402">
        <v>420</v>
      </c>
      <c r="H224" s="402" t="s">
        <v>140</v>
      </c>
      <c r="I224" s="402" t="s">
        <v>835</v>
      </c>
      <c r="J224" s="402" t="s">
        <v>833</v>
      </c>
      <c r="K224" s="402">
        <v>1</v>
      </c>
      <c r="L224" s="412" t="s">
        <v>125</v>
      </c>
      <c r="M224" s="418"/>
      <c r="N224" s="422">
        <v>32050</v>
      </c>
      <c r="O224" s="422">
        <f t="shared" si="15"/>
        <v>32050</v>
      </c>
      <c r="P224" s="423"/>
      <c r="Q224" s="389" t="s">
        <v>62</v>
      </c>
      <c r="R224" s="419" t="s">
        <v>831</v>
      </c>
      <c r="S224" s="437">
        <v>45733</v>
      </c>
      <c r="T224" s="402"/>
      <c r="U224" s="419"/>
      <c r="V224" s="412"/>
      <c r="W224" s="413">
        <v>49000</v>
      </c>
      <c r="X224" s="414">
        <f t="shared" si="19"/>
        <v>49000</v>
      </c>
      <c r="Y224" s="415"/>
      <c r="Z224" s="416"/>
      <c r="AA224" s="417" t="e">
        <f t="shared" si="17"/>
        <v>#DIV/0!</v>
      </c>
      <c r="AB224" s="418"/>
      <c r="AC224" s="418"/>
      <c r="AD224" s="418"/>
      <c r="AE224" s="425"/>
      <c r="AF224" s="418"/>
    </row>
    <row r="225" spans="1:32" s="21" customFormat="1" ht="43.5" customHeight="1">
      <c r="A225" s="402">
        <f t="shared" si="18"/>
        <v>223</v>
      </c>
      <c r="B225" s="395"/>
      <c r="C225" s="402">
        <v>1819</v>
      </c>
      <c r="D225" s="402">
        <v>1</v>
      </c>
      <c r="E225" s="402" t="s">
        <v>184</v>
      </c>
      <c r="F225" s="419" t="s">
        <v>212</v>
      </c>
      <c r="G225" s="402">
        <v>420</v>
      </c>
      <c r="H225" s="402" t="s">
        <v>77</v>
      </c>
      <c r="I225" s="402" t="s">
        <v>846</v>
      </c>
      <c r="J225" s="402" t="s">
        <v>847</v>
      </c>
      <c r="K225" s="402">
        <v>1</v>
      </c>
      <c r="L225" s="412" t="s">
        <v>849</v>
      </c>
      <c r="M225" s="418"/>
      <c r="N225" s="422">
        <v>4000</v>
      </c>
      <c r="O225" s="422">
        <f t="shared" si="15"/>
        <v>4000</v>
      </c>
      <c r="P225" s="423"/>
      <c r="Q225" s="471" t="s">
        <v>12</v>
      </c>
      <c r="R225" s="419" t="s">
        <v>871</v>
      </c>
      <c r="S225" s="437">
        <v>45734</v>
      </c>
      <c r="T225" s="402"/>
      <c r="U225" s="419"/>
      <c r="V225" s="412"/>
      <c r="W225" s="413">
        <v>6500</v>
      </c>
      <c r="X225" s="414">
        <f t="shared" si="19"/>
        <v>6500</v>
      </c>
      <c r="Y225" s="415"/>
      <c r="Z225" s="416"/>
      <c r="AA225" s="417" t="e">
        <f t="shared" si="17"/>
        <v>#DIV/0!</v>
      </c>
      <c r="AB225" s="418"/>
      <c r="AC225" s="418"/>
      <c r="AD225" s="418"/>
      <c r="AE225" s="425"/>
      <c r="AF225" s="418"/>
    </row>
    <row r="226" spans="1:32" s="21" customFormat="1" ht="43.5" customHeight="1">
      <c r="A226" s="402">
        <f t="shared" si="18"/>
        <v>224</v>
      </c>
      <c r="B226" s="395"/>
      <c r="C226" s="402">
        <v>1820</v>
      </c>
      <c r="D226" s="402">
        <v>2</v>
      </c>
      <c r="E226" s="402" t="s">
        <v>184</v>
      </c>
      <c r="F226" s="447" t="s">
        <v>138</v>
      </c>
      <c r="G226" s="402">
        <v>420</v>
      </c>
      <c r="H226" s="402"/>
      <c r="I226" s="510" t="s">
        <v>1035</v>
      </c>
      <c r="J226" s="510" t="s">
        <v>851</v>
      </c>
      <c r="K226" s="510">
        <v>5</v>
      </c>
      <c r="L226" s="511" t="s">
        <v>76</v>
      </c>
      <c r="M226" s="418"/>
      <c r="N226" s="422">
        <v>68.989999999999995</v>
      </c>
      <c r="O226" s="422">
        <f t="shared" ref="O226:O289" si="20">N226*K226</f>
        <v>344.95</v>
      </c>
      <c r="P226" s="423"/>
      <c r="Q226" s="471" t="s">
        <v>12</v>
      </c>
      <c r="R226" s="419" t="s">
        <v>871</v>
      </c>
      <c r="S226" s="437">
        <v>45734</v>
      </c>
      <c r="T226" s="402"/>
      <c r="U226" s="419"/>
      <c r="V226" s="412"/>
      <c r="W226" s="413">
        <v>180</v>
      </c>
      <c r="X226" s="414">
        <f t="shared" si="19"/>
        <v>900</v>
      </c>
      <c r="Y226" s="415"/>
      <c r="Z226" s="416"/>
      <c r="AA226" s="417" t="e">
        <f t="shared" si="17"/>
        <v>#DIV/0!</v>
      </c>
      <c r="AB226" s="418"/>
      <c r="AC226" s="418"/>
      <c r="AD226" s="418"/>
      <c r="AE226" s="425"/>
      <c r="AF226" s="418"/>
    </row>
    <row r="227" spans="1:32" s="21" customFormat="1" ht="48.75" customHeight="1">
      <c r="A227" s="402">
        <f t="shared" si="18"/>
        <v>225</v>
      </c>
      <c r="B227" s="395"/>
      <c r="C227" s="402">
        <v>1821</v>
      </c>
      <c r="D227" s="402">
        <v>3</v>
      </c>
      <c r="E227" s="402" t="s">
        <v>184</v>
      </c>
      <c r="F227" s="419" t="s">
        <v>880</v>
      </c>
      <c r="G227" s="402">
        <v>420</v>
      </c>
      <c r="H227" s="402" t="s">
        <v>140</v>
      </c>
      <c r="I227" s="402">
        <v>5000198</v>
      </c>
      <c r="J227" s="402" t="s">
        <v>162</v>
      </c>
      <c r="K227" s="402">
        <v>26</v>
      </c>
      <c r="L227" s="412" t="s">
        <v>76</v>
      </c>
      <c r="M227" s="418"/>
      <c r="N227" s="422">
        <v>62.5</v>
      </c>
      <c r="O227" s="422">
        <f t="shared" si="20"/>
        <v>1625</v>
      </c>
      <c r="P227" s="423"/>
      <c r="Q227" s="471" t="s">
        <v>12</v>
      </c>
      <c r="R227" s="419" t="s">
        <v>871</v>
      </c>
      <c r="S227" s="437">
        <v>45734</v>
      </c>
      <c r="T227" s="402"/>
      <c r="U227" s="419"/>
      <c r="V227" s="412"/>
      <c r="W227" s="413">
        <v>100</v>
      </c>
      <c r="X227" s="414">
        <f t="shared" si="19"/>
        <v>2600</v>
      </c>
      <c r="Y227" s="415"/>
      <c r="Z227" s="416"/>
      <c r="AA227" s="417" t="e">
        <f t="shared" si="17"/>
        <v>#DIV/0!</v>
      </c>
      <c r="AB227" s="418"/>
      <c r="AC227" s="418"/>
      <c r="AD227" s="418"/>
      <c r="AE227" s="425"/>
      <c r="AF227" s="418"/>
    </row>
    <row r="228" spans="1:32" s="21" customFormat="1" ht="43.5" customHeight="1">
      <c r="A228" s="402">
        <f t="shared" si="18"/>
        <v>226</v>
      </c>
      <c r="B228" s="395"/>
      <c r="C228" s="402">
        <v>1822</v>
      </c>
      <c r="D228" s="402">
        <v>4</v>
      </c>
      <c r="E228" s="402" t="s">
        <v>184</v>
      </c>
      <c r="F228" s="419" t="s">
        <v>316</v>
      </c>
      <c r="G228" s="402">
        <v>420</v>
      </c>
      <c r="H228" s="402" t="s">
        <v>77</v>
      </c>
      <c r="I228" s="402">
        <v>2608288</v>
      </c>
      <c r="J228" s="402" t="s">
        <v>197</v>
      </c>
      <c r="K228" s="402">
        <v>15</v>
      </c>
      <c r="L228" s="412" t="s">
        <v>91</v>
      </c>
      <c r="M228" s="418"/>
      <c r="N228" s="422">
        <v>195</v>
      </c>
      <c r="O228" s="422">
        <f t="shared" si="20"/>
        <v>2925</v>
      </c>
      <c r="P228" s="423"/>
      <c r="Q228" s="471" t="s">
        <v>12</v>
      </c>
      <c r="R228" s="419" t="s">
        <v>871</v>
      </c>
      <c r="S228" s="437">
        <v>45734</v>
      </c>
      <c r="T228" s="402"/>
      <c r="U228" s="419"/>
      <c r="V228" s="412"/>
      <c r="W228" s="413">
        <v>340</v>
      </c>
      <c r="X228" s="414">
        <f t="shared" si="19"/>
        <v>5100</v>
      </c>
      <c r="Y228" s="415"/>
      <c r="Z228" s="416"/>
      <c r="AA228" s="417" t="e">
        <f t="shared" si="17"/>
        <v>#DIV/0!</v>
      </c>
      <c r="AB228" s="418"/>
      <c r="AC228" s="418"/>
      <c r="AD228" s="418"/>
      <c r="AE228" s="425"/>
      <c r="AF228" s="418"/>
    </row>
    <row r="229" spans="1:32" s="21" customFormat="1" ht="43.5" customHeight="1">
      <c r="A229" s="402">
        <f t="shared" si="18"/>
        <v>227</v>
      </c>
      <c r="B229" s="395" t="s">
        <v>143</v>
      </c>
      <c r="C229" s="402">
        <v>1823</v>
      </c>
      <c r="D229" s="402">
        <v>5</v>
      </c>
      <c r="E229" s="402" t="s">
        <v>184</v>
      </c>
      <c r="F229" s="419" t="s">
        <v>1003</v>
      </c>
      <c r="G229" s="402">
        <v>420</v>
      </c>
      <c r="H229" s="402" t="s">
        <v>140</v>
      </c>
      <c r="I229" s="402">
        <v>9522643</v>
      </c>
      <c r="J229" s="402" t="s">
        <v>162</v>
      </c>
      <c r="K229" s="402">
        <v>4</v>
      </c>
      <c r="L229" s="412" t="s">
        <v>76</v>
      </c>
      <c r="M229" s="418"/>
      <c r="N229" s="422">
        <v>113.75</v>
      </c>
      <c r="O229" s="422">
        <f t="shared" si="20"/>
        <v>455</v>
      </c>
      <c r="P229" s="423"/>
      <c r="Q229" s="471" t="s">
        <v>12</v>
      </c>
      <c r="R229" s="419" t="s">
        <v>871</v>
      </c>
      <c r="S229" s="437">
        <v>45734</v>
      </c>
      <c r="T229" s="402"/>
      <c r="U229" s="419"/>
      <c r="V229" s="412"/>
      <c r="W229" s="413">
        <v>220</v>
      </c>
      <c r="X229" s="414">
        <f t="shared" si="19"/>
        <v>880</v>
      </c>
      <c r="Y229" s="415"/>
      <c r="Z229" s="416"/>
      <c r="AA229" s="417" t="e">
        <f t="shared" si="17"/>
        <v>#DIV/0!</v>
      </c>
      <c r="AB229" s="418"/>
      <c r="AC229" s="418"/>
      <c r="AD229" s="418"/>
      <c r="AE229" s="425"/>
      <c r="AF229" s="418"/>
    </row>
    <row r="230" spans="1:32" s="21" customFormat="1" ht="43.5" customHeight="1">
      <c r="A230" s="402">
        <f t="shared" si="18"/>
        <v>228</v>
      </c>
      <c r="B230" s="395" t="s">
        <v>143</v>
      </c>
      <c r="C230" s="402">
        <v>1824</v>
      </c>
      <c r="D230" s="402">
        <v>6</v>
      </c>
      <c r="E230" s="402" t="s">
        <v>184</v>
      </c>
      <c r="F230" s="402" t="s">
        <v>992</v>
      </c>
      <c r="G230" s="402">
        <v>420</v>
      </c>
      <c r="H230" s="402" t="s">
        <v>140</v>
      </c>
      <c r="I230" s="402" t="s">
        <v>923</v>
      </c>
      <c r="J230" s="402" t="s">
        <v>852</v>
      </c>
      <c r="K230" s="402">
        <v>4</v>
      </c>
      <c r="L230" s="412" t="s">
        <v>76</v>
      </c>
      <c r="M230" s="418"/>
      <c r="N230" s="422">
        <v>206.9</v>
      </c>
      <c r="O230" s="422">
        <f t="shared" si="20"/>
        <v>827.6</v>
      </c>
      <c r="P230" s="423"/>
      <c r="Q230" s="471" t="s">
        <v>12</v>
      </c>
      <c r="R230" s="419" t="s">
        <v>871</v>
      </c>
      <c r="S230" s="437">
        <v>45734</v>
      </c>
      <c r="T230" s="402"/>
      <c r="U230" s="419"/>
      <c r="V230" s="412" t="s">
        <v>873</v>
      </c>
      <c r="W230" s="413">
        <v>355</v>
      </c>
      <c r="X230" s="414">
        <f t="shared" si="19"/>
        <v>1420</v>
      </c>
      <c r="Y230" s="415"/>
      <c r="Z230" s="416"/>
      <c r="AA230" s="417" t="e">
        <f t="shared" si="17"/>
        <v>#DIV/0!</v>
      </c>
      <c r="AB230" s="418"/>
      <c r="AC230" s="418"/>
      <c r="AD230" s="418"/>
      <c r="AE230" s="425"/>
      <c r="AF230" s="418"/>
    </row>
    <row r="231" spans="1:32" s="21" customFormat="1" ht="43.5" customHeight="1">
      <c r="A231" s="402">
        <f t="shared" si="18"/>
        <v>229</v>
      </c>
      <c r="B231" s="395" t="s">
        <v>143</v>
      </c>
      <c r="C231" s="402">
        <v>1825</v>
      </c>
      <c r="D231" s="402">
        <v>7</v>
      </c>
      <c r="E231" s="402" t="s">
        <v>184</v>
      </c>
      <c r="F231" s="402" t="s">
        <v>409</v>
      </c>
      <c r="G231" s="402">
        <v>420</v>
      </c>
      <c r="H231" s="402"/>
      <c r="I231" s="402" t="s">
        <v>872</v>
      </c>
      <c r="J231" s="402" t="s">
        <v>854</v>
      </c>
      <c r="K231" s="402">
        <v>185</v>
      </c>
      <c r="L231" s="412" t="s">
        <v>76</v>
      </c>
      <c r="M231" s="418">
        <v>100</v>
      </c>
      <c r="N231" s="523">
        <v>0.23</v>
      </c>
      <c r="O231" s="422">
        <f t="shared" si="20"/>
        <v>42.550000000000004</v>
      </c>
      <c r="P231" s="423"/>
      <c r="Q231" s="517" t="s">
        <v>12</v>
      </c>
      <c r="R231" s="419" t="s">
        <v>871</v>
      </c>
      <c r="S231" s="437">
        <v>45734</v>
      </c>
      <c r="T231" s="402"/>
      <c r="U231" s="419"/>
      <c r="V231" s="412" t="s">
        <v>853</v>
      </c>
      <c r="W231" s="413">
        <v>3</v>
      </c>
      <c r="X231" s="414">
        <f>W231*M231</f>
        <v>300</v>
      </c>
      <c r="Y231" s="415"/>
      <c r="Z231" s="416"/>
      <c r="AA231" s="417" t="e">
        <f t="shared" si="17"/>
        <v>#DIV/0!</v>
      </c>
      <c r="AB231" s="418"/>
      <c r="AC231" s="418"/>
      <c r="AD231" s="418"/>
      <c r="AE231" s="425"/>
      <c r="AF231" s="418"/>
    </row>
    <row r="232" spans="1:32" s="21" customFormat="1" ht="43.5" customHeight="1">
      <c r="A232" s="402">
        <f t="shared" si="18"/>
        <v>230</v>
      </c>
      <c r="B232" s="395" t="s">
        <v>628</v>
      </c>
      <c r="C232" s="402">
        <v>1826</v>
      </c>
      <c r="D232" s="402">
        <v>8</v>
      </c>
      <c r="E232" s="402" t="s">
        <v>184</v>
      </c>
      <c r="F232" s="419" t="s">
        <v>1037</v>
      </c>
      <c r="G232" s="402">
        <v>420</v>
      </c>
      <c r="H232" s="402" t="s">
        <v>140</v>
      </c>
      <c r="I232" s="402" t="s">
        <v>874</v>
      </c>
      <c r="J232" s="402" t="s">
        <v>856</v>
      </c>
      <c r="K232" s="402">
        <v>4</v>
      </c>
      <c r="L232" s="412" t="s">
        <v>76</v>
      </c>
      <c r="M232" s="418">
        <v>760</v>
      </c>
      <c r="N232" s="422">
        <v>856.76</v>
      </c>
      <c r="O232" s="422">
        <f t="shared" si="20"/>
        <v>3427.04</v>
      </c>
      <c r="P232" s="423"/>
      <c r="Q232" s="387" t="s">
        <v>11</v>
      </c>
      <c r="R232" s="419" t="s">
        <v>871</v>
      </c>
      <c r="S232" s="437">
        <v>45734</v>
      </c>
      <c r="T232" s="402"/>
      <c r="U232" s="419"/>
      <c r="V232" s="412" t="s">
        <v>855</v>
      </c>
      <c r="W232" s="413">
        <v>1120</v>
      </c>
      <c r="X232" s="414">
        <f t="shared" ref="X232:X244" si="21">W232*K232</f>
        <v>4480</v>
      </c>
      <c r="Y232" s="415"/>
      <c r="Z232" s="416"/>
      <c r="AA232" s="417" t="e">
        <f t="shared" si="17"/>
        <v>#DIV/0!</v>
      </c>
      <c r="AB232" s="418"/>
      <c r="AC232" s="418"/>
      <c r="AD232" s="418"/>
      <c r="AE232" s="425"/>
      <c r="AF232" s="418"/>
    </row>
    <row r="233" spans="1:32" s="21" customFormat="1" ht="43.5" customHeight="1">
      <c r="A233" s="402">
        <f t="shared" si="18"/>
        <v>231</v>
      </c>
      <c r="B233" s="395"/>
      <c r="C233" s="402">
        <v>1827</v>
      </c>
      <c r="D233" s="402">
        <v>9</v>
      </c>
      <c r="E233" s="402" t="s">
        <v>184</v>
      </c>
      <c r="F233" s="419" t="s">
        <v>196</v>
      </c>
      <c r="G233" s="402">
        <v>420</v>
      </c>
      <c r="H233" s="402"/>
      <c r="I233" s="402">
        <v>2609173</v>
      </c>
      <c r="J233" s="402" t="s">
        <v>857</v>
      </c>
      <c r="K233" s="402">
        <v>4</v>
      </c>
      <c r="L233" s="412" t="s">
        <v>76</v>
      </c>
      <c r="M233" s="418"/>
      <c r="N233" s="422">
        <v>710</v>
      </c>
      <c r="O233" s="422">
        <f t="shared" si="20"/>
        <v>2840</v>
      </c>
      <c r="P233" s="423"/>
      <c r="Q233" s="68" t="s">
        <v>17</v>
      </c>
      <c r="R233" s="419" t="s">
        <v>871</v>
      </c>
      <c r="S233" s="437">
        <v>45734</v>
      </c>
      <c r="T233" s="402"/>
      <c r="U233" s="419"/>
      <c r="V233" s="412"/>
      <c r="W233" s="413">
        <v>1070</v>
      </c>
      <c r="X233" s="414">
        <f t="shared" si="21"/>
        <v>4280</v>
      </c>
      <c r="Y233" s="415"/>
      <c r="Z233" s="416"/>
      <c r="AA233" s="417" t="e">
        <f t="shared" si="17"/>
        <v>#DIV/0!</v>
      </c>
      <c r="AB233" s="418">
        <v>155</v>
      </c>
      <c r="AC233" s="418"/>
      <c r="AD233" s="418"/>
      <c r="AE233" s="425"/>
      <c r="AF233" s="418"/>
    </row>
    <row r="234" spans="1:32" s="21" customFormat="1" ht="43.5" customHeight="1">
      <c r="A234" s="402">
        <f t="shared" si="18"/>
        <v>232</v>
      </c>
      <c r="B234" s="395"/>
      <c r="C234" s="402">
        <v>1828</v>
      </c>
      <c r="D234" s="402">
        <v>10</v>
      </c>
      <c r="E234" s="402" t="s">
        <v>184</v>
      </c>
      <c r="F234" s="402" t="s">
        <v>883</v>
      </c>
      <c r="G234" s="402">
        <v>420</v>
      </c>
      <c r="H234" s="402"/>
      <c r="I234" s="402" t="s">
        <v>858</v>
      </c>
      <c r="J234" s="402" t="s">
        <v>859</v>
      </c>
      <c r="K234" s="402">
        <v>4</v>
      </c>
      <c r="L234" s="412" t="s">
        <v>76</v>
      </c>
      <c r="M234" s="418"/>
      <c r="N234" s="422">
        <v>5423</v>
      </c>
      <c r="O234" s="422">
        <f t="shared" si="20"/>
        <v>21692</v>
      </c>
      <c r="P234" s="423"/>
      <c r="Q234" s="68" t="s">
        <v>17</v>
      </c>
      <c r="R234" s="419" t="s">
        <v>871</v>
      </c>
      <c r="S234" s="437">
        <v>45734</v>
      </c>
      <c r="T234" s="402"/>
      <c r="U234" s="419"/>
      <c r="V234" s="412"/>
      <c r="W234" s="413">
        <v>7865</v>
      </c>
      <c r="X234" s="414">
        <f t="shared" si="21"/>
        <v>31460</v>
      </c>
      <c r="Y234" s="415"/>
      <c r="Z234" s="416"/>
      <c r="AA234" s="417" t="e">
        <f t="shared" si="17"/>
        <v>#DIV/0!</v>
      </c>
      <c r="AB234" s="418"/>
      <c r="AC234" s="418"/>
      <c r="AD234" s="418"/>
      <c r="AE234" s="425"/>
      <c r="AF234" s="418"/>
    </row>
    <row r="235" spans="1:32" s="21" customFormat="1" ht="43.5" customHeight="1">
      <c r="A235" s="402">
        <f t="shared" si="18"/>
        <v>233</v>
      </c>
      <c r="B235" s="395" t="s">
        <v>143</v>
      </c>
      <c r="C235" s="402">
        <v>1829</v>
      </c>
      <c r="D235" s="402">
        <v>11</v>
      </c>
      <c r="E235" s="402" t="s">
        <v>184</v>
      </c>
      <c r="F235" s="419" t="s">
        <v>1004</v>
      </c>
      <c r="G235" s="402">
        <v>420</v>
      </c>
      <c r="H235" s="402"/>
      <c r="I235" s="402" t="s">
        <v>860</v>
      </c>
      <c r="J235" s="402" t="s">
        <v>135</v>
      </c>
      <c r="K235" s="402">
        <v>4</v>
      </c>
      <c r="L235" s="412" t="s">
        <v>91</v>
      </c>
      <c r="M235" s="418"/>
      <c r="N235" s="422">
        <v>190.56</v>
      </c>
      <c r="O235" s="422">
        <f t="shared" si="20"/>
        <v>762.24</v>
      </c>
      <c r="P235" s="423"/>
      <c r="Q235" s="471" t="s">
        <v>12</v>
      </c>
      <c r="R235" s="419" t="s">
        <v>871</v>
      </c>
      <c r="S235" s="437">
        <v>45734</v>
      </c>
      <c r="T235" s="402"/>
      <c r="U235" s="419"/>
      <c r="V235" s="412"/>
      <c r="W235" s="413">
        <v>340</v>
      </c>
      <c r="X235" s="414">
        <f t="shared" si="21"/>
        <v>1360</v>
      </c>
      <c r="Y235" s="415"/>
      <c r="Z235" s="416"/>
      <c r="AA235" s="417" t="e">
        <f t="shared" si="17"/>
        <v>#DIV/0!</v>
      </c>
      <c r="AB235" s="418"/>
      <c r="AC235" s="418"/>
      <c r="AD235" s="418"/>
      <c r="AE235" s="425"/>
      <c r="AF235" s="418"/>
    </row>
    <row r="236" spans="1:32" s="21" customFormat="1" ht="43.5" customHeight="1">
      <c r="A236" s="402">
        <f t="shared" si="18"/>
        <v>234</v>
      </c>
      <c r="B236" s="395"/>
      <c r="C236" s="402">
        <v>1830</v>
      </c>
      <c r="D236" s="402">
        <v>12</v>
      </c>
      <c r="E236" s="402" t="s">
        <v>184</v>
      </c>
      <c r="F236" s="419" t="s">
        <v>196</v>
      </c>
      <c r="G236" s="402">
        <v>420</v>
      </c>
      <c r="H236" s="402"/>
      <c r="I236" s="402" t="s">
        <v>875</v>
      </c>
      <c r="J236" s="402" t="s">
        <v>862</v>
      </c>
      <c r="K236" s="402">
        <v>1</v>
      </c>
      <c r="L236" s="412" t="s">
        <v>91</v>
      </c>
      <c r="M236" s="418"/>
      <c r="N236" s="422">
        <v>1800</v>
      </c>
      <c r="O236" s="422">
        <f t="shared" si="20"/>
        <v>1800</v>
      </c>
      <c r="P236" s="423"/>
      <c r="Q236" s="68" t="s">
        <v>17</v>
      </c>
      <c r="R236" s="419" t="s">
        <v>871</v>
      </c>
      <c r="S236" s="437">
        <v>45734</v>
      </c>
      <c r="T236" s="402"/>
      <c r="U236" s="419"/>
      <c r="V236" s="412" t="s">
        <v>861</v>
      </c>
      <c r="W236" s="413">
        <v>3520</v>
      </c>
      <c r="X236" s="414">
        <f t="shared" si="21"/>
        <v>3520</v>
      </c>
      <c r="Y236" s="415"/>
      <c r="Z236" s="416"/>
      <c r="AA236" s="417" t="e">
        <f t="shared" si="17"/>
        <v>#DIV/0!</v>
      </c>
      <c r="AB236" s="418">
        <v>155</v>
      </c>
      <c r="AC236" s="418"/>
      <c r="AD236" s="418"/>
      <c r="AE236" s="425"/>
      <c r="AF236" s="418"/>
    </row>
    <row r="237" spans="1:32" s="21" customFormat="1" ht="43.5" customHeight="1">
      <c r="A237" s="402">
        <f t="shared" si="18"/>
        <v>235</v>
      </c>
      <c r="B237" s="395"/>
      <c r="C237" s="402">
        <v>1831</v>
      </c>
      <c r="D237" s="402">
        <v>13</v>
      </c>
      <c r="E237" s="402" t="s">
        <v>184</v>
      </c>
      <c r="F237" s="419" t="s">
        <v>884</v>
      </c>
      <c r="G237" s="402">
        <v>420</v>
      </c>
      <c r="H237" s="402"/>
      <c r="I237" s="402">
        <v>2605084</v>
      </c>
      <c r="J237" s="402" t="s">
        <v>162</v>
      </c>
      <c r="K237" s="402">
        <v>200</v>
      </c>
      <c r="L237" s="412" t="s">
        <v>91</v>
      </c>
      <c r="M237" s="418"/>
      <c r="N237" s="422">
        <v>4.96</v>
      </c>
      <c r="O237" s="422">
        <f t="shared" si="20"/>
        <v>992</v>
      </c>
      <c r="P237" s="423"/>
      <c r="Q237" s="68" t="s">
        <v>17</v>
      </c>
      <c r="R237" s="419" t="s">
        <v>871</v>
      </c>
      <c r="S237" s="437">
        <v>45734</v>
      </c>
      <c r="T237" s="402"/>
      <c r="U237" s="419"/>
      <c r="V237" s="412"/>
      <c r="W237" s="413">
        <v>11</v>
      </c>
      <c r="X237" s="414">
        <f t="shared" si="21"/>
        <v>2200</v>
      </c>
      <c r="Y237" s="415"/>
      <c r="Z237" s="416"/>
      <c r="AA237" s="417" t="e">
        <f t="shared" si="17"/>
        <v>#DIV/0!</v>
      </c>
      <c r="AB237" s="418">
        <v>155</v>
      </c>
      <c r="AC237" s="418"/>
      <c r="AD237" s="418"/>
      <c r="AE237" s="425"/>
      <c r="AF237" s="418"/>
    </row>
    <row r="238" spans="1:32" s="21" customFormat="1" ht="43.5" customHeight="1">
      <c r="A238" s="402">
        <f t="shared" si="18"/>
        <v>236</v>
      </c>
      <c r="B238" s="395" t="s">
        <v>628</v>
      </c>
      <c r="C238" s="402">
        <v>1832</v>
      </c>
      <c r="D238" s="402">
        <v>14</v>
      </c>
      <c r="E238" s="402" t="s">
        <v>184</v>
      </c>
      <c r="F238" s="419" t="s">
        <v>1038</v>
      </c>
      <c r="G238" s="402">
        <v>420</v>
      </c>
      <c r="H238" s="402" t="s">
        <v>888</v>
      </c>
      <c r="I238" s="402" t="s">
        <v>876</v>
      </c>
      <c r="J238" s="402" t="s">
        <v>859</v>
      </c>
      <c r="K238" s="402">
        <v>4</v>
      </c>
      <c r="L238" s="412" t="s">
        <v>76</v>
      </c>
      <c r="M238" s="422">
        <v>750</v>
      </c>
      <c r="N238" s="422">
        <v>813.51</v>
      </c>
      <c r="O238" s="422">
        <f t="shared" si="20"/>
        <v>3254.04</v>
      </c>
      <c r="P238" s="423"/>
      <c r="Q238" s="387" t="s">
        <v>11</v>
      </c>
      <c r="R238" s="419" t="s">
        <v>871</v>
      </c>
      <c r="S238" s="437">
        <v>45734</v>
      </c>
      <c r="T238" s="402"/>
      <c r="U238" s="419"/>
      <c r="V238" s="412" t="s">
        <v>863</v>
      </c>
      <c r="W238" s="413">
        <v>1200</v>
      </c>
      <c r="X238" s="414">
        <f t="shared" si="21"/>
        <v>4800</v>
      </c>
      <c r="Y238" s="415"/>
      <c r="Z238" s="416"/>
      <c r="AA238" s="417" t="e">
        <f t="shared" si="17"/>
        <v>#DIV/0!</v>
      </c>
      <c r="AB238" s="418"/>
      <c r="AC238" s="418"/>
      <c r="AD238" s="418"/>
      <c r="AE238" s="425"/>
      <c r="AF238" s="418"/>
    </row>
    <row r="239" spans="1:32" s="21" customFormat="1" ht="43.5" customHeight="1">
      <c r="A239" s="402">
        <f t="shared" si="18"/>
        <v>237</v>
      </c>
      <c r="B239" s="395"/>
      <c r="C239" s="402">
        <v>1833</v>
      </c>
      <c r="D239" s="402">
        <v>15</v>
      </c>
      <c r="E239" s="402" t="s">
        <v>184</v>
      </c>
      <c r="F239" s="419" t="s">
        <v>886</v>
      </c>
      <c r="G239" s="402">
        <v>420</v>
      </c>
      <c r="H239" s="402" t="s">
        <v>888</v>
      </c>
      <c r="I239" s="402" t="s">
        <v>918</v>
      </c>
      <c r="J239" s="402" t="s">
        <v>864</v>
      </c>
      <c r="K239" s="402">
        <v>1</v>
      </c>
      <c r="L239" s="412" t="s">
        <v>849</v>
      </c>
      <c r="M239" s="418"/>
      <c r="N239" s="422">
        <v>2500</v>
      </c>
      <c r="O239" s="422">
        <f t="shared" si="20"/>
        <v>2500</v>
      </c>
      <c r="P239" s="423"/>
      <c r="Q239" s="68" t="s">
        <v>17</v>
      </c>
      <c r="R239" s="419" t="s">
        <v>871</v>
      </c>
      <c r="S239" s="437">
        <v>45734</v>
      </c>
      <c r="T239" s="402"/>
      <c r="U239" s="419"/>
      <c r="V239" s="412" t="s">
        <v>919</v>
      </c>
      <c r="W239" s="413">
        <v>4200</v>
      </c>
      <c r="X239" s="414">
        <f t="shared" si="21"/>
        <v>4200</v>
      </c>
      <c r="Y239" s="415"/>
      <c r="Z239" s="416"/>
      <c r="AA239" s="417" t="e">
        <f t="shared" si="17"/>
        <v>#DIV/0!</v>
      </c>
      <c r="AB239" s="418"/>
      <c r="AC239" s="395" t="s">
        <v>917</v>
      </c>
      <c r="AD239" s="418"/>
      <c r="AE239" s="425"/>
      <c r="AF239" s="418"/>
    </row>
    <row r="240" spans="1:32" s="21" customFormat="1" ht="43.5" customHeight="1">
      <c r="A240" s="402">
        <f t="shared" si="18"/>
        <v>238</v>
      </c>
      <c r="B240" s="395"/>
      <c r="C240" s="402">
        <v>1834</v>
      </c>
      <c r="D240" s="402">
        <v>16</v>
      </c>
      <c r="E240" s="402" t="s">
        <v>184</v>
      </c>
      <c r="F240" s="419" t="s">
        <v>887</v>
      </c>
      <c r="G240" s="402">
        <v>420</v>
      </c>
      <c r="H240" s="402" t="s">
        <v>888</v>
      </c>
      <c r="I240" s="402" t="s">
        <v>878</v>
      </c>
      <c r="J240" s="402" t="s">
        <v>865</v>
      </c>
      <c r="K240" s="402">
        <v>1</v>
      </c>
      <c r="L240" s="412" t="s">
        <v>849</v>
      </c>
      <c r="M240" s="418"/>
      <c r="N240" s="422">
        <v>3500</v>
      </c>
      <c r="O240" s="422">
        <f t="shared" si="20"/>
        <v>3500</v>
      </c>
      <c r="P240" s="423"/>
      <c r="Q240" s="471" t="s">
        <v>12</v>
      </c>
      <c r="R240" s="419" t="s">
        <v>871</v>
      </c>
      <c r="S240" s="437">
        <v>45734</v>
      </c>
      <c r="T240" s="402"/>
      <c r="U240" s="419"/>
      <c r="V240" s="412"/>
      <c r="W240" s="413">
        <v>7100</v>
      </c>
      <c r="X240" s="414">
        <f t="shared" si="21"/>
        <v>7100</v>
      </c>
      <c r="Y240" s="415"/>
      <c r="Z240" s="416"/>
      <c r="AA240" s="417" t="e">
        <f t="shared" si="17"/>
        <v>#DIV/0!</v>
      </c>
      <c r="AB240" s="418"/>
      <c r="AC240" s="418"/>
      <c r="AD240" s="418"/>
      <c r="AE240" s="425"/>
      <c r="AF240" s="418"/>
    </row>
    <row r="241" spans="1:32" s="21" customFormat="1" ht="43.5" customHeight="1">
      <c r="A241" s="402">
        <f t="shared" si="18"/>
        <v>239</v>
      </c>
      <c r="B241" s="395" t="s">
        <v>143</v>
      </c>
      <c r="C241" s="402">
        <v>1835</v>
      </c>
      <c r="D241" s="402">
        <v>17</v>
      </c>
      <c r="E241" s="402" t="s">
        <v>184</v>
      </c>
      <c r="F241" s="447" t="s">
        <v>666</v>
      </c>
      <c r="G241" s="402">
        <v>420</v>
      </c>
      <c r="H241" s="402" t="s">
        <v>888</v>
      </c>
      <c r="I241" s="510" t="s">
        <v>866</v>
      </c>
      <c r="J241" s="510" t="s">
        <v>867</v>
      </c>
      <c r="K241" s="510">
        <v>1</v>
      </c>
      <c r="L241" s="511" t="s">
        <v>91</v>
      </c>
      <c r="M241" s="450"/>
      <c r="N241" s="465">
        <v>35</v>
      </c>
      <c r="O241" s="422">
        <f t="shared" si="20"/>
        <v>35</v>
      </c>
      <c r="P241" s="423"/>
      <c r="Q241" s="387" t="s">
        <v>11</v>
      </c>
      <c r="R241" s="419" t="s">
        <v>871</v>
      </c>
      <c r="S241" s="437">
        <v>45734</v>
      </c>
      <c r="T241" s="402"/>
      <c r="U241" s="419"/>
      <c r="V241" s="412"/>
      <c r="W241" s="413">
        <v>415</v>
      </c>
      <c r="X241" s="414">
        <f t="shared" si="21"/>
        <v>415</v>
      </c>
      <c r="Y241" s="415"/>
      <c r="Z241" s="416"/>
      <c r="AA241" s="417" t="e">
        <f t="shared" si="17"/>
        <v>#DIV/0!</v>
      </c>
      <c r="AB241" s="418"/>
      <c r="AC241" s="418"/>
      <c r="AD241" s="418"/>
      <c r="AE241" s="425"/>
      <c r="AF241" s="418"/>
    </row>
    <row r="242" spans="1:32" s="21" customFormat="1" ht="43.5" customHeight="1">
      <c r="A242" s="402">
        <f t="shared" si="18"/>
        <v>240</v>
      </c>
      <c r="B242" s="395" t="s">
        <v>628</v>
      </c>
      <c r="C242" s="402">
        <v>1836</v>
      </c>
      <c r="D242" s="402">
        <v>18</v>
      </c>
      <c r="E242" s="402" t="s">
        <v>184</v>
      </c>
      <c r="F242" s="419" t="s">
        <v>887</v>
      </c>
      <c r="G242" s="402">
        <v>420</v>
      </c>
      <c r="H242" s="402" t="s">
        <v>888</v>
      </c>
      <c r="I242" s="402" t="s">
        <v>879</v>
      </c>
      <c r="J242" s="402" t="s">
        <v>869</v>
      </c>
      <c r="K242" s="402">
        <v>1</v>
      </c>
      <c r="L242" s="412" t="s">
        <v>849</v>
      </c>
      <c r="M242" s="418"/>
      <c r="N242" s="422">
        <v>2500</v>
      </c>
      <c r="O242" s="422">
        <f t="shared" si="20"/>
        <v>2500</v>
      </c>
      <c r="P242" s="423"/>
      <c r="Q242" s="471" t="s">
        <v>12</v>
      </c>
      <c r="R242" s="419" t="s">
        <v>871</v>
      </c>
      <c r="S242" s="437">
        <v>45734</v>
      </c>
      <c r="T242" s="402"/>
      <c r="U242" s="419"/>
      <c r="V242" s="412"/>
      <c r="W242" s="413">
        <v>5600</v>
      </c>
      <c r="X242" s="414">
        <f t="shared" si="21"/>
        <v>5600</v>
      </c>
      <c r="Y242" s="415"/>
      <c r="Z242" s="416"/>
      <c r="AA242" s="417" t="e">
        <f t="shared" si="17"/>
        <v>#DIV/0!</v>
      </c>
      <c r="AB242" s="418"/>
      <c r="AC242" s="418"/>
      <c r="AD242" s="418"/>
      <c r="AE242" s="425"/>
      <c r="AF242" s="418"/>
    </row>
    <row r="243" spans="1:32" s="21" customFormat="1" ht="43.5" customHeight="1">
      <c r="A243" s="402">
        <f t="shared" si="18"/>
        <v>241</v>
      </c>
      <c r="B243" s="395"/>
      <c r="C243" s="402">
        <v>1837</v>
      </c>
      <c r="D243" s="402">
        <v>1</v>
      </c>
      <c r="E243" s="402" t="s">
        <v>201</v>
      </c>
      <c r="F243" s="419" t="s">
        <v>907</v>
      </c>
      <c r="G243" s="402">
        <v>424</v>
      </c>
      <c r="H243" s="402" t="s">
        <v>140</v>
      </c>
      <c r="I243" s="402" t="s">
        <v>889</v>
      </c>
      <c r="J243" s="402" t="s">
        <v>890</v>
      </c>
      <c r="K243" s="402">
        <v>1</v>
      </c>
      <c r="L243" s="402" t="s">
        <v>76</v>
      </c>
      <c r="M243" s="418"/>
      <c r="N243" s="422">
        <v>320</v>
      </c>
      <c r="O243" s="422">
        <f t="shared" si="20"/>
        <v>320</v>
      </c>
      <c r="P243" s="423"/>
      <c r="Q243" s="68" t="s">
        <v>17</v>
      </c>
      <c r="R243" s="419" t="s">
        <v>906</v>
      </c>
      <c r="S243" s="437">
        <v>45734</v>
      </c>
      <c r="T243" s="402"/>
      <c r="U243" s="419"/>
      <c r="V243" s="412"/>
      <c r="W243" s="413">
        <v>620</v>
      </c>
      <c r="X243" s="414">
        <f t="shared" si="21"/>
        <v>620</v>
      </c>
      <c r="Y243" s="415"/>
      <c r="Z243" s="416"/>
      <c r="AA243" s="417" t="e">
        <f t="shared" si="17"/>
        <v>#DIV/0!</v>
      </c>
      <c r="AB243" s="418">
        <v>155</v>
      </c>
      <c r="AC243" s="418"/>
      <c r="AD243" s="418"/>
      <c r="AE243" s="425"/>
      <c r="AF243" s="418"/>
    </row>
    <row r="244" spans="1:32" s="21" customFormat="1" ht="43.5" customHeight="1">
      <c r="A244" s="402">
        <f t="shared" si="18"/>
        <v>242</v>
      </c>
      <c r="B244" s="395"/>
      <c r="C244" s="402">
        <v>1838</v>
      </c>
      <c r="D244" s="402">
        <v>2</v>
      </c>
      <c r="E244" s="402" t="s">
        <v>201</v>
      </c>
      <c r="F244" s="419" t="s">
        <v>908</v>
      </c>
      <c r="G244" s="402">
        <v>424</v>
      </c>
      <c r="H244" s="402" t="s">
        <v>140</v>
      </c>
      <c r="I244" s="402" t="s">
        <v>892</v>
      </c>
      <c r="J244" s="402" t="s">
        <v>893</v>
      </c>
      <c r="K244" s="402">
        <v>1</v>
      </c>
      <c r="L244" s="412" t="s">
        <v>905</v>
      </c>
      <c r="M244" s="418"/>
      <c r="N244" s="422">
        <v>2458.2399999999998</v>
      </c>
      <c r="O244" s="422">
        <f t="shared" si="20"/>
        <v>2458.2399999999998</v>
      </c>
      <c r="P244" s="423"/>
      <c r="Q244" s="68" t="s">
        <v>17</v>
      </c>
      <c r="R244" s="419" t="s">
        <v>906</v>
      </c>
      <c r="S244" s="437">
        <v>45734</v>
      </c>
      <c r="T244" s="402"/>
      <c r="U244" s="419"/>
      <c r="V244" s="412"/>
      <c r="W244" s="413">
        <v>3200</v>
      </c>
      <c r="X244" s="414">
        <f t="shared" si="21"/>
        <v>3200</v>
      </c>
      <c r="Y244" s="415" t="s">
        <v>963</v>
      </c>
      <c r="Z244" s="416"/>
      <c r="AA244" s="417" t="e">
        <f t="shared" si="17"/>
        <v>#DIV/0!</v>
      </c>
      <c r="AB244" s="418"/>
      <c r="AC244" s="395" t="s">
        <v>962</v>
      </c>
      <c r="AD244" s="418"/>
      <c r="AE244" s="425"/>
      <c r="AF244" s="418"/>
    </row>
    <row r="245" spans="1:32" s="21" customFormat="1" ht="43.5" customHeight="1">
      <c r="A245" s="402">
        <f t="shared" si="18"/>
        <v>243</v>
      </c>
      <c r="B245" s="395"/>
      <c r="C245" s="402">
        <v>1839</v>
      </c>
      <c r="D245" s="402">
        <v>3</v>
      </c>
      <c r="E245" s="402" t="s">
        <v>201</v>
      </c>
      <c r="F245" s="479" t="s">
        <v>911</v>
      </c>
      <c r="G245" s="402">
        <v>424</v>
      </c>
      <c r="H245" s="402" t="s">
        <v>140</v>
      </c>
      <c r="I245" s="479" t="s">
        <v>894</v>
      </c>
      <c r="J245" s="479" t="s">
        <v>252</v>
      </c>
      <c r="K245" s="479">
        <v>50</v>
      </c>
      <c r="L245" s="480" t="s">
        <v>91</v>
      </c>
      <c r="M245" s="441"/>
      <c r="N245" s="481"/>
      <c r="O245" s="481">
        <f t="shared" si="20"/>
        <v>0</v>
      </c>
      <c r="P245" s="482"/>
      <c r="Q245" s="68" t="s">
        <v>17</v>
      </c>
      <c r="R245" s="479" t="s">
        <v>906</v>
      </c>
      <c r="S245" s="483">
        <v>45734</v>
      </c>
      <c r="T245" s="402"/>
      <c r="U245" s="419"/>
      <c r="V245" s="412"/>
      <c r="W245" s="413">
        <v>297</v>
      </c>
      <c r="X245" s="414">
        <v>0</v>
      </c>
      <c r="Y245" s="415"/>
      <c r="Z245" s="416"/>
      <c r="AA245" s="417" t="e">
        <f t="shared" si="17"/>
        <v>#DIV/0!</v>
      </c>
      <c r="AB245" s="418"/>
      <c r="AC245" s="418"/>
      <c r="AD245" s="418"/>
      <c r="AE245" s="425"/>
      <c r="AF245" s="418"/>
    </row>
    <row r="246" spans="1:32" s="21" customFormat="1" ht="43.5" customHeight="1">
      <c r="A246" s="402">
        <f t="shared" si="18"/>
        <v>244</v>
      </c>
      <c r="B246" s="395"/>
      <c r="C246" s="402">
        <v>1840</v>
      </c>
      <c r="D246" s="402">
        <v>4</v>
      </c>
      <c r="E246" s="402" t="s">
        <v>201</v>
      </c>
      <c r="F246" s="419" t="s">
        <v>138</v>
      </c>
      <c r="G246" s="402">
        <v>424</v>
      </c>
      <c r="H246" s="402" t="s">
        <v>140</v>
      </c>
      <c r="I246" s="402" t="s">
        <v>896</v>
      </c>
      <c r="J246" s="402" t="s">
        <v>897</v>
      </c>
      <c r="K246" s="402">
        <v>300</v>
      </c>
      <c r="L246" s="412" t="s">
        <v>76</v>
      </c>
      <c r="M246" s="418"/>
      <c r="N246" s="422">
        <v>2.82</v>
      </c>
      <c r="O246" s="422">
        <f t="shared" si="20"/>
        <v>846</v>
      </c>
      <c r="P246" s="423"/>
      <c r="Q246" s="68" t="s">
        <v>17</v>
      </c>
      <c r="R246" s="419" t="s">
        <v>906</v>
      </c>
      <c r="S246" s="437">
        <v>45734</v>
      </c>
      <c r="T246" s="402"/>
      <c r="U246" s="419"/>
      <c r="V246" s="412"/>
      <c r="W246" s="413">
        <v>4.5</v>
      </c>
      <c r="X246" s="414">
        <f>W246*K246</f>
        <v>1350</v>
      </c>
      <c r="Y246" s="415"/>
      <c r="Z246" s="416"/>
      <c r="AA246" s="417" t="e">
        <f t="shared" si="17"/>
        <v>#DIV/0!</v>
      </c>
      <c r="AB246" s="418"/>
      <c r="AC246" s="418"/>
      <c r="AD246" s="418"/>
      <c r="AE246" s="425"/>
      <c r="AF246" s="418"/>
    </row>
    <row r="247" spans="1:32" s="21" customFormat="1" ht="43.5" customHeight="1">
      <c r="A247" s="402">
        <f t="shared" si="18"/>
        <v>245</v>
      </c>
      <c r="B247" s="395"/>
      <c r="C247" s="402">
        <v>1841</v>
      </c>
      <c r="D247" s="402">
        <v>5</v>
      </c>
      <c r="E247" s="402" t="s">
        <v>201</v>
      </c>
      <c r="F247" s="419" t="s">
        <v>196</v>
      </c>
      <c r="G247" s="402">
        <v>424</v>
      </c>
      <c r="H247" s="402" t="s">
        <v>140</v>
      </c>
      <c r="I247" s="402" t="s">
        <v>899</v>
      </c>
      <c r="J247" s="402" t="s">
        <v>222</v>
      </c>
      <c r="K247" s="402">
        <v>1</v>
      </c>
      <c r="L247" s="412" t="s">
        <v>76</v>
      </c>
      <c r="M247" s="418"/>
      <c r="N247" s="422">
        <v>800</v>
      </c>
      <c r="O247" s="422">
        <f t="shared" si="20"/>
        <v>800</v>
      </c>
      <c r="P247" s="423"/>
      <c r="Q247" s="68" t="s">
        <v>17</v>
      </c>
      <c r="R247" s="419" t="s">
        <v>906</v>
      </c>
      <c r="S247" s="437">
        <v>45734</v>
      </c>
      <c r="T247" s="402"/>
      <c r="U247" s="419"/>
      <c r="V247" s="412"/>
      <c r="W247" s="413">
        <v>1415</v>
      </c>
      <c r="X247" s="414">
        <f t="shared" ref="X247" si="22">W247*K247</f>
        <v>1415</v>
      </c>
      <c r="Y247" s="415"/>
      <c r="Z247" s="416"/>
      <c r="AA247" s="417" t="e">
        <f t="shared" si="17"/>
        <v>#DIV/0!</v>
      </c>
      <c r="AB247" s="418">
        <v>155</v>
      </c>
      <c r="AC247" s="418"/>
      <c r="AD247" s="418"/>
      <c r="AE247" s="425"/>
      <c r="AF247" s="418"/>
    </row>
    <row r="248" spans="1:32" s="21" customFormat="1" ht="43.5" customHeight="1">
      <c r="A248" s="402">
        <f t="shared" si="18"/>
        <v>246</v>
      </c>
      <c r="B248" s="395"/>
      <c r="C248" s="402">
        <v>1842</v>
      </c>
      <c r="D248" s="402">
        <v>6</v>
      </c>
      <c r="E248" s="402" t="s">
        <v>201</v>
      </c>
      <c r="F248" s="479" t="s">
        <v>911</v>
      </c>
      <c r="G248" s="402">
        <v>424</v>
      </c>
      <c r="H248" s="402" t="s">
        <v>140</v>
      </c>
      <c r="I248" s="402" t="s">
        <v>899</v>
      </c>
      <c r="J248" s="402" t="s">
        <v>222</v>
      </c>
      <c r="K248" s="402">
        <v>3</v>
      </c>
      <c r="L248" s="412" t="s">
        <v>76</v>
      </c>
      <c r="M248" s="418"/>
      <c r="N248" s="422"/>
      <c r="O248" s="422">
        <f t="shared" si="20"/>
        <v>0</v>
      </c>
      <c r="P248" s="423"/>
      <c r="Q248" s="68" t="s">
        <v>17</v>
      </c>
      <c r="R248" s="419" t="s">
        <v>906</v>
      </c>
      <c r="S248" s="437">
        <v>45734</v>
      </c>
      <c r="T248" s="402"/>
      <c r="U248" s="419"/>
      <c r="V248" s="412"/>
      <c r="W248" s="413">
        <v>1415</v>
      </c>
      <c r="X248" s="414">
        <v>0</v>
      </c>
      <c r="Y248" s="415"/>
      <c r="Z248" s="416"/>
      <c r="AA248" s="417" t="e">
        <f t="shared" si="17"/>
        <v>#DIV/0!</v>
      </c>
      <c r="AB248" s="418"/>
      <c r="AC248" s="418"/>
      <c r="AD248" s="418"/>
      <c r="AE248" s="425"/>
      <c r="AF248" s="418"/>
    </row>
    <row r="249" spans="1:32" s="21" customFormat="1" ht="43.5" customHeight="1">
      <c r="A249" s="402">
        <f t="shared" si="18"/>
        <v>247</v>
      </c>
      <c r="B249" s="395"/>
      <c r="C249" s="402">
        <v>1843</v>
      </c>
      <c r="D249" s="402">
        <v>7</v>
      </c>
      <c r="E249" s="402" t="s">
        <v>201</v>
      </c>
      <c r="F249" s="419" t="s">
        <v>196</v>
      </c>
      <c r="G249" s="402">
        <v>424</v>
      </c>
      <c r="H249" s="402" t="s">
        <v>140</v>
      </c>
      <c r="I249" s="402" t="s">
        <v>901</v>
      </c>
      <c r="J249" s="402" t="s">
        <v>902</v>
      </c>
      <c r="K249" s="402">
        <v>1</v>
      </c>
      <c r="L249" s="412" t="s">
        <v>76</v>
      </c>
      <c r="M249" s="418"/>
      <c r="N249" s="422">
        <v>829.65</v>
      </c>
      <c r="O249" s="422">
        <f t="shared" si="20"/>
        <v>829.65</v>
      </c>
      <c r="P249" s="423"/>
      <c r="Q249" s="68" t="s">
        <v>17</v>
      </c>
      <c r="R249" s="419" t="s">
        <v>906</v>
      </c>
      <c r="S249" s="437">
        <v>45734</v>
      </c>
      <c r="T249" s="402"/>
      <c r="U249" s="419"/>
      <c r="V249" s="412"/>
      <c r="W249" s="413">
        <v>1455</v>
      </c>
      <c r="X249" s="414">
        <f t="shared" ref="X249:X250" si="23">W249*K249</f>
        <v>1455</v>
      </c>
      <c r="Y249" s="415"/>
      <c r="Z249" s="416"/>
      <c r="AA249" s="417" t="e">
        <f t="shared" si="17"/>
        <v>#DIV/0!</v>
      </c>
      <c r="AB249" s="418">
        <v>155</v>
      </c>
      <c r="AC249" s="418"/>
      <c r="AD249" s="418"/>
      <c r="AE249" s="425"/>
      <c r="AF249" s="418"/>
    </row>
    <row r="250" spans="1:32" s="21" customFormat="1" ht="43.5" customHeight="1">
      <c r="A250" s="402">
        <f t="shared" si="18"/>
        <v>248</v>
      </c>
      <c r="B250" s="395"/>
      <c r="C250" s="402">
        <v>1844</v>
      </c>
      <c r="D250" s="402">
        <v>8</v>
      </c>
      <c r="E250" s="402" t="s">
        <v>201</v>
      </c>
      <c r="F250" s="419" t="s">
        <v>196</v>
      </c>
      <c r="G250" s="402">
        <v>424</v>
      </c>
      <c r="H250" s="402" t="s">
        <v>140</v>
      </c>
      <c r="I250" s="402" t="s">
        <v>903</v>
      </c>
      <c r="J250" s="402" t="s">
        <v>135</v>
      </c>
      <c r="K250" s="402">
        <v>2</v>
      </c>
      <c r="L250" s="412" t="s">
        <v>76</v>
      </c>
      <c r="M250" s="418"/>
      <c r="N250" s="422">
        <v>150</v>
      </c>
      <c r="O250" s="422">
        <f t="shared" si="20"/>
        <v>300</v>
      </c>
      <c r="P250" s="423"/>
      <c r="Q250" s="68" t="s">
        <v>17</v>
      </c>
      <c r="R250" s="419" t="s">
        <v>906</v>
      </c>
      <c r="S250" s="437">
        <v>45734</v>
      </c>
      <c r="T250" s="402"/>
      <c r="U250" s="419"/>
      <c r="V250" s="412"/>
      <c r="W250" s="413">
        <v>285</v>
      </c>
      <c r="X250" s="414">
        <f t="shared" si="23"/>
        <v>570</v>
      </c>
      <c r="Y250" s="415"/>
      <c r="Z250" s="416"/>
      <c r="AA250" s="417" t="e">
        <f t="shared" si="17"/>
        <v>#DIV/0!</v>
      </c>
      <c r="AB250" s="418">
        <v>155</v>
      </c>
      <c r="AC250" s="418"/>
      <c r="AD250" s="418"/>
      <c r="AE250" s="425"/>
      <c r="AF250" s="418"/>
    </row>
    <row r="251" spans="1:32" s="21" customFormat="1" ht="43.5" customHeight="1" thickBot="1">
      <c r="A251" s="493">
        <f t="shared" si="18"/>
        <v>249</v>
      </c>
      <c r="B251" s="492" t="s">
        <v>143</v>
      </c>
      <c r="C251" s="493">
        <v>1845</v>
      </c>
      <c r="D251" s="493">
        <v>9</v>
      </c>
      <c r="E251" s="493" t="s">
        <v>201</v>
      </c>
      <c r="F251" s="494" t="s">
        <v>1003</v>
      </c>
      <c r="G251" s="493">
        <v>424</v>
      </c>
      <c r="H251" s="493" t="s">
        <v>140</v>
      </c>
      <c r="I251" s="493">
        <v>1015597</v>
      </c>
      <c r="J251" s="493" t="s">
        <v>904</v>
      </c>
      <c r="K251" s="493">
        <v>21</v>
      </c>
      <c r="L251" s="495" t="s">
        <v>76</v>
      </c>
      <c r="M251" s="496"/>
      <c r="N251" s="497">
        <v>97.04</v>
      </c>
      <c r="O251" s="497">
        <f t="shared" si="20"/>
        <v>2037.8400000000001</v>
      </c>
      <c r="P251" s="498"/>
      <c r="Q251" s="491" t="s">
        <v>12</v>
      </c>
      <c r="R251" s="494" t="s">
        <v>906</v>
      </c>
      <c r="S251" s="499">
        <v>45734</v>
      </c>
      <c r="T251" s="493"/>
      <c r="U251" s="494"/>
      <c r="V251" s="495"/>
      <c r="W251" s="500">
        <v>155</v>
      </c>
      <c r="X251" s="501">
        <f>W251*K251</f>
        <v>3255</v>
      </c>
      <c r="Y251" s="502"/>
      <c r="Z251" s="503"/>
      <c r="AA251" s="504" t="e">
        <f t="shared" si="17"/>
        <v>#DIV/0!</v>
      </c>
      <c r="AB251" s="496"/>
      <c r="AC251" s="496"/>
      <c r="AD251" s="496"/>
      <c r="AE251" s="505"/>
      <c r="AF251" s="496"/>
    </row>
    <row r="252" spans="1:32" s="21" customFormat="1" ht="43.5" customHeight="1">
      <c r="A252" s="288">
        <f t="shared" si="18"/>
        <v>250</v>
      </c>
      <c r="B252" s="212"/>
      <c r="C252" s="518">
        <v>1884</v>
      </c>
      <c r="D252" s="288">
        <v>1</v>
      </c>
      <c r="E252" s="288" t="s">
        <v>694</v>
      </c>
      <c r="F252" s="337" t="s">
        <v>964</v>
      </c>
      <c r="G252" s="486">
        <v>430</v>
      </c>
      <c r="H252" s="288" t="s">
        <v>140</v>
      </c>
      <c r="I252" s="288" t="s">
        <v>926</v>
      </c>
      <c r="J252" s="288" t="s">
        <v>927</v>
      </c>
      <c r="K252" s="288">
        <v>1</v>
      </c>
      <c r="L252" s="338" t="s">
        <v>125</v>
      </c>
      <c r="M252" s="339"/>
      <c r="N252" s="42">
        <v>4500</v>
      </c>
      <c r="O252" s="42">
        <f t="shared" si="20"/>
        <v>4500</v>
      </c>
      <c r="P252" s="340"/>
      <c r="Q252" s="512" t="s">
        <v>25</v>
      </c>
      <c r="R252" s="337">
        <v>14041001</v>
      </c>
      <c r="S252" s="341">
        <v>45995</v>
      </c>
      <c r="T252" s="288">
        <v>14031052</v>
      </c>
      <c r="U252" s="337" t="s">
        <v>960</v>
      </c>
      <c r="V252" s="338"/>
      <c r="W252" s="342">
        <v>8430</v>
      </c>
      <c r="X252" s="227">
        <v>8192.9023707848628</v>
      </c>
      <c r="Y252" s="487" t="s">
        <v>928</v>
      </c>
      <c r="Z252" s="488"/>
      <c r="AA252" s="489" t="e">
        <f t="shared" si="17"/>
        <v>#DIV/0!</v>
      </c>
      <c r="AB252" s="339"/>
      <c r="AC252" s="339" t="s">
        <v>840</v>
      </c>
      <c r="AD252" s="490">
        <v>1910</v>
      </c>
      <c r="AE252" s="299">
        <v>8430</v>
      </c>
      <c r="AF252" s="339"/>
    </row>
    <row r="253" spans="1:32" s="21" customFormat="1" ht="43.5" customHeight="1">
      <c r="A253" s="402">
        <f t="shared" si="18"/>
        <v>251</v>
      </c>
      <c r="B253" s="395"/>
      <c r="C253" s="519">
        <v>1885</v>
      </c>
      <c r="D253" s="402">
        <v>2</v>
      </c>
      <c r="E253" s="402" t="s">
        <v>694</v>
      </c>
      <c r="F253" s="419" t="s">
        <v>965</v>
      </c>
      <c r="G253" s="402">
        <v>430</v>
      </c>
      <c r="H253" s="402" t="s">
        <v>140</v>
      </c>
      <c r="I253" s="402" t="s">
        <v>957</v>
      </c>
      <c r="J253" s="402" t="s">
        <v>924</v>
      </c>
      <c r="K253" s="402">
        <v>1</v>
      </c>
      <c r="L253" s="412" t="s">
        <v>929</v>
      </c>
      <c r="M253" s="418"/>
      <c r="N253" s="422">
        <v>1450</v>
      </c>
      <c r="O253" s="422">
        <f t="shared" si="20"/>
        <v>1450</v>
      </c>
      <c r="P253" s="423"/>
      <c r="Q253" s="471" t="s">
        <v>12</v>
      </c>
      <c r="R253" s="419">
        <v>14041001</v>
      </c>
      <c r="S253" s="437">
        <v>45995</v>
      </c>
      <c r="T253" s="402">
        <v>14031052</v>
      </c>
      <c r="U253" s="419" t="s">
        <v>960</v>
      </c>
      <c r="V253" s="412"/>
      <c r="W253" s="413">
        <v>2700</v>
      </c>
      <c r="X253" s="414">
        <v>2624.061257546753</v>
      </c>
      <c r="Y253" s="484" t="s">
        <v>928</v>
      </c>
      <c r="Z253" s="416"/>
      <c r="AA253" s="417" t="e">
        <f t="shared" si="17"/>
        <v>#DIV/0!</v>
      </c>
      <c r="AB253" s="418"/>
      <c r="AC253" s="418" t="s">
        <v>956</v>
      </c>
      <c r="AD253" s="427">
        <v>66000</v>
      </c>
      <c r="AE253" s="425">
        <v>2700</v>
      </c>
      <c r="AF253" s="418"/>
    </row>
    <row r="254" spans="1:32" s="21" customFormat="1" ht="43.5" customHeight="1">
      <c r="A254" s="402">
        <f t="shared" si="18"/>
        <v>252</v>
      </c>
      <c r="B254" s="395"/>
      <c r="C254" s="519">
        <v>1886</v>
      </c>
      <c r="D254" s="402">
        <v>3</v>
      </c>
      <c r="E254" s="402" t="s">
        <v>694</v>
      </c>
      <c r="F254" s="419" t="s">
        <v>966</v>
      </c>
      <c r="G254" s="402">
        <v>430</v>
      </c>
      <c r="H254" s="402" t="s">
        <v>140</v>
      </c>
      <c r="I254" s="402" t="s">
        <v>930</v>
      </c>
      <c r="J254" s="402" t="s">
        <v>931</v>
      </c>
      <c r="K254" s="402">
        <v>1</v>
      </c>
      <c r="L254" s="412" t="s">
        <v>125</v>
      </c>
      <c r="M254" s="418"/>
      <c r="N254" s="422">
        <v>650</v>
      </c>
      <c r="O254" s="422">
        <f t="shared" si="20"/>
        <v>650</v>
      </c>
      <c r="P254" s="423"/>
      <c r="Q254" s="512" t="s">
        <v>25</v>
      </c>
      <c r="R254" s="419">
        <v>14041001</v>
      </c>
      <c r="S254" s="437">
        <v>45995</v>
      </c>
      <c r="T254" s="402">
        <v>14031052</v>
      </c>
      <c r="U254" s="419" t="s">
        <v>960</v>
      </c>
      <c r="V254" s="412"/>
      <c r="W254" s="413">
        <v>1375</v>
      </c>
      <c r="X254" s="414">
        <v>1336.3274922691799</v>
      </c>
      <c r="Y254" s="484" t="s">
        <v>932</v>
      </c>
      <c r="Z254" s="416"/>
      <c r="AA254" s="417" t="e">
        <f t="shared" si="17"/>
        <v>#DIV/0!</v>
      </c>
      <c r="AB254" s="418"/>
      <c r="AC254" s="418" t="s">
        <v>959</v>
      </c>
      <c r="AD254" s="485">
        <f>AD252+AD253</f>
        <v>67910</v>
      </c>
      <c r="AE254" s="425">
        <v>1375</v>
      </c>
      <c r="AF254" s="418"/>
    </row>
    <row r="255" spans="1:32" s="21" customFormat="1" ht="43.5" customHeight="1">
      <c r="A255" s="402">
        <f t="shared" si="18"/>
        <v>253</v>
      </c>
      <c r="B255" s="395"/>
      <c r="C255" s="519">
        <v>1887</v>
      </c>
      <c r="D255" s="402">
        <v>4</v>
      </c>
      <c r="E255" s="402" t="s">
        <v>694</v>
      </c>
      <c r="F255" s="419" t="s">
        <v>966</v>
      </c>
      <c r="G255" s="402">
        <v>430</v>
      </c>
      <c r="H255" s="402" t="s">
        <v>140</v>
      </c>
      <c r="I255" s="402" t="s">
        <v>933</v>
      </c>
      <c r="J255" s="402" t="s">
        <v>934</v>
      </c>
      <c r="K255" s="402">
        <v>1</v>
      </c>
      <c r="L255" s="412" t="s">
        <v>125</v>
      </c>
      <c r="M255" s="418"/>
      <c r="N255" s="422">
        <v>650</v>
      </c>
      <c r="O255" s="422">
        <f t="shared" si="20"/>
        <v>650</v>
      </c>
      <c r="P255" s="423"/>
      <c r="Q255" s="512" t="s">
        <v>25</v>
      </c>
      <c r="R255" s="419">
        <v>14041001</v>
      </c>
      <c r="S255" s="437">
        <v>45995</v>
      </c>
      <c r="T255" s="402">
        <v>14031052</v>
      </c>
      <c r="U255" s="419" t="s">
        <v>960</v>
      </c>
      <c r="V255" s="412"/>
      <c r="W255" s="413">
        <v>1375</v>
      </c>
      <c r="X255" s="414">
        <v>1336.3274922691799</v>
      </c>
      <c r="Y255" s="484" t="s">
        <v>932</v>
      </c>
      <c r="Z255" s="416"/>
      <c r="AA255" s="417" t="e">
        <f t="shared" si="17"/>
        <v>#DIV/0!</v>
      </c>
      <c r="AB255" s="418"/>
      <c r="AC255" s="418"/>
      <c r="AD255" s="418"/>
      <c r="AE255" s="425">
        <v>1375</v>
      </c>
      <c r="AF255" s="418"/>
    </row>
    <row r="256" spans="1:32" s="21" customFormat="1" ht="43.5" customHeight="1">
      <c r="A256" s="402">
        <f t="shared" si="18"/>
        <v>254</v>
      </c>
      <c r="B256" s="395"/>
      <c r="C256" s="519">
        <v>1888</v>
      </c>
      <c r="D256" s="402">
        <v>5</v>
      </c>
      <c r="E256" s="402" t="s">
        <v>694</v>
      </c>
      <c r="F256" s="419" t="s">
        <v>966</v>
      </c>
      <c r="G256" s="402">
        <v>430</v>
      </c>
      <c r="H256" s="402" t="s">
        <v>140</v>
      </c>
      <c r="I256" s="402">
        <v>248836</v>
      </c>
      <c r="J256" s="402" t="s">
        <v>935</v>
      </c>
      <c r="K256" s="402">
        <v>1</v>
      </c>
      <c r="L256" s="412" t="s">
        <v>125</v>
      </c>
      <c r="M256" s="418"/>
      <c r="N256" s="422">
        <v>700</v>
      </c>
      <c r="O256" s="422">
        <f t="shared" si="20"/>
        <v>700</v>
      </c>
      <c r="P256" s="423"/>
      <c r="Q256" s="512" t="s">
        <v>25</v>
      </c>
      <c r="R256" s="419">
        <v>14041001</v>
      </c>
      <c r="S256" s="437">
        <v>45995</v>
      </c>
      <c r="T256" s="402">
        <v>14031052</v>
      </c>
      <c r="U256" s="419" t="s">
        <v>960</v>
      </c>
      <c r="V256" s="412"/>
      <c r="W256" s="413">
        <v>1530</v>
      </c>
      <c r="X256" s="414">
        <v>1486.9680459431602</v>
      </c>
      <c r="Y256" s="484" t="s">
        <v>932</v>
      </c>
      <c r="Z256" s="416"/>
      <c r="AA256" s="417" t="e">
        <f t="shared" si="17"/>
        <v>#DIV/0!</v>
      </c>
      <c r="AB256" s="418"/>
      <c r="AC256" s="418"/>
      <c r="AD256" s="418"/>
      <c r="AE256" s="425">
        <v>1530</v>
      </c>
      <c r="AF256" s="418"/>
    </row>
    <row r="257" spans="1:32" s="21" customFormat="1" ht="43.5" customHeight="1">
      <c r="A257" s="402">
        <f t="shared" si="18"/>
        <v>255</v>
      </c>
      <c r="B257" s="395"/>
      <c r="C257" s="519">
        <v>1889</v>
      </c>
      <c r="D257" s="402">
        <v>6</v>
      </c>
      <c r="E257" s="402" t="s">
        <v>694</v>
      </c>
      <c r="F257" s="419" t="s">
        <v>966</v>
      </c>
      <c r="G257" s="402">
        <v>430</v>
      </c>
      <c r="H257" s="402" t="s">
        <v>140</v>
      </c>
      <c r="I257" s="402" t="s">
        <v>936</v>
      </c>
      <c r="J257" s="402" t="s">
        <v>937</v>
      </c>
      <c r="K257" s="402">
        <v>1</v>
      </c>
      <c r="L257" s="412" t="s">
        <v>125</v>
      </c>
      <c r="M257" s="418"/>
      <c r="N257" s="422">
        <v>1150</v>
      </c>
      <c r="O257" s="422">
        <f t="shared" si="20"/>
        <v>1150</v>
      </c>
      <c r="P257" s="423"/>
      <c r="Q257" s="512" t="s">
        <v>25</v>
      </c>
      <c r="R257" s="419">
        <v>14041001</v>
      </c>
      <c r="S257" s="437">
        <v>45995</v>
      </c>
      <c r="T257" s="402">
        <v>14031052</v>
      </c>
      <c r="U257" s="419" t="s">
        <v>960</v>
      </c>
      <c r="V257" s="412"/>
      <c r="W257" s="413">
        <v>2220</v>
      </c>
      <c r="X257" s="414">
        <v>2157.5614784273303</v>
      </c>
      <c r="Y257" s="484" t="s">
        <v>932</v>
      </c>
      <c r="Z257" s="416"/>
      <c r="AA257" s="417" t="e">
        <f t="shared" si="17"/>
        <v>#DIV/0!</v>
      </c>
      <c r="AB257" s="418"/>
      <c r="AC257" s="418"/>
      <c r="AD257" s="418"/>
      <c r="AE257" s="425">
        <v>2220</v>
      </c>
      <c r="AF257" s="418"/>
    </row>
    <row r="258" spans="1:32" s="21" customFormat="1" ht="43.5" customHeight="1">
      <c r="A258" s="402">
        <f t="shared" si="18"/>
        <v>256</v>
      </c>
      <c r="B258" s="395"/>
      <c r="C258" s="519">
        <v>1890</v>
      </c>
      <c r="D258" s="402">
        <v>7</v>
      </c>
      <c r="E258" s="402" t="s">
        <v>694</v>
      </c>
      <c r="F258" s="447" t="s">
        <v>1005</v>
      </c>
      <c r="G258" s="402">
        <v>430</v>
      </c>
      <c r="H258" s="402" t="s">
        <v>140</v>
      </c>
      <c r="I258" s="402" t="s">
        <v>938</v>
      </c>
      <c r="J258" s="402" t="s">
        <v>939</v>
      </c>
      <c r="K258" s="402">
        <v>1</v>
      </c>
      <c r="L258" s="412" t="s">
        <v>929</v>
      </c>
      <c r="M258" s="418"/>
      <c r="N258" s="422">
        <v>1500</v>
      </c>
      <c r="O258" s="422">
        <f t="shared" si="20"/>
        <v>1500</v>
      </c>
      <c r="P258" s="423"/>
      <c r="Q258" s="471" t="s">
        <v>12</v>
      </c>
      <c r="R258" s="419">
        <v>14041001</v>
      </c>
      <c r="S258" s="437">
        <v>45995</v>
      </c>
      <c r="T258" s="402">
        <v>14031052</v>
      </c>
      <c r="U258" s="419" t="s">
        <v>960</v>
      </c>
      <c r="V258" s="412"/>
      <c r="W258" s="413">
        <v>3060</v>
      </c>
      <c r="X258" s="414">
        <v>2973.9360918863204</v>
      </c>
      <c r="Y258" s="484" t="s">
        <v>940</v>
      </c>
      <c r="Z258" s="416"/>
      <c r="AA258" s="417" t="e">
        <f t="shared" si="17"/>
        <v>#DIV/0!</v>
      </c>
      <c r="AB258" s="418"/>
      <c r="AC258" s="418"/>
      <c r="AD258" s="418"/>
      <c r="AE258" s="425">
        <v>3060</v>
      </c>
      <c r="AF258" s="418"/>
    </row>
    <row r="259" spans="1:32" s="21" customFormat="1" ht="43.5" customHeight="1">
      <c r="A259" s="402">
        <f t="shared" si="18"/>
        <v>257</v>
      </c>
      <c r="B259" s="395"/>
      <c r="C259" s="519">
        <v>1891</v>
      </c>
      <c r="D259" s="402">
        <v>8</v>
      </c>
      <c r="E259" s="402" t="s">
        <v>694</v>
      </c>
      <c r="F259" s="419" t="s">
        <v>1005</v>
      </c>
      <c r="G259" s="402">
        <v>430</v>
      </c>
      <c r="H259" s="402" t="s">
        <v>140</v>
      </c>
      <c r="I259" s="402" t="s">
        <v>941</v>
      </c>
      <c r="J259" s="402" t="s">
        <v>942</v>
      </c>
      <c r="K259" s="402">
        <v>3</v>
      </c>
      <c r="L259" s="412" t="s">
        <v>929</v>
      </c>
      <c r="M259" s="418"/>
      <c r="N259" s="422">
        <v>800</v>
      </c>
      <c r="O259" s="422">
        <f t="shared" si="20"/>
        <v>2400</v>
      </c>
      <c r="P259" s="423"/>
      <c r="Q259" s="471" t="s">
        <v>12</v>
      </c>
      <c r="R259" s="419">
        <v>14041001</v>
      </c>
      <c r="S259" s="437">
        <v>45995</v>
      </c>
      <c r="T259" s="402">
        <v>14031052</v>
      </c>
      <c r="U259" s="419" t="s">
        <v>960</v>
      </c>
      <c r="V259" s="412"/>
      <c r="W259" s="413">
        <v>1550</v>
      </c>
      <c r="X259" s="414">
        <v>4519.2166102194078</v>
      </c>
      <c r="Y259" s="484" t="s">
        <v>928</v>
      </c>
      <c r="Z259" s="416"/>
      <c r="AA259" s="417" t="e">
        <f t="shared" ref="AA259:AA280" si="24">X259/O259/Z259</f>
        <v>#DIV/0!</v>
      </c>
      <c r="AB259" s="418"/>
      <c r="AC259" s="418"/>
      <c r="AD259" s="418"/>
      <c r="AE259" s="425">
        <v>4650</v>
      </c>
      <c r="AF259" s="418"/>
    </row>
    <row r="260" spans="1:32" s="21" customFormat="1" ht="43.5" customHeight="1">
      <c r="A260" s="402">
        <f t="shared" ref="A260:A318" si="25">A259+1</f>
        <v>258</v>
      </c>
      <c r="B260" s="395" t="s">
        <v>628</v>
      </c>
      <c r="C260" s="519">
        <v>1892</v>
      </c>
      <c r="D260" s="402">
        <v>9</v>
      </c>
      <c r="E260" s="402" t="s">
        <v>694</v>
      </c>
      <c r="F260" s="419" t="s">
        <v>968</v>
      </c>
      <c r="G260" s="402">
        <v>430</v>
      </c>
      <c r="H260" s="402" t="s">
        <v>140</v>
      </c>
      <c r="I260" s="402" t="s">
        <v>943</v>
      </c>
      <c r="J260" s="402" t="s">
        <v>925</v>
      </c>
      <c r="K260" s="402">
        <v>1</v>
      </c>
      <c r="L260" s="412" t="s">
        <v>125</v>
      </c>
      <c r="M260" s="418"/>
      <c r="N260" s="422">
        <v>2700</v>
      </c>
      <c r="O260" s="422">
        <f t="shared" si="20"/>
        <v>2700</v>
      </c>
      <c r="P260" s="423"/>
      <c r="Q260" s="387" t="s">
        <v>11</v>
      </c>
      <c r="R260" s="419">
        <v>14041001</v>
      </c>
      <c r="S260" s="437">
        <v>45995</v>
      </c>
      <c r="T260" s="402">
        <v>14031052</v>
      </c>
      <c r="U260" s="419" t="s">
        <v>960</v>
      </c>
      <c r="V260" s="412"/>
      <c r="W260" s="413">
        <v>5280</v>
      </c>
      <c r="X260" s="414">
        <v>5131.4975703136506</v>
      </c>
      <c r="Y260" s="484" t="s">
        <v>932</v>
      </c>
      <c r="Z260" s="416"/>
      <c r="AA260" s="417" t="e">
        <f t="shared" si="24"/>
        <v>#DIV/0!</v>
      </c>
      <c r="AB260" s="418"/>
      <c r="AC260" s="418"/>
      <c r="AD260" s="418"/>
      <c r="AE260" s="425">
        <v>5280</v>
      </c>
      <c r="AF260" s="418"/>
    </row>
    <row r="261" spans="1:32" s="21" customFormat="1" ht="43.5" customHeight="1">
      <c r="A261" s="402">
        <f t="shared" si="25"/>
        <v>259</v>
      </c>
      <c r="B261" s="395"/>
      <c r="C261" s="519">
        <v>1893</v>
      </c>
      <c r="D261" s="402">
        <v>10</v>
      </c>
      <c r="E261" s="402" t="s">
        <v>694</v>
      </c>
      <c r="F261" s="419" t="s">
        <v>969</v>
      </c>
      <c r="G261" s="402">
        <v>430</v>
      </c>
      <c r="H261" s="402" t="s">
        <v>140</v>
      </c>
      <c r="I261" s="402" t="s">
        <v>944</v>
      </c>
      <c r="J261" s="402" t="s">
        <v>945</v>
      </c>
      <c r="K261" s="402">
        <v>1</v>
      </c>
      <c r="L261" s="412" t="s">
        <v>929</v>
      </c>
      <c r="M261" s="418"/>
      <c r="N261" s="422">
        <v>1750</v>
      </c>
      <c r="O261" s="422">
        <f t="shared" si="20"/>
        <v>1750</v>
      </c>
      <c r="P261" s="423"/>
      <c r="Q261" s="471" t="s">
        <v>12</v>
      </c>
      <c r="R261" s="419">
        <v>14041001</v>
      </c>
      <c r="S261" s="437">
        <v>45995</v>
      </c>
      <c r="T261" s="402">
        <v>14031052</v>
      </c>
      <c r="U261" s="419" t="s">
        <v>960</v>
      </c>
      <c r="V261" s="412"/>
      <c r="W261" s="413">
        <v>3220</v>
      </c>
      <c r="X261" s="414">
        <v>3129.436018259461</v>
      </c>
      <c r="Y261" s="484" t="s">
        <v>928</v>
      </c>
      <c r="Z261" s="416"/>
      <c r="AA261" s="417" t="e">
        <f t="shared" si="24"/>
        <v>#DIV/0!</v>
      </c>
      <c r="AB261" s="418"/>
      <c r="AC261" s="418"/>
      <c r="AD261" s="418"/>
      <c r="AE261" s="425">
        <v>3220</v>
      </c>
      <c r="AF261" s="418"/>
    </row>
    <row r="262" spans="1:32" s="21" customFormat="1" ht="43.5" customHeight="1">
      <c r="A262" s="402">
        <f t="shared" si="25"/>
        <v>260</v>
      </c>
      <c r="B262" s="395"/>
      <c r="C262" s="519">
        <v>1894</v>
      </c>
      <c r="D262" s="402">
        <v>11</v>
      </c>
      <c r="E262" s="402" t="s">
        <v>694</v>
      </c>
      <c r="F262" s="419" t="s">
        <v>967</v>
      </c>
      <c r="G262" s="402">
        <v>430</v>
      </c>
      <c r="H262" s="402" t="s">
        <v>140</v>
      </c>
      <c r="I262" s="402">
        <v>316525</v>
      </c>
      <c r="J262" s="402" t="s">
        <v>946</v>
      </c>
      <c r="K262" s="402">
        <v>1</v>
      </c>
      <c r="L262" s="412" t="s">
        <v>125</v>
      </c>
      <c r="M262" s="418"/>
      <c r="N262" s="422">
        <v>1250</v>
      </c>
      <c r="O262" s="422">
        <f t="shared" si="20"/>
        <v>1250</v>
      </c>
      <c r="P262" s="423"/>
      <c r="Q262" s="512" t="s">
        <v>25</v>
      </c>
      <c r="R262" s="419">
        <v>14041001</v>
      </c>
      <c r="S262" s="437">
        <v>45995</v>
      </c>
      <c r="T262" s="402">
        <v>14031052</v>
      </c>
      <c r="U262" s="419" t="s">
        <v>960</v>
      </c>
      <c r="V262" s="412"/>
      <c r="W262" s="413">
        <v>2380</v>
      </c>
      <c r="X262" s="414">
        <v>2313.0614048004713</v>
      </c>
      <c r="Y262" s="484" t="s">
        <v>932</v>
      </c>
      <c r="Z262" s="416"/>
      <c r="AA262" s="417" t="e">
        <f t="shared" si="24"/>
        <v>#DIV/0!</v>
      </c>
      <c r="AB262" s="418"/>
      <c r="AC262" s="418"/>
      <c r="AD262" s="418"/>
      <c r="AE262" s="425">
        <v>2380</v>
      </c>
      <c r="AF262" s="418"/>
    </row>
    <row r="263" spans="1:32" s="21" customFormat="1" ht="43.5" customHeight="1">
      <c r="A263" s="402">
        <f t="shared" si="25"/>
        <v>261</v>
      </c>
      <c r="B263" s="395"/>
      <c r="C263" s="519">
        <v>1895</v>
      </c>
      <c r="D263" s="402">
        <v>12</v>
      </c>
      <c r="E263" s="402" t="s">
        <v>694</v>
      </c>
      <c r="F263" s="419" t="s">
        <v>970</v>
      </c>
      <c r="G263" s="402">
        <v>430</v>
      </c>
      <c r="H263" s="402" t="s">
        <v>140</v>
      </c>
      <c r="I263" s="402" t="s">
        <v>947</v>
      </c>
      <c r="J263" s="402" t="s">
        <v>948</v>
      </c>
      <c r="K263" s="402">
        <v>1</v>
      </c>
      <c r="L263" s="412" t="s">
        <v>125</v>
      </c>
      <c r="M263" s="418"/>
      <c r="N263" s="422">
        <v>2200</v>
      </c>
      <c r="O263" s="422">
        <f t="shared" si="20"/>
        <v>2200</v>
      </c>
      <c r="P263" s="423"/>
      <c r="Q263" s="471" t="s">
        <v>12</v>
      </c>
      <c r="R263" s="419">
        <v>14041001</v>
      </c>
      <c r="S263" s="437">
        <v>45995</v>
      </c>
      <c r="T263" s="402">
        <v>14031052</v>
      </c>
      <c r="U263" s="419" t="s">
        <v>960</v>
      </c>
      <c r="V263" s="412"/>
      <c r="W263" s="413">
        <v>3850</v>
      </c>
      <c r="X263" s="414">
        <v>3741.7169783537033</v>
      </c>
      <c r="Y263" s="484" t="s">
        <v>932</v>
      </c>
      <c r="Z263" s="416"/>
      <c r="AA263" s="417" t="e">
        <f t="shared" si="24"/>
        <v>#DIV/0!</v>
      </c>
      <c r="AB263" s="418"/>
      <c r="AC263" s="418"/>
      <c r="AD263" s="418"/>
      <c r="AE263" s="425">
        <v>3850</v>
      </c>
      <c r="AF263" s="418"/>
    </row>
    <row r="264" spans="1:32" s="21" customFormat="1" ht="43.5" customHeight="1">
      <c r="A264" s="402">
        <f t="shared" si="25"/>
        <v>262</v>
      </c>
      <c r="B264" s="395" t="s">
        <v>628</v>
      </c>
      <c r="C264" s="519">
        <v>1896</v>
      </c>
      <c r="D264" s="402">
        <v>13</v>
      </c>
      <c r="E264" s="402" t="s">
        <v>694</v>
      </c>
      <c r="F264" s="419" t="s">
        <v>971</v>
      </c>
      <c r="G264" s="402">
        <v>430</v>
      </c>
      <c r="H264" s="402" t="s">
        <v>140</v>
      </c>
      <c r="I264" s="402" t="s">
        <v>949</v>
      </c>
      <c r="J264" s="402" t="s">
        <v>950</v>
      </c>
      <c r="K264" s="402">
        <v>1</v>
      </c>
      <c r="L264" s="412" t="s">
        <v>125</v>
      </c>
      <c r="M264" s="418"/>
      <c r="N264" s="422">
        <v>2500</v>
      </c>
      <c r="O264" s="422">
        <f t="shared" si="20"/>
        <v>2500</v>
      </c>
      <c r="P264" s="423"/>
      <c r="Q264" s="387" t="s">
        <v>11</v>
      </c>
      <c r="R264" s="419">
        <v>14041001</v>
      </c>
      <c r="S264" s="437">
        <v>45995</v>
      </c>
      <c r="T264" s="402" t="s">
        <v>961</v>
      </c>
      <c r="U264" s="419" t="s">
        <v>960</v>
      </c>
      <c r="V264" s="412"/>
      <c r="W264" s="413">
        <v>4460</v>
      </c>
      <c r="X264" s="414">
        <v>4334.5604476513035</v>
      </c>
      <c r="Y264" s="484" t="s">
        <v>928</v>
      </c>
      <c r="Z264" s="416"/>
      <c r="AA264" s="417" t="e">
        <f t="shared" si="24"/>
        <v>#DIV/0!</v>
      </c>
      <c r="AB264" s="418"/>
      <c r="AC264" s="418"/>
      <c r="AD264" s="418"/>
      <c r="AE264" s="425">
        <v>4460</v>
      </c>
      <c r="AF264" s="418"/>
    </row>
    <row r="265" spans="1:32" s="21" customFormat="1" ht="43.5" customHeight="1">
      <c r="A265" s="402">
        <f t="shared" si="25"/>
        <v>263</v>
      </c>
      <c r="B265" s="395"/>
      <c r="C265" s="519">
        <v>1897</v>
      </c>
      <c r="D265" s="402">
        <v>14</v>
      </c>
      <c r="E265" s="402" t="s">
        <v>694</v>
      </c>
      <c r="F265" s="419" t="s">
        <v>972</v>
      </c>
      <c r="G265" s="402">
        <v>430</v>
      </c>
      <c r="H265" s="402" t="s">
        <v>140</v>
      </c>
      <c r="I265" s="402">
        <v>861555</v>
      </c>
      <c r="J265" s="402" t="s">
        <v>951</v>
      </c>
      <c r="K265" s="402">
        <v>1</v>
      </c>
      <c r="L265" s="412" t="s">
        <v>125</v>
      </c>
      <c r="M265" s="418"/>
      <c r="N265" s="422">
        <v>4500</v>
      </c>
      <c r="O265" s="422">
        <f t="shared" si="20"/>
        <v>4500</v>
      </c>
      <c r="P265" s="423"/>
      <c r="Q265" s="512" t="s">
        <v>25</v>
      </c>
      <c r="R265" s="419">
        <v>14041001</v>
      </c>
      <c r="S265" s="437">
        <v>45995</v>
      </c>
      <c r="T265" s="402" t="s">
        <v>961</v>
      </c>
      <c r="U265" s="419" t="s">
        <v>960</v>
      </c>
      <c r="V265" s="412"/>
      <c r="W265" s="413">
        <v>9540</v>
      </c>
      <c r="X265" s="414">
        <v>9271.6831099985284</v>
      </c>
      <c r="Y265" s="484" t="s">
        <v>928</v>
      </c>
      <c r="Z265" s="416"/>
      <c r="AA265" s="417" t="e">
        <f t="shared" si="24"/>
        <v>#DIV/0!</v>
      </c>
      <c r="AB265" s="418"/>
      <c r="AC265" s="418"/>
      <c r="AD265" s="418"/>
      <c r="AE265" s="425">
        <v>9540</v>
      </c>
      <c r="AF265" s="418"/>
    </row>
    <row r="266" spans="1:32" s="21" customFormat="1" ht="43.5" customHeight="1">
      <c r="A266" s="402">
        <f t="shared" si="25"/>
        <v>264</v>
      </c>
      <c r="B266" s="395"/>
      <c r="C266" s="519">
        <v>1898</v>
      </c>
      <c r="D266" s="402">
        <v>15</v>
      </c>
      <c r="E266" s="402" t="s">
        <v>694</v>
      </c>
      <c r="F266" s="419" t="s">
        <v>967</v>
      </c>
      <c r="G266" s="402">
        <v>430</v>
      </c>
      <c r="H266" s="402" t="s">
        <v>140</v>
      </c>
      <c r="I266" s="402" t="s">
        <v>952</v>
      </c>
      <c r="J266" s="402" t="s">
        <v>953</v>
      </c>
      <c r="K266" s="402">
        <v>2</v>
      </c>
      <c r="L266" s="412" t="s">
        <v>125</v>
      </c>
      <c r="M266" s="418"/>
      <c r="N266" s="422">
        <v>2400</v>
      </c>
      <c r="O266" s="422">
        <f t="shared" si="20"/>
        <v>4800</v>
      </c>
      <c r="P266" s="423"/>
      <c r="Q266" s="512" t="s">
        <v>25</v>
      </c>
      <c r="R266" s="419">
        <v>14041001</v>
      </c>
      <c r="S266" s="437">
        <v>45995</v>
      </c>
      <c r="T266" s="402" t="s">
        <v>961</v>
      </c>
      <c r="U266" s="419" t="s">
        <v>960</v>
      </c>
      <c r="V266" s="412"/>
      <c r="W266" s="413">
        <v>3970</v>
      </c>
      <c r="X266" s="414">
        <v>7716.6838462671185</v>
      </c>
      <c r="Y266" s="484" t="s">
        <v>932</v>
      </c>
      <c r="Z266" s="416"/>
      <c r="AA266" s="417" t="e">
        <f t="shared" si="24"/>
        <v>#DIV/0!</v>
      </c>
      <c r="AB266" s="418"/>
      <c r="AC266" s="418"/>
      <c r="AD266" s="418"/>
      <c r="AE266" s="425">
        <v>7940</v>
      </c>
      <c r="AF266" s="418"/>
    </row>
    <row r="267" spans="1:32" s="21" customFormat="1" ht="43.5" customHeight="1">
      <c r="A267" s="402">
        <f t="shared" si="25"/>
        <v>265</v>
      </c>
      <c r="B267" s="395"/>
      <c r="C267" s="519">
        <v>1899</v>
      </c>
      <c r="D267" s="402">
        <v>16</v>
      </c>
      <c r="E267" s="402" t="s">
        <v>694</v>
      </c>
      <c r="F267" s="419" t="s">
        <v>964</v>
      </c>
      <c r="G267" s="402">
        <v>430</v>
      </c>
      <c r="H267" s="402" t="s">
        <v>140</v>
      </c>
      <c r="I267" s="402" t="s">
        <v>954</v>
      </c>
      <c r="J267" s="402" t="s">
        <v>955</v>
      </c>
      <c r="K267" s="402">
        <v>1</v>
      </c>
      <c r="L267" s="412" t="s">
        <v>125</v>
      </c>
      <c r="M267" s="418"/>
      <c r="N267" s="422">
        <v>3240</v>
      </c>
      <c r="O267" s="422">
        <f t="shared" si="20"/>
        <v>3240</v>
      </c>
      <c r="P267" s="423"/>
      <c r="Q267" s="512" t="s">
        <v>25</v>
      </c>
      <c r="R267" s="419">
        <v>14041001</v>
      </c>
      <c r="S267" s="437">
        <v>45995</v>
      </c>
      <c r="T267" s="402" t="s">
        <v>961</v>
      </c>
      <c r="U267" s="419" t="s">
        <v>960</v>
      </c>
      <c r="V267" s="412"/>
      <c r="W267" s="413">
        <v>5900</v>
      </c>
      <c r="X267" s="414">
        <v>5734.0597850095719</v>
      </c>
      <c r="Y267" s="484" t="s">
        <v>928</v>
      </c>
      <c r="Z267" s="416"/>
      <c r="AA267" s="417" t="e">
        <f t="shared" si="24"/>
        <v>#DIV/0!</v>
      </c>
      <c r="AB267" s="418"/>
      <c r="AC267" s="418"/>
      <c r="AD267" s="418"/>
      <c r="AE267" s="425">
        <v>5900</v>
      </c>
      <c r="AF267" s="418"/>
    </row>
    <row r="268" spans="1:32" s="21" customFormat="1" ht="43.5" customHeight="1">
      <c r="A268" s="402">
        <f t="shared" si="25"/>
        <v>266</v>
      </c>
      <c r="B268" s="395"/>
      <c r="C268" s="519">
        <v>1900</v>
      </c>
      <c r="D268" s="402">
        <v>1</v>
      </c>
      <c r="E268" s="402" t="s">
        <v>184</v>
      </c>
      <c r="F268" s="419" t="s">
        <v>199</v>
      </c>
      <c r="G268" s="411">
        <v>434</v>
      </c>
      <c r="H268" s="402" t="s">
        <v>140</v>
      </c>
      <c r="I268" s="402" t="s">
        <v>973</v>
      </c>
      <c r="J268" s="402" t="s">
        <v>974</v>
      </c>
      <c r="K268" s="402">
        <v>1</v>
      </c>
      <c r="L268" s="412" t="s">
        <v>76</v>
      </c>
      <c r="M268" s="418"/>
      <c r="N268" s="422">
        <v>3908.8</v>
      </c>
      <c r="O268" s="422">
        <f t="shared" si="20"/>
        <v>3908.8</v>
      </c>
      <c r="P268" s="423"/>
      <c r="Q268" s="471" t="s">
        <v>12</v>
      </c>
      <c r="R268" s="419" t="s">
        <v>975</v>
      </c>
      <c r="S268" s="437" t="s">
        <v>976</v>
      </c>
      <c r="T268" s="402" t="s">
        <v>1002</v>
      </c>
      <c r="U268" s="419">
        <v>737</v>
      </c>
      <c r="V268" s="412" t="s">
        <v>977</v>
      </c>
      <c r="W268" s="413">
        <v>6700</v>
      </c>
      <c r="X268" s="414">
        <f t="shared" ref="X268:X280" si="26">W268*K268</f>
        <v>6700</v>
      </c>
      <c r="Y268" s="415" t="s">
        <v>166</v>
      </c>
      <c r="Z268" s="416"/>
      <c r="AA268" s="417" t="e">
        <f t="shared" si="24"/>
        <v>#DIV/0!</v>
      </c>
      <c r="AB268" s="418"/>
      <c r="AC268" s="418"/>
      <c r="AD268" s="418"/>
      <c r="AE268" s="425"/>
      <c r="AF268" s="418"/>
    </row>
    <row r="269" spans="1:32" s="21" customFormat="1" ht="43.5" customHeight="1">
      <c r="A269" s="402">
        <f t="shared" si="25"/>
        <v>267</v>
      </c>
      <c r="B269" s="395" t="s">
        <v>143</v>
      </c>
      <c r="C269" s="520">
        <v>1901</v>
      </c>
      <c r="D269" s="402">
        <v>1</v>
      </c>
      <c r="E269" s="402" t="s">
        <v>224</v>
      </c>
      <c r="F269" s="402" t="s">
        <v>409</v>
      </c>
      <c r="G269" s="402">
        <v>431</v>
      </c>
      <c r="H269" s="402" t="s">
        <v>140</v>
      </c>
      <c r="I269" s="419" t="s">
        <v>978</v>
      </c>
      <c r="J269" s="402" t="s">
        <v>986</v>
      </c>
      <c r="K269" s="402">
        <v>37</v>
      </c>
      <c r="L269" s="412" t="s">
        <v>905</v>
      </c>
      <c r="M269" s="418">
        <v>25</v>
      </c>
      <c r="N269" s="523">
        <v>1.08</v>
      </c>
      <c r="O269" s="422">
        <f t="shared" si="20"/>
        <v>39.96</v>
      </c>
      <c r="P269" s="423"/>
      <c r="Q269" s="517" t="s">
        <v>12</v>
      </c>
      <c r="R269" s="419" t="s">
        <v>990</v>
      </c>
      <c r="S269" s="437" t="s">
        <v>976</v>
      </c>
      <c r="T269" s="402"/>
      <c r="U269" s="419" t="s">
        <v>142</v>
      </c>
      <c r="V269" s="412"/>
      <c r="W269" s="413">
        <v>8.5</v>
      </c>
      <c r="X269" s="414">
        <f t="shared" si="26"/>
        <v>314.5</v>
      </c>
      <c r="Y269" s="415"/>
      <c r="Z269" s="416"/>
      <c r="AA269" s="417" t="e">
        <f t="shared" si="24"/>
        <v>#DIV/0!</v>
      </c>
      <c r="AB269" s="418"/>
      <c r="AC269" s="418"/>
      <c r="AD269" s="418"/>
      <c r="AE269" s="425"/>
      <c r="AF269" s="418"/>
    </row>
    <row r="270" spans="1:32" s="21" customFormat="1" ht="43.5" customHeight="1">
      <c r="A270" s="402">
        <f t="shared" si="25"/>
        <v>268</v>
      </c>
      <c r="B270" s="395" t="s">
        <v>143</v>
      </c>
      <c r="C270" s="520">
        <v>1902</v>
      </c>
      <c r="D270" s="402">
        <v>2</v>
      </c>
      <c r="E270" s="402" t="s">
        <v>224</v>
      </c>
      <c r="F270" s="402" t="s">
        <v>409</v>
      </c>
      <c r="G270" s="402">
        <v>431</v>
      </c>
      <c r="H270" s="402" t="s">
        <v>140</v>
      </c>
      <c r="I270" s="419" t="s">
        <v>979</v>
      </c>
      <c r="J270" s="402" t="s">
        <v>986</v>
      </c>
      <c r="K270" s="402">
        <v>25</v>
      </c>
      <c r="L270" s="412" t="s">
        <v>76</v>
      </c>
      <c r="M270" s="418"/>
      <c r="N270" s="523">
        <v>6.77</v>
      </c>
      <c r="O270" s="422">
        <f t="shared" si="20"/>
        <v>169.25</v>
      </c>
      <c r="P270" s="423"/>
      <c r="Q270" s="517" t="s">
        <v>12</v>
      </c>
      <c r="R270" s="419" t="s">
        <v>990</v>
      </c>
      <c r="S270" s="437" t="s">
        <v>976</v>
      </c>
      <c r="T270" s="402"/>
      <c r="U270" s="419" t="s">
        <v>142</v>
      </c>
      <c r="V270" s="412"/>
      <c r="W270" s="413">
        <v>16</v>
      </c>
      <c r="X270" s="414">
        <f t="shared" si="26"/>
        <v>400</v>
      </c>
      <c r="Y270" s="415"/>
      <c r="Z270" s="416"/>
      <c r="AA270" s="417" t="e">
        <f t="shared" si="24"/>
        <v>#DIV/0!</v>
      </c>
      <c r="AB270" s="418"/>
      <c r="AC270" s="418"/>
      <c r="AD270" s="418"/>
      <c r="AE270" s="425"/>
      <c r="AF270" s="418"/>
    </row>
    <row r="271" spans="1:32" s="21" customFormat="1" ht="43.5" customHeight="1">
      <c r="A271" s="402">
        <f t="shared" si="25"/>
        <v>269</v>
      </c>
      <c r="B271" s="395" t="s">
        <v>143</v>
      </c>
      <c r="C271" s="520">
        <v>1903</v>
      </c>
      <c r="D271" s="402">
        <v>3</v>
      </c>
      <c r="E271" s="402" t="s">
        <v>224</v>
      </c>
      <c r="F271" s="402" t="s">
        <v>409</v>
      </c>
      <c r="G271" s="402">
        <v>431</v>
      </c>
      <c r="H271" s="402" t="s">
        <v>140</v>
      </c>
      <c r="I271" s="419" t="s">
        <v>980</v>
      </c>
      <c r="J271" s="402" t="s">
        <v>208</v>
      </c>
      <c r="K271" s="402">
        <v>25</v>
      </c>
      <c r="L271" s="412" t="s">
        <v>76</v>
      </c>
      <c r="M271" s="418"/>
      <c r="N271" s="523">
        <v>4.08</v>
      </c>
      <c r="O271" s="422">
        <f t="shared" si="20"/>
        <v>102</v>
      </c>
      <c r="P271" s="423"/>
      <c r="Q271" s="517" t="s">
        <v>12</v>
      </c>
      <c r="R271" s="419" t="s">
        <v>990</v>
      </c>
      <c r="S271" s="437" t="s">
        <v>976</v>
      </c>
      <c r="T271" s="402"/>
      <c r="U271" s="419" t="s">
        <v>142</v>
      </c>
      <c r="V271" s="412"/>
      <c r="W271" s="413">
        <v>12.5</v>
      </c>
      <c r="X271" s="414">
        <f t="shared" si="26"/>
        <v>312.5</v>
      </c>
      <c r="Y271" s="415"/>
      <c r="Z271" s="416"/>
      <c r="AA271" s="417" t="e">
        <f t="shared" si="24"/>
        <v>#DIV/0!</v>
      </c>
      <c r="AB271" s="418"/>
      <c r="AC271" s="418"/>
      <c r="AD271" s="418"/>
      <c r="AE271" s="425"/>
      <c r="AF271" s="418"/>
    </row>
    <row r="272" spans="1:32" s="21" customFormat="1" ht="43.5" customHeight="1">
      <c r="A272" s="402">
        <f t="shared" si="25"/>
        <v>270</v>
      </c>
      <c r="B272" s="395" t="s">
        <v>143</v>
      </c>
      <c r="C272" s="520">
        <v>1904</v>
      </c>
      <c r="D272" s="402">
        <v>4</v>
      </c>
      <c r="E272" s="402" t="s">
        <v>224</v>
      </c>
      <c r="F272" s="402" t="s">
        <v>409</v>
      </c>
      <c r="G272" s="402">
        <v>431</v>
      </c>
      <c r="H272" s="402" t="s">
        <v>140</v>
      </c>
      <c r="I272" s="419" t="s">
        <v>981</v>
      </c>
      <c r="J272" s="402" t="s">
        <v>987</v>
      </c>
      <c r="K272" s="402">
        <v>25</v>
      </c>
      <c r="L272" s="412" t="s">
        <v>905</v>
      </c>
      <c r="M272" s="418"/>
      <c r="N272" s="523">
        <v>1.49</v>
      </c>
      <c r="O272" s="422">
        <f t="shared" si="20"/>
        <v>37.25</v>
      </c>
      <c r="P272" s="423"/>
      <c r="Q272" s="517" t="s">
        <v>12</v>
      </c>
      <c r="R272" s="419" t="s">
        <v>990</v>
      </c>
      <c r="S272" s="437" t="s">
        <v>976</v>
      </c>
      <c r="T272" s="402"/>
      <c r="U272" s="419" t="s">
        <v>142</v>
      </c>
      <c r="V272" s="412"/>
      <c r="W272" s="413">
        <v>9.5</v>
      </c>
      <c r="X272" s="414">
        <f t="shared" si="26"/>
        <v>237.5</v>
      </c>
      <c r="Y272" s="415"/>
      <c r="Z272" s="416"/>
      <c r="AA272" s="417" t="e">
        <f t="shared" si="24"/>
        <v>#DIV/0!</v>
      </c>
      <c r="AB272" s="418"/>
      <c r="AC272" s="418"/>
      <c r="AD272" s="418"/>
      <c r="AE272" s="425"/>
      <c r="AF272" s="418"/>
    </row>
    <row r="273" spans="1:32" s="21" customFormat="1" ht="43.5" customHeight="1">
      <c r="A273" s="402">
        <f t="shared" si="25"/>
        <v>271</v>
      </c>
      <c r="B273" s="395" t="s">
        <v>143</v>
      </c>
      <c r="C273" s="520">
        <v>1905</v>
      </c>
      <c r="D273" s="510">
        <v>5</v>
      </c>
      <c r="E273" s="402" t="s">
        <v>224</v>
      </c>
      <c r="F273" s="402" t="s">
        <v>409</v>
      </c>
      <c r="G273" s="402">
        <v>431</v>
      </c>
      <c r="H273" s="402" t="s">
        <v>140</v>
      </c>
      <c r="I273" s="419" t="s">
        <v>982</v>
      </c>
      <c r="J273" s="402" t="s">
        <v>988</v>
      </c>
      <c r="K273" s="402">
        <v>25</v>
      </c>
      <c r="L273" s="412" t="s">
        <v>76</v>
      </c>
      <c r="M273" s="418"/>
      <c r="N273" s="523">
        <v>3.51</v>
      </c>
      <c r="O273" s="422">
        <f t="shared" si="20"/>
        <v>87.75</v>
      </c>
      <c r="P273" s="423"/>
      <c r="Q273" s="517" t="s">
        <v>12</v>
      </c>
      <c r="R273" s="419" t="s">
        <v>990</v>
      </c>
      <c r="S273" s="437" t="s">
        <v>976</v>
      </c>
      <c r="T273" s="402"/>
      <c r="U273" s="419" t="s">
        <v>142</v>
      </c>
      <c r="V273" s="412"/>
      <c r="W273" s="413">
        <v>12.5</v>
      </c>
      <c r="X273" s="414">
        <f t="shared" si="26"/>
        <v>312.5</v>
      </c>
      <c r="Y273" s="415"/>
      <c r="Z273" s="416"/>
      <c r="AA273" s="417" t="e">
        <f t="shared" si="24"/>
        <v>#DIV/0!</v>
      </c>
      <c r="AB273" s="418"/>
      <c r="AC273" s="418"/>
      <c r="AD273" s="418"/>
      <c r="AE273" s="425"/>
      <c r="AF273" s="418"/>
    </row>
    <row r="274" spans="1:32" s="21" customFormat="1" ht="43.5" customHeight="1">
      <c r="A274" s="402">
        <f t="shared" si="25"/>
        <v>272</v>
      </c>
      <c r="B274" s="395" t="s">
        <v>143</v>
      </c>
      <c r="C274" s="520">
        <v>1906</v>
      </c>
      <c r="D274" s="402">
        <v>6</v>
      </c>
      <c r="E274" s="402" t="s">
        <v>224</v>
      </c>
      <c r="F274" s="402" t="s">
        <v>409</v>
      </c>
      <c r="G274" s="402">
        <v>431</v>
      </c>
      <c r="H274" s="402" t="s">
        <v>140</v>
      </c>
      <c r="I274" s="419" t="s">
        <v>983</v>
      </c>
      <c r="J274" s="402" t="s">
        <v>989</v>
      </c>
      <c r="K274" s="402">
        <v>49</v>
      </c>
      <c r="L274" s="412" t="s">
        <v>76</v>
      </c>
      <c r="M274" s="418">
        <v>25</v>
      </c>
      <c r="N274" s="523">
        <v>0.69</v>
      </c>
      <c r="O274" s="422">
        <f t="shared" si="20"/>
        <v>33.809999999999995</v>
      </c>
      <c r="P274" s="423"/>
      <c r="Q274" s="517" t="s">
        <v>12</v>
      </c>
      <c r="R274" s="419" t="s">
        <v>990</v>
      </c>
      <c r="S274" s="437" t="s">
        <v>976</v>
      </c>
      <c r="T274" s="402"/>
      <c r="U274" s="419" t="s">
        <v>142</v>
      </c>
      <c r="V274" s="412"/>
      <c r="W274" s="413">
        <v>8</v>
      </c>
      <c r="X274" s="414">
        <f t="shared" si="26"/>
        <v>392</v>
      </c>
      <c r="Y274" s="415"/>
      <c r="Z274" s="416"/>
      <c r="AA274" s="417" t="e">
        <f t="shared" si="24"/>
        <v>#DIV/0!</v>
      </c>
      <c r="AB274" s="418"/>
      <c r="AC274" s="418"/>
      <c r="AD274" s="418"/>
      <c r="AE274" s="425"/>
      <c r="AF274" s="418"/>
    </row>
    <row r="275" spans="1:32" s="21" customFormat="1" ht="43.5" customHeight="1">
      <c r="A275" s="402">
        <f t="shared" si="25"/>
        <v>273</v>
      </c>
      <c r="B275" s="395" t="s">
        <v>143</v>
      </c>
      <c r="C275" s="520">
        <v>1907</v>
      </c>
      <c r="D275" s="402">
        <v>7</v>
      </c>
      <c r="E275" s="402" t="s">
        <v>224</v>
      </c>
      <c r="F275" s="402" t="s">
        <v>409</v>
      </c>
      <c r="G275" s="402">
        <v>431</v>
      </c>
      <c r="H275" s="402" t="s">
        <v>140</v>
      </c>
      <c r="I275" s="419" t="s">
        <v>984</v>
      </c>
      <c r="J275" s="402" t="s">
        <v>208</v>
      </c>
      <c r="K275" s="402">
        <v>80</v>
      </c>
      <c r="L275" s="412" t="s">
        <v>76</v>
      </c>
      <c r="M275" s="418">
        <v>25</v>
      </c>
      <c r="N275" s="523">
        <v>0.47</v>
      </c>
      <c r="O275" s="422">
        <f t="shared" si="20"/>
        <v>37.599999999999994</v>
      </c>
      <c r="P275" s="423"/>
      <c r="Q275" s="517" t="s">
        <v>12</v>
      </c>
      <c r="R275" s="419" t="s">
        <v>990</v>
      </c>
      <c r="S275" s="437" t="s">
        <v>976</v>
      </c>
      <c r="T275" s="402"/>
      <c r="U275" s="419" t="s">
        <v>142</v>
      </c>
      <c r="V275" s="412"/>
      <c r="W275" s="413">
        <v>9.5</v>
      </c>
      <c r="X275" s="414">
        <f t="shared" si="26"/>
        <v>760</v>
      </c>
      <c r="Y275" s="415"/>
      <c r="Z275" s="416"/>
      <c r="AA275" s="417" t="e">
        <f t="shared" si="24"/>
        <v>#DIV/0!</v>
      </c>
      <c r="AB275" s="418"/>
      <c r="AC275" s="418"/>
      <c r="AD275" s="418"/>
      <c r="AE275" s="425"/>
      <c r="AF275" s="418"/>
    </row>
    <row r="276" spans="1:32" s="21" customFormat="1" ht="43.5" customHeight="1">
      <c r="A276" s="402">
        <f t="shared" si="25"/>
        <v>274</v>
      </c>
      <c r="B276" s="395" t="s">
        <v>143</v>
      </c>
      <c r="C276" s="520">
        <v>1908</v>
      </c>
      <c r="D276" s="402">
        <v>8</v>
      </c>
      <c r="E276" s="402" t="s">
        <v>224</v>
      </c>
      <c r="F276" s="402" t="s">
        <v>409</v>
      </c>
      <c r="G276" s="402">
        <v>431</v>
      </c>
      <c r="H276" s="402" t="s">
        <v>140</v>
      </c>
      <c r="I276" s="419" t="s">
        <v>985</v>
      </c>
      <c r="J276" s="402" t="s">
        <v>208</v>
      </c>
      <c r="K276" s="402">
        <v>59</v>
      </c>
      <c r="L276" s="412" t="s">
        <v>76</v>
      </c>
      <c r="M276" s="418">
        <v>25</v>
      </c>
      <c r="N276" s="523">
        <v>0.6</v>
      </c>
      <c r="O276" s="422">
        <f t="shared" si="20"/>
        <v>35.4</v>
      </c>
      <c r="P276" s="423"/>
      <c r="Q276" s="517" t="s">
        <v>12</v>
      </c>
      <c r="R276" s="419" t="s">
        <v>990</v>
      </c>
      <c r="S276" s="437" t="s">
        <v>976</v>
      </c>
      <c r="T276" s="402"/>
      <c r="U276" s="419" t="s">
        <v>142</v>
      </c>
      <c r="V276" s="412"/>
      <c r="W276" s="413">
        <v>9.5</v>
      </c>
      <c r="X276" s="414">
        <f t="shared" si="26"/>
        <v>560.5</v>
      </c>
      <c r="Y276" s="415"/>
      <c r="Z276" s="416"/>
      <c r="AA276" s="417" t="e">
        <f t="shared" si="24"/>
        <v>#DIV/0!</v>
      </c>
      <c r="AB276" s="418"/>
      <c r="AC276" s="418"/>
      <c r="AD276" s="418"/>
      <c r="AE276" s="425"/>
      <c r="AF276" s="418"/>
    </row>
    <row r="277" spans="1:32" s="21" customFormat="1" ht="43.5" customHeight="1">
      <c r="A277" s="402">
        <f t="shared" si="25"/>
        <v>275</v>
      </c>
      <c r="B277" s="395"/>
      <c r="C277" s="402">
        <v>1909</v>
      </c>
      <c r="D277" s="402">
        <v>1</v>
      </c>
      <c r="E277" s="402" t="s">
        <v>694</v>
      </c>
      <c r="F277" s="419" t="s">
        <v>247</v>
      </c>
      <c r="G277" s="402">
        <v>437</v>
      </c>
      <c r="H277" s="402" t="s">
        <v>140</v>
      </c>
      <c r="I277" s="402" t="s">
        <v>994</v>
      </c>
      <c r="J277" s="402" t="s">
        <v>993</v>
      </c>
      <c r="K277" s="402">
        <v>1</v>
      </c>
      <c r="L277" s="412" t="s">
        <v>125</v>
      </c>
      <c r="M277" s="418"/>
      <c r="N277" s="422">
        <v>11000</v>
      </c>
      <c r="O277" s="422">
        <f t="shared" si="20"/>
        <v>11000</v>
      </c>
      <c r="P277" s="423"/>
      <c r="Q277" s="389" t="s">
        <v>62</v>
      </c>
      <c r="R277" s="419">
        <v>14033100</v>
      </c>
      <c r="S277" s="437" t="s">
        <v>976</v>
      </c>
      <c r="T277" s="402"/>
      <c r="U277" s="419" t="s">
        <v>142</v>
      </c>
      <c r="V277" s="412"/>
      <c r="W277" s="413">
        <v>25345</v>
      </c>
      <c r="X277" s="414">
        <f t="shared" si="26"/>
        <v>25345</v>
      </c>
      <c r="Y277" s="413"/>
      <c r="Z277" s="416"/>
      <c r="AA277" s="417" t="e">
        <f t="shared" si="24"/>
        <v>#DIV/0!</v>
      </c>
      <c r="AB277" s="418"/>
      <c r="AC277" s="418" t="s">
        <v>1028</v>
      </c>
      <c r="AD277" s="418"/>
      <c r="AE277" s="425"/>
      <c r="AF277" s="418"/>
    </row>
    <row r="278" spans="1:32" s="21" customFormat="1" ht="43.5" customHeight="1">
      <c r="A278" s="402">
        <f t="shared" si="25"/>
        <v>276</v>
      </c>
      <c r="B278" s="395"/>
      <c r="C278" s="402">
        <v>1910</v>
      </c>
      <c r="D278" s="402">
        <v>2</v>
      </c>
      <c r="E278" s="402" t="s">
        <v>694</v>
      </c>
      <c r="F278" s="419" t="s">
        <v>257</v>
      </c>
      <c r="G278" s="402">
        <v>437</v>
      </c>
      <c r="H278" s="402" t="s">
        <v>140</v>
      </c>
      <c r="I278" s="402" t="s">
        <v>997</v>
      </c>
      <c r="J278" s="402" t="s">
        <v>995</v>
      </c>
      <c r="K278" s="402">
        <v>1</v>
      </c>
      <c r="L278" s="412" t="s">
        <v>125</v>
      </c>
      <c r="M278" s="418"/>
      <c r="N278" s="422">
        <v>9000</v>
      </c>
      <c r="O278" s="422">
        <f t="shared" si="20"/>
        <v>9000</v>
      </c>
      <c r="P278" s="423"/>
      <c r="Q278" s="471" t="s">
        <v>12</v>
      </c>
      <c r="R278" s="419">
        <v>14033100</v>
      </c>
      <c r="S278" s="437" t="s">
        <v>976</v>
      </c>
      <c r="T278" s="402"/>
      <c r="U278" s="419" t="s">
        <v>142</v>
      </c>
      <c r="V278" s="412"/>
      <c r="W278" s="413">
        <v>15985</v>
      </c>
      <c r="X278" s="414">
        <f t="shared" si="26"/>
        <v>15985</v>
      </c>
      <c r="Y278" s="413"/>
      <c r="Z278" s="416"/>
      <c r="AA278" s="417" t="e">
        <f t="shared" si="24"/>
        <v>#DIV/0!</v>
      </c>
      <c r="AB278" s="418"/>
      <c r="AC278" s="418" t="s">
        <v>1029</v>
      </c>
      <c r="AD278" s="418"/>
      <c r="AE278" s="425"/>
      <c r="AF278" s="418"/>
    </row>
    <row r="279" spans="1:32" s="21" customFormat="1" ht="43.5" customHeight="1">
      <c r="A279" s="402">
        <f t="shared" si="25"/>
        <v>277</v>
      </c>
      <c r="B279" s="395"/>
      <c r="C279" s="402">
        <v>1911</v>
      </c>
      <c r="D279" s="402">
        <v>3</v>
      </c>
      <c r="E279" s="402" t="s">
        <v>694</v>
      </c>
      <c r="F279" s="419" t="s">
        <v>999</v>
      </c>
      <c r="G279" s="402">
        <v>437</v>
      </c>
      <c r="H279" s="402" t="s">
        <v>140</v>
      </c>
      <c r="I279" s="402" t="s">
        <v>998</v>
      </c>
      <c r="J279" s="402" t="s">
        <v>996</v>
      </c>
      <c r="K279" s="402">
        <v>1</v>
      </c>
      <c r="L279" s="412" t="s">
        <v>125</v>
      </c>
      <c r="M279" s="418"/>
      <c r="N279" s="422">
        <v>15000</v>
      </c>
      <c r="O279" s="422">
        <f t="shared" si="20"/>
        <v>15000</v>
      </c>
      <c r="P279" s="423"/>
      <c r="Q279" s="461" t="s">
        <v>25</v>
      </c>
      <c r="R279" s="419">
        <v>14033100</v>
      </c>
      <c r="S279" s="437" t="s">
        <v>976</v>
      </c>
      <c r="T279" s="402"/>
      <c r="U279" s="419" t="s">
        <v>142</v>
      </c>
      <c r="V279" s="412"/>
      <c r="W279" s="413">
        <f>27779+1</f>
        <v>27780</v>
      </c>
      <c r="X279" s="414">
        <f t="shared" si="26"/>
        <v>27780</v>
      </c>
      <c r="Y279" s="413"/>
      <c r="Z279" s="416"/>
      <c r="AA279" s="417" t="e">
        <f t="shared" si="24"/>
        <v>#DIV/0!</v>
      </c>
      <c r="AB279" s="418"/>
      <c r="AC279" s="418" t="s">
        <v>1030</v>
      </c>
      <c r="AD279" s="418"/>
      <c r="AE279" s="425"/>
      <c r="AF279" s="418"/>
    </row>
    <row r="280" spans="1:32" s="21" customFormat="1" ht="43.5" customHeight="1">
      <c r="A280" s="402">
        <f t="shared" si="25"/>
        <v>278</v>
      </c>
      <c r="B280" s="395"/>
      <c r="C280" s="402">
        <v>1912</v>
      </c>
      <c r="D280" s="402">
        <v>4</v>
      </c>
      <c r="E280" s="402" t="s">
        <v>694</v>
      </c>
      <c r="F280" s="419" t="s">
        <v>257</v>
      </c>
      <c r="G280" s="402">
        <v>437</v>
      </c>
      <c r="H280" s="402" t="s">
        <v>140</v>
      </c>
      <c r="I280" s="402" t="s">
        <v>1000</v>
      </c>
      <c r="J280" s="402" t="s">
        <v>1001</v>
      </c>
      <c r="K280" s="402">
        <v>1</v>
      </c>
      <c r="L280" s="412" t="s">
        <v>125</v>
      </c>
      <c r="M280" s="418"/>
      <c r="N280" s="422">
        <v>6000</v>
      </c>
      <c r="O280" s="422">
        <f t="shared" si="20"/>
        <v>6000</v>
      </c>
      <c r="P280" s="423"/>
      <c r="Q280" s="471" t="s">
        <v>12</v>
      </c>
      <c r="R280" s="419">
        <v>14033100</v>
      </c>
      <c r="S280" s="437" t="s">
        <v>976</v>
      </c>
      <c r="T280" s="402"/>
      <c r="U280" s="419" t="s">
        <v>142</v>
      </c>
      <c r="V280" s="412"/>
      <c r="W280" s="413">
        <f>11891-1</f>
        <v>11890</v>
      </c>
      <c r="X280" s="414">
        <f t="shared" si="26"/>
        <v>11890</v>
      </c>
      <c r="Y280" s="413"/>
      <c r="Z280" s="416"/>
      <c r="AA280" s="417" t="e">
        <f t="shared" si="24"/>
        <v>#DIV/0!</v>
      </c>
      <c r="AB280" s="418"/>
      <c r="AC280" s="418" t="s">
        <v>1031</v>
      </c>
      <c r="AD280" s="418"/>
      <c r="AE280" s="425"/>
      <c r="AF280" s="418"/>
    </row>
    <row r="281" spans="1:32" s="21" customFormat="1" ht="43.5" customHeight="1">
      <c r="A281" s="402">
        <f t="shared" si="25"/>
        <v>279</v>
      </c>
      <c r="B281" s="395"/>
      <c r="C281" s="402">
        <v>1922</v>
      </c>
      <c r="D281" s="402">
        <v>6</v>
      </c>
      <c r="E281" s="402" t="s">
        <v>209</v>
      </c>
      <c r="F281" s="419" t="s">
        <v>1022</v>
      </c>
      <c r="G281" s="402">
        <v>435</v>
      </c>
      <c r="H281" s="402" t="s">
        <v>1025</v>
      </c>
      <c r="I281" s="402" t="s">
        <v>1008</v>
      </c>
      <c r="J281" s="402" t="s">
        <v>232</v>
      </c>
      <c r="K281" s="402">
        <v>12</v>
      </c>
      <c r="L281" s="412" t="s">
        <v>76</v>
      </c>
      <c r="M281" s="418">
        <v>148</v>
      </c>
      <c r="N281" s="422">
        <v>25.01</v>
      </c>
      <c r="O281" s="422">
        <f t="shared" si="20"/>
        <v>300.12</v>
      </c>
      <c r="P281" s="423" t="s">
        <v>1021</v>
      </c>
      <c r="Q281" s="471" t="s">
        <v>12</v>
      </c>
      <c r="R281" s="419">
        <v>45764</v>
      </c>
      <c r="S281" s="437" t="s">
        <v>1024</v>
      </c>
      <c r="T281" s="402" t="s">
        <v>82</v>
      </c>
      <c r="U281" s="419" t="s">
        <v>82</v>
      </c>
      <c r="V281" s="412">
        <v>31</v>
      </c>
      <c r="W281" s="413" t="e">
        <f>V281*J281</f>
        <v>#VALUE!</v>
      </c>
      <c r="X281" s="414" t="s">
        <v>200</v>
      </c>
      <c r="Y281" s="413"/>
      <c r="Z281" s="416" t="e">
        <f>W281/N281/Y281</f>
        <v>#VALUE!</v>
      </c>
      <c r="AA281" s="417"/>
      <c r="AB281" s="418"/>
      <c r="AC281" s="418"/>
      <c r="AD281" s="418"/>
      <c r="AE281" s="425"/>
      <c r="AF281" s="418"/>
    </row>
    <row r="282" spans="1:32" s="21" customFormat="1" ht="43.5" customHeight="1">
      <c r="A282" s="402">
        <f t="shared" si="25"/>
        <v>280</v>
      </c>
      <c r="B282" s="395"/>
      <c r="C282" s="402">
        <v>1922</v>
      </c>
      <c r="D282" s="402">
        <v>6</v>
      </c>
      <c r="E282" s="402" t="s">
        <v>209</v>
      </c>
      <c r="F282" s="447"/>
      <c r="G282" s="402">
        <v>435</v>
      </c>
      <c r="H282" s="402" t="s">
        <v>1025</v>
      </c>
      <c r="I282" s="510" t="s">
        <v>1008</v>
      </c>
      <c r="J282" s="510" t="s">
        <v>232</v>
      </c>
      <c r="K282" s="510">
        <v>136</v>
      </c>
      <c r="L282" s="511" t="s">
        <v>76</v>
      </c>
      <c r="M282" s="418">
        <v>148</v>
      </c>
      <c r="N282" s="422">
        <v>23.73</v>
      </c>
      <c r="O282" s="422">
        <f t="shared" si="20"/>
        <v>3227.28</v>
      </c>
      <c r="P282" s="423"/>
      <c r="Q282" s="387" t="s">
        <v>11</v>
      </c>
      <c r="R282" s="419" t="s">
        <v>1021</v>
      </c>
      <c r="S282" s="437">
        <v>45764</v>
      </c>
      <c r="T282" s="402" t="s">
        <v>1024</v>
      </c>
      <c r="U282" s="419" t="s">
        <v>82</v>
      </c>
      <c r="V282" s="412" t="s">
        <v>82</v>
      </c>
      <c r="W282" s="413">
        <v>31</v>
      </c>
      <c r="X282" s="414">
        <f t="shared" ref="X282:X304" si="27">W282*K282</f>
        <v>4216</v>
      </c>
      <c r="Y282" s="415" t="s">
        <v>200</v>
      </c>
      <c r="Z282" s="416"/>
      <c r="AA282" s="417" t="e">
        <f t="shared" ref="AA282:AA322" si="28">X282/O282/Z282</f>
        <v>#DIV/0!</v>
      </c>
      <c r="AB282" s="418"/>
      <c r="AC282" s="418"/>
      <c r="AD282" s="418"/>
      <c r="AE282" s="425"/>
      <c r="AF282" s="418"/>
    </row>
    <row r="283" spans="1:32" s="21" customFormat="1" ht="43.5" customHeight="1">
      <c r="A283" s="402">
        <f t="shared" si="25"/>
        <v>281</v>
      </c>
      <c r="B283" s="395"/>
      <c r="C283" s="402">
        <v>1923</v>
      </c>
      <c r="D283" s="402">
        <v>13</v>
      </c>
      <c r="E283" s="402" t="s">
        <v>209</v>
      </c>
      <c r="F283" s="419" t="s">
        <v>195</v>
      </c>
      <c r="G283" s="402">
        <v>435</v>
      </c>
      <c r="H283" s="402" t="s">
        <v>1025</v>
      </c>
      <c r="I283" s="402" t="s">
        <v>1009</v>
      </c>
      <c r="J283" s="402" t="s">
        <v>232</v>
      </c>
      <c r="K283" s="402">
        <v>39</v>
      </c>
      <c r="L283" s="412" t="s">
        <v>76</v>
      </c>
      <c r="M283" s="418"/>
      <c r="N283" s="422">
        <v>127.48</v>
      </c>
      <c r="O283" s="422">
        <f t="shared" si="20"/>
        <v>4971.72</v>
      </c>
      <c r="P283" s="423"/>
      <c r="Q283" s="471" t="s">
        <v>12</v>
      </c>
      <c r="R283" s="419" t="s">
        <v>1021</v>
      </c>
      <c r="S283" s="437">
        <v>45764</v>
      </c>
      <c r="T283" s="402" t="s">
        <v>1024</v>
      </c>
      <c r="U283" s="419" t="s">
        <v>82</v>
      </c>
      <c r="V283" s="412" t="s">
        <v>82</v>
      </c>
      <c r="W283" s="413">
        <v>166</v>
      </c>
      <c r="X283" s="414">
        <f t="shared" si="27"/>
        <v>6474</v>
      </c>
      <c r="Y283" s="415" t="s">
        <v>200</v>
      </c>
      <c r="Z283" s="416"/>
      <c r="AA283" s="417" t="e">
        <f t="shared" si="28"/>
        <v>#DIV/0!</v>
      </c>
      <c r="AB283" s="418"/>
      <c r="AC283" s="418"/>
      <c r="AD283" s="418"/>
      <c r="AE283" s="425"/>
      <c r="AF283" s="418"/>
    </row>
    <row r="284" spans="1:32" s="21" customFormat="1" ht="43.5" customHeight="1">
      <c r="A284" s="402">
        <f t="shared" si="25"/>
        <v>282</v>
      </c>
      <c r="B284" s="395"/>
      <c r="C284" s="402">
        <v>1924</v>
      </c>
      <c r="D284" s="402">
        <v>15</v>
      </c>
      <c r="E284" s="402" t="s">
        <v>209</v>
      </c>
      <c r="F284" s="419" t="s">
        <v>195</v>
      </c>
      <c r="G284" s="402">
        <v>435</v>
      </c>
      <c r="H284" s="402" t="s">
        <v>1025</v>
      </c>
      <c r="I284" s="402" t="s">
        <v>1010</v>
      </c>
      <c r="J284" s="402" t="s">
        <v>1020</v>
      </c>
      <c r="K284" s="402">
        <v>8</v>
      </c>
      <c r="L284" s="412" t="s">
        <v>91</v>
      </c>
      <c r="M284" s="418"/>
      <c r="N284" s="422">
        <v>193</v>
      </c>
      <c r="O284" s="422">
        <f t="shared" si="20"/>
        <v>1544</v>
      </c>
      <c r="P284" s="423"/>
      <c r="Q284" s="471" t="s">
        <v>12</v>
      </c>
      <c r="R284" s="419" t="s">
        <v>1021</v>
      </c>
      <c r="S284" s="437">
        <v>45764</v>
      </c>
      <c r="T284" s="402" t="s">
        <v>1024</v>
      </c>
      <c r="U284" s="419" t="s">
        <v>82</v>
      </c>
      <c r="V284" s="412" t="s">
        <v>82</v>
      </c>
      <c r="W284" s="413">
        <v>251</v>
      </c>
      <c r="X284" s="414">
        <f t="shared" si="27"/>
        <v>2008</v>
      </c>
      <c r="Y284" s="415" t="s">
        <v>200</v>
      </c>
      <c r="Z284" s="416"/>
      <c r="AA284" s="417" t="e">
        <f t="shared" si="28"/>
        <v>#DIV/0!</v>
      </c>
      <c r="AB284" s="418"/>
      <c r="AC284" s="418"/>
      <c r="AD284" s="418"/>
      <c r="AE284" s="425"/>
      <c r="AF284" s="418"/>
    </row>
    <row r="285" spans="1:32" s="21" customFormat="1" ht="43.5" customHeight="1">
      <c r="A285" s="402">
        <f t="shared" si="25"/>
        <v>283</v>
      </c>
      <c r="B285" s="395"/>
      <c r="C285" s="402">
        <v>1925</v>
      </c>
      <c r="D285" s="402">
        <v>16</v>
      </c>
      <c r="E285" s="402" t="s">
        <v>209</v>
      </c>
      <c r="F285" s="419" t="s">
        <v>1023</v>
      </c>
      <c r="G285" s="402">
        <v>435</v>
      </c>
      <c r="H285" s="402" t="s">
        <v>1025</v>
      </c>
      <c r="I285" s="402" t="s">
        <v>1011</v>
      </c>
      <c r="J285" s="402" t="s">
        <v>232</v>
      </c>
      <c r="K285" s="402">
        <v>16</v>
      </c>
      <c r="L285" s="412" t="s">
        <v>91</v>
      </c>
      <c r="M285" s="418"/>
      <c r="N285" s="422">
        <v>75</v>
      </c>
      <c r="O285" s="422">
        <f t="shared" si="20"/>
        <v>1200</v>
      </c>
      <c r="P285" s="423"/>
      <c r="Q285" s="387" t="s">
        <v>11</v>
      </c>
      <c r="R285" s="419" t="s">
        <v>1021</v>
      </c>
      <c r="S285" s="437">
        <v>45764</v>
      </c>
      <c r="T285" s="402" t="s">
        <v>1024</v>
      </c>
      <c r="U285" s="419" t="s">
        <v>82</v>
      </c>
      <c r="V285" s="412" t="s">
        <v>82</v>
      </c>
      <c r="W285" s="413">
        <v>98</v>
      </c>
      <c r="X285" s="414">
        <f t="shared" si="27"/>
        <v>1568</v>
      </c>
      <c r="Y285" s="415" t="s">
        <v>200</v>
      </c>
      <c r="Z285" s="416"/>
      <c r="AA285" s="417" t="e">
        <f t="shared" si="28"/>
        <v>#DIV/0!</v>
      </c>
      <c r="AB285" s="418"/>
      <c r="AC285" s="418"/>
      <c r="AD285" s="418"/>
      <c r="AE285" s="425"/>
      <c r="AF285" s="418"/>
    </row>
    <row r="286" spans="1:32" s="21" customFormat="1" ht="43.5" customHeight="1">
      <c r="A286" s="402">
        <f t="shared" si="25"/>
        <v>284</v>
      </c>
      <c r="B286" s="395" t="s">
        <v>143</v>
      </c>
      <c r="C286" s="402">
        <v>1926</v>
      </c>
      <c r="D286" s="402">
        <v>17</v>
      </c>
      <c r="E286" s="402" t="s">
        <v>209</v>
      </c>
      <c r="F286" s="402" t="s">
        <v>409</v>
      </c>
      <c r="G286" s="402">
        <v>435</v>
      </c>
      <c r="H286" s="402" t="s">
        <v>1025</v>
      </c>
      <c r="I286" s="402" t="s">
        <v>1012</v>
      </c>
      <c r="J286" s="402" t="s">
        <v>692</v>
      </c>
      <c r="K286" s="402">
        <v>100</v>
      </c>
      <c r="L286" s="412" t="s">
        <v>76</v>
      </c>
      <c r="M286" s="418"/>
      <c r="N286" s="523">
        <v>0.79</v>
      </c>
      <c r="O286" s="422">
        <f t="shared" si="20"/>
        <v>79</v>
      </c>
      <c r="P286" s="423"/>
      <c r="Q286" s="517" t="s">
        <v>12</v>
      </c>
      <c r="R286" s="419" t="s">
        <v>1021</v>
      </c>
      <c r="S286" s="437">
        <v>45764</v>
      </c>
      <c r="T286" s="402" t="s">
        <v>1024</v>
      </c>
      <c r="U286" s="419" t="s">
        <v>82</v>
      </c>
      <c r="V286" s="412" t="s">
        <v>82</v>
      </c>
      <c r="W286" s="413">
        <v>1.5</v>
      </c>
      <c r="X286" s="414">
        <f t="shared" si="27"/>
        <v>150</v>
      </c>
      <c r="Y286" s="415" t="s">
        <v>200</v>
      </c>
      <c r="Z286" s="416"/>
      <c r="AA286" s="417" t="e">
        <f t="shared" si="28"/>
        <v>#DIV/0!</v>
      </c>
      <c r="AB286" s="418"/>
      <c r="AC286" s="418"/>
      <c r="AD286" s="418"/>
      <c r="AE286" s="425"/>
      <c r="AF286" s="418"/>
    </row>
    <row r="287" spans="1:32" s="21" customFormat="1" ht="43.5" customHeight="1">
      <c r="A287" s="402">
        <f t="shared" si="25"/>
        <v>285</v>
      </c>
      <c r="B287" s="395" t="s">
        <v>143</v>
      </c>
      <c r="C287" s="402">
        <v>1927</v>
      </c>
      <c r="D287" s="402">
        <v>18</v>
      </c>
      <c r="E287" s="402" t="s">
        <v>209</v>
      </c>
      <c r="F287" s="402" t="s">
        <v>409</v>
      </c>
      <c r="G287" s="402">
        <v>435</v>
      </c>
      <c r="H287" s="402" t="s">
        <v>1025</v>
      </c>
      <c r="I287" s="402" t="s">
        <v>1013</v>
      </c>
      <c r="J287" s="402" t="s">
        <v>692</v>
      </c>
      <c r="K287" s="402">
        <v>200</v>
      </c>
      <c r="L287" s="412" t="s">
        <v>76</v>
      </c>
      <c r="M287" s="418">
        <v>100</v>
      </c>
      <c r="N287" s="523">
        <v>1.06</v>
      </c>
      <c r="O287" s="422">
        <f t="shared" si="20"/>
        <v>212</v>
      </c>
      <c r="P287" s="423"/>
      <c r="Q287" s="517" t="s">
        <v>12</v>
      </c>
      <c r="R287" s="419" t="s">
        <v>1021</v>
      </c>
      <c r="S287" s="437">
        <v>45764</v>
      </c>
      <c r="T287" s="402" t="s">
        <v>1024</v>
      </c>
      <c r="U287" s="419" t="s">
        <v>82</v>
      </c>
      <c r="V287" s="412" t="s">
        <v>82</v>
      </c>
      <c r="W287" s="413">
        <v>3</v>
      </c>
      <c r="X287" s="414">
        <f t="shared" si="27"/>
        <v>600</v>
      </c>
      <c r="Y287" s="415" t="s">
        <v>200</v>
      </c>
      <c r="Z287" s="416"/>
      <c r="AA287" s="417" t="e">
        <f t="shared" si="28"/>
        <v>#DIV/0!</v>
      </c>
      <c r="AB287" s="418"/>
      <c r="AC287" s="418"/>
      <c r="AD287" s="418"/>
      <c r="AE287" s="425"/>
      <c r="AF287" s="418"/>
    </row>
    <row r="288" spans="1:32" s="21" customFormat="1" ht="43.5" customHeight="1">
      <c r="A288" s="402">
        <f t="shared" si="25"/>
        <v>286</v>
      </c>
      <c r="B288" s="395" t="s">
        <v>143</v>
      </c>
      <c r="C288" s="402">
        <v>1928</v>
      </c>
      <c r="D288" s="402">
        <v>19</v>
      </c>
      <c r="E288" s="402" t="s">
        <v>209</v>
      </c>
      <c r="F288" s="402" t="s">
        <v>409</v>
      </c>
      <c r="G288" s="402">
        <v>435</v>
      </c>
      <c r="H288" s="402" t="s">
        <v>1025</v>
      </c>
      <c r="I288" s="402" t="s">
        <v>1014</v>
      </c>
      <c r="J288" s="402" t="s">
        <v>692</v>
      </c>
      <c r="K288" s="402">
        <v>148</v>
      </c>
      <c r="L288" s="412" t="s">
        <v>76</v>
      </c>
      <c r="M288" s="418"/>
      <c r="N288" s="523">
        <v>1.65</v>
      </c>
      <c r="O288" s="422">
        <f t="shared" si="20"/>
        <v>244.2</v>
      </c>
      <c r="P288" s="423"/>
      <c r="Q288" s="517" t="s">
        <v>12</v>
      </c>
      <c r="R288" s="419" t="s">
        <v>1021</v>
      </c>
      <c r="S288" s="437">
        <v>45764</v>
      </c>
      <c r="T288" s="402" t="s">
        <v>1024</v>
      </c>
      <c r="U288" s="419" t="s">
        <v>82</v>
      </c>
      <c r="V288" s="412" t="s">
        <v>82</v>
      </c>
      <c r="W288" s="413">
        <v>2.5</v>
      </c>
      <c r="X288" s="414">
        <f t="shared" si="27"/>
        <v>370</v>
      </c>
      <c r="Y288" s="415" t="s">
        <v>200</v>
      </c>
      <c r="Z288" s="416"/>
      <c r="AA288" s="417" t="e">
        <f t="shared" si="28"/>
        <v>#DIV/0!</v>
      </c>
      <c r="AB288" s="418"/>
      <c r="AC288" s="418"/>
      <c r="AD288" s="418"/>
      <c r="AE288" s="425"/>
      <c r="AF288" s="418"/>
    </row>
    <row r="289" spans="1:32" s="21" customFormat="1" ht="43.5" customHeight="1">
      <c r="A289" s="402">
        <f t="shared" si="25"/>
        <v>287</v>
      </c>
      <c r="B289" s="395" t="s">
        <v>143</v>
      </c>
      <c r="C289" s="402">
        <v>1929</v>
      </c>
      <c r="D289" s="402">
        <v>20</v>
      </c>
      <c r="E289" s="402" t="s">
        <v>209</v>
      </c>
      <c r="F289" s="402" t="s">
        <v>409</v>
      </c>
      <c r="G289" s="402">
        <v>435</v>
      </c>
      <c r="H289" s="402" t="s">
        <v>1025</v>
      </c>
      <c r="I289" s="402" t="s">
        <v>1015</v>
      </c>
      <c r="J289" s="402" t="s">
        <v>692</v>
      </c>
      <c r="K289" s="402">
        <v>100</v>
      </c>
      <c r="L289" s="412" t="s">
        <v>76</v>
      </c>
      <c r="M289" s="418"/>
      <c r="N289" s="523">
        <v>2.2599999999999998</v>
      </c>
      <c r="O289" s="422">
        <f t="shared" si="20"/>
        <v>225.99999999999997</v>
      </c>
      <c r="P289" s="423"/>
      <c r="Q289" s="517" t="s">
        <v>12</v>
      </c>
      <c r="R289" s="419" t="s">
        <v>1021</v>
      </c>
      <c r="S289" s="437">
        <v>45764</v>
      </c>
      <c r="T289" s="402" t="s">
        <v>1024</v>
      </c>
      <c r="U289" s="419" t="s">
        <v>82</v>
      </c>
      <c r="V289" s="412" t="s">
        <v>82</v>
      </c>
      <c r="W289" s="413">
        <v>3</v>
      </c>
      <c r="X289" s="414">
        <f t="shared" si="27"/>
        <v>300</v>
      </c>
      <c r="Y289" s="415" t="s">
        <v>200</v>
      </c>
      <c r="Z289" s="416"/>
      <c r="AA289" s="417" t="e">
        <f t="shared" si="28"/>
        <v>#DIV/0!</v>
      </c>
      <c r="AB289" s="418"/>
      <c r="AC289" s="418"/>
      <c r="AD289" s="418"/>
      <c r="AE289" s="425"/>
      <c r="AF289" s="418"/>
    </row>
    <row r="290" spans="1:32" s="21" customFormat="1" ht="43.5" customHeight="1">
      <c r="A290" s="402">
        <f t="shared" si="25"/>
        <v>288</v>
      </c>
      <c r="B290" s="395" t="s">
        <v>143</v>
      </c>
      <c r="C290" s="402">
        <v>1930</v>
      </c>
      <c r="D290" s="402">
        <v>21</v>
      </c>
      <c r="E290" s="402" t="s">
        <v>209</v>
      </c>
      <c r="F290" s="402" t="s">
        <v>409</v>
      </c>
      <c r="G290" s="402">
        <v>435</v>
      </c>
      <c r="H290" s="402" t="s">
        <v>1025</v>
      </c>
      <c r="I290" s="402" t="s">
        <v>1016</v>
      </c>
      <c r="J290" s="402" t="s">
        <v>692</v>
      </c>
      <c r="K290" s="402">
        <v>156</v>
      </c>
      <c r="L290" s="412" t="s">
        <v>76</v>
      </c>
      <c r="M290" s="418"/>
      <c r="N290" s="523">
        <v>2.99</v>
      </c>
      <c r="O290" s="422">
        <f t="shared" ref="O290:O304" si="29">N290*K290</f>
        <v>466.44000000000005</v>
      </c>
      <c r="P290" s="423"/>
      <c r="Q290" s="517" t="s">
        <v>12</v>
      </c>
      <c r="R290" s="419" t="s">
        <v>1021</v>
      </c>
      <c r="S290" s="437">
        <v>45764</v>
      </c>
      <c r="T290" s="402" t="s">
        <v>1024</v>
      </c>
      <c r="U290" s="419" t="s">
        <v>82</v>
      </c>
      <c r="V290" s="412" t="s">
        <v>82</v>
      </c>
      <c r="W290" s="413">
        <v>4</v>
      </c>
      <c r="X290" s="414">
        <f t="shared" si="27"/>
        <v>624</v>
      </c>
      <c r="Y290" s="415" t="s">
        <v>200</v>
      </c>
      <c r="Z290" s="416"/>
      <c r="AA290" s="417" t="e">
        <f t="shared" si="28"/>
        <v>#DIV/0!</v>
      </c>
      <c r="AB290" s="418"/>
      <c r="AC290" s="418"/>
      <c r="AD290" s="418"/>
      <c r="AE290" s="425"/>
      <c r="AF290" s="418"/>
    </row>
    <row r="291" spans="1:32" s="21" customFormat="1" ht="43.5" customHeight="1">
      <c r="A291" s="402">
        <f t="shared" si="25"/>
        <v>289</v>
      </c>
      <c r="B291" s="395" t="s">
        <v>143</v>
      </c>
      <c r="C291" s="402">
        <v>1931</v>
      </c>
      <c r="D291" s="402">
        <v>22</v>
      </c>
      <c r="E291" s="402" t="s">
        <v>209</v>
      </c>
      <c r="F291" s="402" t="s">
        <v>409</v>
      </c>
      <c r="G291" s="402">
        <v>435</v>
      </c>
      <c r="H291" s="402" t="s">
        <v>1025</v>
      </c>
      <c r="I291" s="402" t="s">
        <v>1017</v>
      </c>
      <c r="J291" s="402" t="s">
        <v>692</v>
      </c>
      <c r="K291" s="402">
        <v>60</v>
      </c>
      <c r="L291" s="412" t="s">
        <v>76</v>
      </c>
      <c r="M291" s="418"/>
      <c r="N291" s="523">
        <v>3.69</v>
      </c>
      <c r="O291" s="422">
        <f t="shared" si="29"/>
        <v>221.4</v>
      </c>
      <c r="P291" s="423"/>
      <c r="Q291" s="517" t="s">
        <v>12</v>
      </c>
      <c r="R291" s="419" t="s">
        <v>1021</v>
      </c>
      <c r="S291" s="437">
        <v>45764</v>
      </c>
      <c r="T291" s="402" t="s">
        <v>1024</v>
      </c>
      <c r="U291" s="419" t="s">
        <v>82</v>
      </c>
      <c r="V291" s="412" t="s">
        <v>82</v>
      </c>
      <c r="W291" s="413">
        <v>5</v>
      </c>
      <c r="X291" s="414">
        <f t="shared" si="27"/>
        <v>300</v>
      </c>
      <c r="Y291" s="415" t="s">
        <v>200</v>
      </c>
      <c r="Z291" s="416"/>
      <c r="AA291" s="417" t="e">
        <f t="shared" si="28"/>
        <v>#DIV/0!</v>
      </c>
      <c r="AB291" s="418"/>
      <c r="AC291" s="418"/>
      <c r="AD291" s="418"/>
      <c r="AE291" s="425"/>
      <c r="AF291" s="418"/>
    </row>
    <row r="292" spans="1:32" s="21" customFormat="1" ht="43.5" customHeight="1">
      <c r="A292" s="402">
        <f t="shared" si="25"/>
        <v>290</v>
      </c>
      <c r="B292" s="395" t="s">
        <v>143</v>
      </c>
      <c r="C292" s="402">
        <v>1932</v>
      </c>
      <c r="D292" s="402">
        <v>23</v>
      </c>
      <c r="E292" s="402" t="s">
        <v>209</v>
      </c>
      <c r="F292" s="402" t="s">
        <v>409</v>
      </c>
      <c r="G292" s="402">
        <v>435</v>
      </c>
      <c r="H292" s="402" t="s">
        <v>1025</v>
      </c>
      <c r="I292" s="402" t="s">
        <v>1018</v>
      </c>
      <c r="J292" s="402" t="s">
        <v>692</v>
      </c>
      <c r="K292" s="402">
        <v>78</v>
      </c>
      <c r="L292" s="412" t="s">
        <v>76</v>
      </c>
      <c r="M292" s="418"/>
      <c r="N292" s="523">
        <v>3.86</v>
      </c>
      <c r="O292" s="422">
        <f t="shared" si="29"/>
        <v>301.08</v>
      </c>
      <c r="P292" s="423"/>
      <c r="Q292" s="517" t="s">
        <v>12</v>
      </c>
      <c r="R292" s="419" t="s">
        <v>1021</v>
      </c>
      <c r="S292" s="437">
        <v>45764</v>
      </c>
      <c r="T292" s="402" t="s">
        <v>1024</v>
      </c>
      <c r="U292" s="419" t="s">
        <v>82</v>
      </c>
      <c r="V292" s="412" t="s">
        <v>82</v>
      </c>
      <c r="W292" s="413">
        <v>5.5</v>
      </c>
      <c r="X292" s="414">
        <f t="shared" si="27"/>
        <v>429</v>
      </c>
      <c r="Y292" s="415" t="s">
        <v>200</v>
      </c>
      <c r="Z292" s="416"/>
      <c r="AA292" s="417" t="e">
        <f t="shared" si="28"/>
        <v>#DIV/0!</v>
      </c>
      <c r="AB292" s="418"/>
      <c r="AC292" s="418"/>
      <c r="AD292" s="418"/>
      <c r="AE292" s="425"/>
      <c r="AF292" s="418"/>
    </row>
    <row r="293" spans="1:32" s="21" customFormat="1" ht="43.5" customHeight="1">
      <c r="A293" s="402">
        <f t="shared" si="25"/>
        <v>291</v>
      </c>
      <c r="B293" s="395" t="s">
        <v>143</v>
      </c>
      <c r="C293" s="402">
        <v>1933</v>
      </c>
      <c r="D293" s="402">
        <v>24</v>
      </c>
      <c r="E293" s="402" t="s">
        <v>209</v>
      </c>
      <c r="F293" s="402" t="s">
        <v>409</v>
      </c>
      <c r="G293" s="402">
        <v>435</v>
      </c>
      <c r="H293" s="402" t="s">
        <v>1025</v>
      </c>
      <c r="I293" s="402" t="s">
        <v>1019</v>
      </c>
      <c r="J293" s="402" t="s">
        <v>692</v>
      </c>
      <c r="K293" s="402">
        <v>50</v>
      </c>
      <c r="L293" s="412" t="s">
        <v>76</v>
      </c>
      <c r="M293" s="418"/>
      <c r="N293" s="523">
        <v>4.5599999999999996</v>
      </c>
      <c r="O293" s="422">
        <f t="shared" si="29"/>
        <v>227.99999999999997</v>
      </c>
      <c r="P293" s="423"/>
      <c r="Q293" s="517" t="s">
        <v>12</v>
      </c>
      <c r="R293" s="419" t="s">
        <v>1021</v>
      </c>
      <c r="S293" s="437">
        <v>45764</v>
      </c>
      <c r="T293" s="402" t="s">
        <v>1024</v>
      </c>
      <c r="U293" s="419" t="s">
        <v>82</v>
      </c>
      <c r="V293" s="412" t="s">
        <v>82</v>
      </c>
      <c r="W293" s="413">
        <v>6</v>
      </c>
      <c r="X293" s="414">
        <f t="shared" si="27"/>
        <v>300</v>
      </c>
      <c r="Y293" s="415" t="s">
        <v>200</v>
      </c>
      <c r="Z293" s="416"/>
      <c r="AA293" s="417" t="e">
        <f t="shared" si="28"/>
        <v>#DIV/0!</v>
      </c>
      <c r="AB293" s="418"/>
      <c r="AC293" s="418"/>
      <c r="AD293" s="418"/>
      <c r="AE293" s="425"/>
      <c r="AF293" s="418"/>
    </row>
    <row r="294" spans="1:32" s="21" customFormat="1" ht="43.5" customHeight="1">
      <c r="A294" s="402">
        <f t="shared" si="25"/>
        <v>292</v>
      </c>
      <c r="B294" s="395"/>
      <c r="C294" s="52">
        <v>1945</v>
      </c>
      <c r="D294" s="52">
        <v>12</v>
      </c>
      <c r="E294" s="52" t="s">
        <v>224</v>
      </c>
      <c r="F294" s="52" t="s">
        <v>1034</v>
      </c>
      <c r="G294" s="52">
        <v>337</v>
      </c>
      <c r="H294" s="52" t="s">
        <v>140</v>
      </c>
      <c r="I294" s="52" t="s">
        <v>227</v>
      </c>
      <c r="J294" s="52" t="s">
        <v>228</v>
      </c>
      <c r="K294" s="52">
        <v>1</v>
      </c>
      <c r="L294" s="54" t="s">
        <v>219</v>
      </c>
      <c r="M294" s="53"/>
      <c r="N294" s="55">
        <v>664.25</v>
      </c>
      <c r="O294" s="154">
        <f t="shared" si="29"/>
        <v>664.25</v>
      </c>
      <c r="P294" s="136" t="s">
        <v>225</v>
      </c>
      <c r="Q294" s="204" t="s">
        <v>11</v>
      </c>
      <c r="R294" s="134"/>
      <c r="S294" s="137"/>
      <c r="T294" s="134"/>
      <c r="U294" s="134"/>
      <c r="V294" s="54"/>
      <c r="W294" s="99">
        <v>1050</v>
      </c>
      <c r="X294" s="15">
        <f t="shared" si="27"/>
        <v>1050</v>
      </c>
      <c r="Y294" s="62"/>
      <c r="Z294" s="63">
        <v>1.28</v>
      </c>
      <c r="AA294" s="230">
        <f t="shared" si="28"/>
        <v>1.2349454271735041</v>
      </c>
      <c r="AB294" s="350"/>
      <c r="AC294" s="60" t="s">
        <v>780</v>
      </c>
      <c r="AD294" s="172"/>
      <c r="AE294" s="64"/>
      <c r="AF294" s="60"/>
    </row>
    <row r="295" spans="1:32" s="21" customFormat="1" ht="43.5" customHeight="1">
      <c r="A295" s="402">
        <f t="shared" si="25"/>
        <v>293</v>
      </c>
      <c r="B295" s="395"/>
      <c r="C295" s="402">
        <v>1943</v>
      </c>
      <c r="D295" s="402">
        <v>1</v>
      </c>
      <c r="E295" s="402" t="s">
        <v>184</v>
      </c>
      <c r="F295" s="419" t="s">
        <v>1045</v>
      </c>
      <c r="G295" s="402">
        <v>438</v>
      </c>
      <c r="H295" s="52" t="s">
        <v>140</v>
      </c>
      <c r="I295" s="402" t="s">
        <v>1041</v>
      </c>
      <c r="J295" s="402" t="s">
        <v>1040</v>
      </c>
      <c r="K295" s="402">
        <v>1</v>
      </c>
      <c r="L295" s="412" t="s">
        <v>125</v>
      </c>
      <c r="M295" s="418"/>
      <c r="N295" s="422">
        <v>7500</v>
      </c>
      <c r="O295" s="422">
        <f t="shared" si="29"/>
        <v>7500</v>
      </c>
      <c r="P295" s="423"/>
      <c r="Q295" s="387" t="s">
        <v>11</v>
      </c>
      <c r="R295" s="419" t="s">
        <v>1044</v>
      </c>
      <c r="S295" s="437">
        <v>45769</v>
      </c>
      <c r="T295" s="402" t="s">
        <v>1047</v>
      </c>
      <c r="U295" s="419">
        <v>737</v>
      </c>
      <c r="V295" s="412" t="s">
        <v>1039</v>
      </c>
      <c r="W295" s="413">
        <v>12100</v>
      </c>
      <c r="X295" s="414">
        <f t="shared" si="27"/>
        <v>12100</v>
      </c>
      <c r="Y295" s="415" t="s">
        <v>1048</v>
      </c>
      <c r="Z295" s="63">
        <v>1.28</v>
      </c>
      <c r="AA295" s="230">
        <f t="shared" si="28"/>
        <v>1.2604166666666665</v>
      </c>
      <c r="AB295" s="418"/>
      <c r="AC295" s="418"/>
      <c r="AD295" s="418"/>
      <c r="AE295" s="425"/>
      <c r="AF295" s="418"/>
    </row>
    <row r="296" spans="1:32" s="21" customFormat="1" ht="43.5" customHeight="1">
      <c r="A296" s="402">
        <f t="shared" si="25"/>
        <v>294</v>
      </c>
      <c r="B296" s="395"/>
      <c r="C296" s="402">
        <v>1944</v>
      </c>
      <c r="D296" s="402">
        <v>2</v>
      </c>
      <c r="E296" s="402" t="s">
        <v>184</v>
      </c>
      <c r="F296" s="419" t="s">
        <v>1046</v>
      </c>
      <c r="G296" s="402">
        <v>438</v>
      </c>
      <c r="H296" s="52" t="s">
        <v>140</v>
      </c>
      <c r="I296" s="402" t="s">
        <v>1042</v>
      </c>
      <c r="J296" s="402" t="s">
        <v>1043</v>
      </c>
      <c r="K296" s="402">
        <v>1</v>
      </c>
      <c r="L296" s="412" t="s">
        <v>125</v>
      </c>
      <c r="M296" s="418"/>
      <c r="N296" s="422">
        <v>0</v>
      </c>
      <c r="O296" s="422">
        <f t="shared" si="29"/>
        <v>0</v>
      </c>
      <c r="P296" s="423"/>
      <c r="Q296" s="387" t="s">
        <v>11</v>
      </c>
      <c r="R296" s="419" t="s">
        <v>1044</v>
      </c>
      <c r="S296" s="437">
        <v>45769</v>
      </c>
      <c r="T296" s="402" t="s">
        <v>1047</v>
      </c>
      <c r="U296" s="419">
        <v>737</v>
      </c>
      <c r="V296" s="412"/>
      <c r="W296" s="413">
        <v>15700</v>
      </c>
      <c r="X296" s="414">
        <f t="shared" si="27"/>
        <v>15700</v>
      </c>
      <c r="Y296" s="415" t="s">
        <v>1048</v>
      </c>
      <c r="Z296" s="63">
        <v>1.28</v>
      </c>
      <c r="AA296" s="230" t="e">
        <f t="shared" si="28"/>
        <v>#DIV/0!</v>
      </c>
      <c r="AB296" s="418"/>
      <c r="AC296" s="418"/>
      <c r="AD296" s="418"/>
      <c r="AE296" s="425"/>
      <c r="AF296" s="418"/>
    </row>
    <row r="297" spans="1:32" s="21" customFormat="1" ht="43.5" customHeight="1">
      <c r="A297" s="402">
        <f t="shared" si="25"/>
        <v>295</v>
      </c>
      <c r="B297" s="395"/>
      <c r="C297" s="402">
        <v>1957</v>
      </c>
      <c r="D297" s="402">
        <v>1</v>
      </c>
      <c r="E297" s="411" t="s">
        <v>194</v>
      </c>
      <c r="F297" s="411" t="s">
        <v>1051</v>
      </c>
      <c r="G297" s="411">
        <v>436</v>
      </c>
      <c r="H297" s="52" t="s">
        <v>140</v>
      </c>
      <c r="I297" s="402" t="s">
        <v>1049</v>
      </c>
      <c r="J297" s="402" t="s">
        <v>1050</v>
      </c>
      <c r="K297" s="402">
        <v>1</v>
      </c>
      <c r="L297" s="412" t="s">
        <v>76</v>
      </c>
      <c r="M297" s="418"/>
      <c r="N297" s="422" t="s">
        <v>1052</v>
      </c>
      <c r="O297" s="422" t="e">
        <f t="shared" si="29"/>
        <v>#VALUE!</v>
      </c>
      <c r="P297" s="423"/>
      <c r="Q297" s="387" t="s">
        <v>11</v>
      </c>
      <c r="R297" s="419">
        <v>55883</v>
      </c>
      <c r="S297" s="437">
        <v>45770</v>
      </c>
      <c r="T297" s="402"/>
      <c r="U297" s="419">
        <v>737</v>
      </c>
      <c r="V297" s="412"/>
      <c r="W297" s="522">
        <v>4850</v>
      </c>
      <c r="X297" s="414">
        <f t="shared" si="27"/>
        <v>4850</v>
      </c>
      <c r="Y297" s="415" t="s">
        <v>200</v>
      </c>
      <c r="Z297" s="63">
        <v>1.23</v>
      </c>
      <c r="AA297" s="230" t="e">
        <f t="shared" si="28"/>
        <v>#VALUE!</v>
      </c>
      <c r="AB297" s="418"/>
      <c r="AC297" s="418"/>
      <c r="AD297" s="418"/>
      <c r="AE297" s="425"/>
      <c r="AF297" s="418"/>
    </row>
    <row r="298" spans="1:32" s="21" customFormat="1" ht="43.5" customHeight="1">
      <c r="A298" s="402">
        <f t="shared" si="25"/>
        <v>296</v>
      </c>
      <c r="B298" s="395"/>
      <c r="C298" s="402"/>
      <c r="D298" s="402"/>
      <c r="E298" s="402"/>
      <c r="F298" s="419"/>
      <c r="G298" s="402"/>
      <c r="H298" s="402"/>
      <c r="I298" s="402"/>
      <c r="J298" s="402"/>
      <c r="K298" s="402"/>
      <c r="L298" s="412"/>
      <c r="M298" s="418"/>
      <c r="N298" s="422">
        <v>0</v>
      </c>
      <c r="O298" s="422">
        <f t="shared" si="29"/>
        <v>0</v>
      </c>
      <c r="P298" s="423"/>
      <c r="Q298" s="387" t="s">
        <v>11</v>
      </c>
      <c r="R298" s="419"/>
      <c r="S298" s="437"/>
      <c r="T298" s="402"/>
      <c r="U298" s="419"/>
      <c r="V298" s="412"/>
      <c r="W298" s="413"/>
      <c r="X298" s="414">
        <f t="shared" si="27"/>
        <v>0</v>
      </c>
      <c r="Y298" s="415"/>
      <c r="Z298" s="63">
        <v>1.28</v>
      </c>
      <c r="AA298" s="230" t="e">
        <f t="shared" si="28"/>
        <v>#DIV/0!</v>
      </c>
      <c r="AB298" s="418"/>
      <c r="AC298" s="418"/>
      <c r="AD298" s="418"/>
      <c r="AE298" s="425"/>
      <c r="AF298" s="418"/>
    </row>
    <row r="299" spans="1:32" s="21" customFormat="1" ht="43.5" customHeight="1">
      <c r="A299" s="402">
        <f t="shared" si="25"/>
        <v>297</v>
      </c>
      <c r="B299" s="395"/>
      <c r="C299" s="402"/>
      <c r="D299" s="402"/>
      <c r="E299" s="402"/>
      <c r="F299" s="419"/>
      <c r="G299" s="402"/>
      <c r="H299" s="402"/>
      <c r="I299" s="402"/>
      <c r="J299" s="402"/>
      <c r="K299" s="402"/>
      <c r="L299" s="412"/>
      <c r="M299" s="418"/>
      <c r="N299" s="422">
        <v>0</v>
      </c>
      <c r="O299" s="422">
        <f t="shared" si="29"/>
        <v>0</v>
      </c>
      <c r="P299" s="423"/>
      <c r="Q299" s="387" t="s">
        <v>11</v>
      </c>
      <c r="R299" s="419"/>
      <c r="S299" s="437"/>
      <c r="T299" s="402"/>
      <c r="U299" s="419"/>
      <c r="V299" s="412"/>
      <c r="W299" s="413"/>
      <c r="X299" s="414">
        <f t="shared" si="27"/>
        <v>0</v>
      </c>
      <c r="Y299" s="415"/>
      <c r="Z299" s="63">
        <v>1.28</v>
      </c>
      <c r="AA299" s="230" t="e">
        <f t="shared" si="28"/>
        <v>#DIV/0!</v>
      </c>
      <c r="AB299" s="418"/>
      <c r="AC299" s="418"/>
      <c r="AD299" s="418"/>
      <c r="AE299" s="425"/>
      <c r="AF299" s="418"/>
    </row>
    <row r="300" spans="1:32" s="21" customFormat="1" ht="43.5" customHeight="1">
      <c r="A300" s="402">
        <f t="shared" si="25"/>
        <v>298</v>
      </c>
      <c r="B300" s="395"/>
      <c r="C300" s="185"/>
      <c r="D300" s="185"/>
      <c r="E300" s="185"/>
      <c r="F300" s="218"/>
      <c r="G300" s="185"/>
      <c r="H300" s="185"/>
      <c r="I300" s="185"/>
      <c r="J300" s="185"/>
      <c r="K300" s="185"/>
      <c r="L300" s="186"/>
      <c r="M300" s="248"/>
      <c r="N300" s="187">
        <v>0</v>
      </c>
      <c r="O300" s="187">
        <f t="shared" si="29"/>
        <v>0</v>
      </c>
      <c r="P300" s="183"/>
      <c r="Q300" s="204" t="s">
        <v>11</v>
      </c>
      <c r="R300" s="218"/>
      <c r="S300" s="191"/>
      <c r="T300" s="185"/>
      <c r="U300" s="218"/>
      <c r="V300" s="186"/>
      <c r="W300" s="239"/>
      <c r="X300" s="228">
        <f t="shared" si="27"/>
        <v>0</v>
      </c>
      <c r="Y300" s="243"/>
      <c r="Z300" s="63">
        <v>1.28</v>
      </c>
      <c r="AA300" s="230" t="e">
        <f t="shared" si="28"/>
        <v>#DIV/0!</v>
      </c>
      <c r="AB300" s="248"/>
      <c r="AC300" s="248"/>
      <c r="AD300" s="248"/>
      <c r="AE300" s="251"/>
      <c r="AF300" s="248"/>
    </row>
    <row r="301" spans="1:32" s="21" customFormat="1" ht="43.5" customHeight="1">
      <c r="A301" s="402">
        <f t="shared" si="25"/>
        <v>299</v>
      </c>
      <c r="B301" s="395"/>
      <c r="C301" s="185"/>
      <c r="D301" s="185"/>
      <c r="E301" s="185"/>
      <c r="F301" s="218"/>
      <c r="G301" s="185"/>
      <c r="H301" s="185"/>
      <c r="I301" s="185"/>
      <c r="J301" s="185"/>
      <c r="K301" s="185"/>
      <c r="L301" s="186"/>
      <c r="M301" s="248"/>
      <c r="N301" s="187">
        <v>0</v>
      </c>
      <c r="O301" s="187">
        <f t="shared" si="29"/>
        <v>0</v>
      </c>
      <c r="P301" s="183"/>
      <c r="Q301" s="204" t="s">
        <v>11</v>
      </c>
      <c r="R301" s="218"/>
      <c r="S301" s="191"/>
      <c r="T301" s="185"/>
      <c r="U301" s="218"/>
      <c r="V301" s="186"/>
      <c r="W301" s="239"/>
      <c r="X301" s="228">
        <f t="shared" si="27"/>
        <v>0</v>
      </c>
      <c r="Y301" s="243"/>
      <c r="Z301" s="63">
        <v>1.28</v>
      </c>
      <c r="AA301" s="230" t="e">
        <f t="shared" si="28"/>
        <v>#DIV/0!</v>
      </c>
      <c r="AB301" s="248"/>
      <c r="AC301" s="248"/>
      <c r="AD301" s="248"/>
      <c r="AE301" s="251"/>
      <c r="AF301" s="248"/>
    </row>
    <row r="302" spans="1:32" s="21" customFormat="1" ht="43.5" customHeight="1">
      <c r="A302" s="402">
        <f t="shared" si="25"/>
        <v>300</v>
      </c>
      <c r="B302" s="395"/>
      <c r="C302" s="185"/>
      <c r="D302" s="185"/>
      <c r="E302" s="185"/>
      <c r="F302" s="218"/>
      <c r="G302" s="185"/>
      <c r="H302" s="185"/>
      <c r="I302" s="185"/>
      <c r="J302" s="185"/>
      <c r="K302" s="185"/>
      <c r="L302" s="186"/>
      <c r="M302" s="248"/>
      <c r="N302" s="187">
        <v>0</v>
      </c>
      <c r="O302" s="187">
        <f t="shared" si="29"/>
        <v>0</v>
      </c>
      <c r="P302" s="183"/>
      <c r="Q302" s="204" t="s">
        <v>11</v>
      </c>
      <c r="R302" s="218"/>
      <c r="S302" s="191"/>
      <c r="T302" s="185"/>
      <c r="U302" s="218"/>
      <c r="V302" s="186"/>
      <c r="W302" s="239"/>
      <c r="X302" s="228">
        <f t="shared" si="27"/>
        <v>0</v>
      </c>
      <c r="Y302" s="243"/>
      <c r="Z302" s="63">
        <v>1.28</v>
      </c>
      <c r="AA302" s="230" t="e">
        <f t="shared" si="28"/>
        <v>#DIV/0!</v>
      </c>
      <c r="AB302" s="248"/>
      <c r="AC302" s="248"/>
      <c r="AD302" s="248"/>
      <c r="AE302" s="251"/>
      <c r="AF302" s="248"/>
    </row>
    <row r="303" spans="1:32" s="21" customFormat="1" ht="43.5" customHeight="1" thickBot="1">
      <c r="A303" s="402">
        <f t="shared" si="25"/>
        <v>301</v>
      </c>
      <c r="B303" s="264"/>
      <c r="C303" s="265"/>
      <c r="D303" s="265"/>
      <c r="E303" s="265"/>
      <c r="F303" s="266"/>
      <c r="G303" s="265"/>
      <c r="H303" s="265"/>
      <c r="I303" s="265"/>
      <c r="J303" s="265"/>
      <c r="K303" s="265"/>
      <c r="L303" s="267"/>
      <c r="M303" s="268"/>
      <c r="N303" s="269">
        <v>0</v>
      </c>
      <c r="O303" s="269">
        <f t="shared" si="29"/>
        <v>0</v>
      </c>
      <c r="P303" s="270"/>
      <c r="Q303" s="226" t="s">
        <v>11</v>
      </c>
      <c r="R303" s="266"/>
      <c r="S303" s="271"/>
      <c r="T303" s="265"/>
      <c r="U303" s="266"/>
      <c r="V303" s="267"/>
      <c r="W303" s="272"/>
      <c r="X303" s="225">
        <f t="shared" si="27"/>
        <v>0</v>
      </c>
      <c r="Y303" s="49"/>
      <c r="Z303" s="63">
        <v>1.28</v>
      </c>
      <c r="AA303" s="230" t="e">
        <f t="shared" si="28"/>
        <v>#DIV/0!</v>
      </c>
      <c r="AB303" s="352"/>
      <c r="AC303" s="268"/>
      <c r="AD303" s="268"/>
      <c r="AE303" s="273"/>
      <c r="AF303" s="268"/>
    </row>
    <row r="304" spans="1:32" s="21" customFormat="1" ht="43.5" customHeight="1">
      <c r="A304" s="402">
        <f t="shared" si="25"/>
        <v>302</v>
      </c>
      <c r="B304" s="104"/>
      <c r="C304" s="105">
        <v>530</v>
      </c>
      <c r="D304" s="106">
        <v>2</v>
      </c>
      <c r="E304" s="105" t="s">
        <v>79</v>
      </c>
      <c r="F304" s="106"/>
      <c r="G304" s="106">
        <v>325</v>
      </c>
      <c r="H304" s="105" t="s">
        <v>205</v>
      </c>
      <c r="I304" s="106" t="s">
        <v>261</v>
      </c>
      <c r="J304" s="106" t="s">
        <v>258</v>
      </c>
      <c r="K304" s="106">
        <v>1</v>
      </c>
      <c r="L304" s="107" t="s">
        <v>76</v>
      </c>
      <c r="M304" s="108"/>
      <c r="N304" s="108">
        <v>2212.1999999999998</v>
      </c>
      <c r="O304" s="108">
        <f t="shared" si="29"/>
        <v>2212.1999999999998</v>
      </c>
      <c r="P304" s="310"/>
      <c r="Q304" s="219" t="s">
        <v>34</v>
      </c>
      <c r="R304" s="108" t="s">
        <v>259</v>
      </c>
      <c r="S304" s="109">
        <v>45393</v>
      </c>
      <c r="T304" s="105" t="s">
        <v>260</v>
      </c>
      <c r="U304" s="106" t="s">
        <v>81</v>
      </c>
      <c r="V304" s="106"/>
      <c r="W304" s="110">
        <v>4000</v>
      </c>
      <c r="X304" s="110">
        <f t="shared" si="27"/>
        <v>4000</v>
      </c>
      <c r="Y304" s="111"/>
      <c r="Z304" s="112">
        <v>1.28</v>
      </c>
      <c r="AA304" s="230">
        <f t="shared" si="28"/>
        <v>1.412620920350782</v>
      </c>
      <c r="AB304" s="353"/>
      <c r="AC304" s="404" t="s">
        <v>512</v>
      </c>
      <c r="AD304" s="404"/>
      <c r="AE304" s="316"/>
      <c r="AF304" s="113"/>
    </row>
    <row r="305" spans="1:32" s="21" customFormat="1" ht="43.5" customHeight="1">
      <c r="A305" s="402">
        <f t="shared" si="25"/>
        <v>303</v>
      </c>
      <c r="B305" s="398"/>
      <c r="C305" s="184">
        <v>545</v>
      </c>
      <c r="D305" s="185">
        <v>1</v>
      </c>
      <c r="E305" s="184" t="s">
        <v>79</v>
      </c>
      <c r="F305" s="185" t="s">
        <v>262</v>
      </c>
      <c r="G305" s="185">
        <v>325</v>
      </c>
      <c r="H305" s="184" t="s">
        <v>116</v>
      </c>
      <c r="I305" s="185" t="s">
        <v>263</v>
      </c>
      <c r="J305" s="185" t="s">
        <v>264</v>
      </c>
      <c r="K305" s="185">
        <v>5</v>
      </c>
      <c r="L305" s="186" t="s">
        <v>76</v>
      </c>
      <c r="M305" s="187"/>
      <c r="N305" s="187">
        <v>10247</v>
      </c>
      <c r="O305" s="187">
        <v>0</v>
      </c>
      <c r="P305" s="249"/>
      <c r="Q305" s="190" t="s">
        <v>468</v>
      </c>
      <c r="R305" s="187" t="s">
        <v>265</v>
      </c>
      <c r="S305" s="188">
        <v>45452</v>
      </c>
      <c r="T305" s="184" t="s">
        <v>266</v>
      </c>
      <c r="U305" s="185" t="s">
        <v>81</v>
      </c>
      <c r="V305" s="185"/>
      <c r="W305" s="189">
        <v>16000</v>
      </c>
      <c r="X305" s="189">
        <v>0</v>
      </c>
      <c r="Y305" s="101"/>
      <c r="Z305" s="102">
        <v>1.28</v>
      </c>
      <c r="AA305" s="230" t="e">
        <f t="shared" si="28"/>
        <v>#DIV/0!</v>
      </c>
      <c r="AB305" s="248"/>
      <c r="AC305" s="405"/>
      <c r="AD305" s="405"/>
      <c r="AE305" s="301"/>
      <c r="AF305" s="302"/>
    </row>
    <row r="306" spans="1:32" s="21" customFormat="1" ht="43.5" customHeight="1">
      <c r="A306" s="402">
        <f t="shared" si="25"/>
        <v>304</v>
      </c>
      <c r="B306" s="398" t="s">
        <v>628</v>
      </c>
      <c r="C306" s="184">
        <v>1394</v>
      </c>
      <c r="D306" s="185">
        <v>1</v>
      </c>
      <c r="E306" s="184" t="s">
        <v>79</v>
      </c>
      <c r="F306" s="247" t="s">
        <v>671</v>
      </c>
      <c r="G306" s="185">
        <v>341</v>
      </c>
      <c r="H306" s="184" t="s">
        <v>116</v>
      </c>
      <c r="I306" s="198">
        <v>2980192100000</v>
      </c>
      <c r="J306" s="185" t="s">
        <v>269</v>
      </c>
      <c r="K306" s="185">
        <v>1</v>
      </c>
      <c r="L306" s="186" t="s">
        <v>221</v>
      </c>
      <c r="M306" s="187"/>
      <c r="N306" s="187">
        <v>1300</v>
      </c>
      <c r="O306" s="187">
        <f t="shared" ref="O306:O315" si="30">N306*K306</f>
        <v>1300</v>
      </c>
      <c r="P306" s="249"/>
      <c r="Q306" s="204" t="s">
        <v>11</v>
      </c>
      <c r="R306" s="187" t="s">
        <v>270</v>
      </c>
      <c r="S306" s="188">
        <v>45469</v>
      </c>
      <c r="T306" s="184" t="s">
        <v>271</v>
      </c>
      <c r="U306" s="185" t="s">
        <v>85</v>
      </c>
      <c r="V306" s="193"/>
      <c r="W306" s="187">
        <v>2500</v>
      </c>
      <c r="X306" s="249">
        <f>W306*K306</f>
        <v>2500</v>
      </c>
      <c r="Y306" s="101"/>
      <c r="Z306" s="102">
        <v>1.28</v>
      </c>
      <c r="AA306" s="230">
        <f t="shared" si="28"/>
        <v>1.5024038461538463</v>
      </c>
      <c r="AB306" s="248"/>
      <c r="AC306" s="405" t="s">
        <v>546</v>
      </c>
      <c r="AD306" s="405"/>
      <c r="AE306" s="301"/>
      <c r="AF306" s="302"/>
    </row>
    <row r="307" spans="1:32" s="21" customFormat="1" ht="43.5" customHeight="1">
      <c r="A307" s="402">
        <f t="shared" si="25"/>
        <v>305</v>
      </c>
      <c r="B307" s="274"/>
      <c r="C307" s="275">
        <v>895</v>
      </c>
      <c r="D307" s="276">
        <v>1</v>
      </c>
      <c r="E307" s="275" t="s">
        <v>79</v>
      </c>
      <c r="F307" s="277"/>
      <c r="G307" s="276">
        <v>341</v>
      </c>
      <c r="H307" s="275" t="s">
        <v>116</v>
      </c>
      <c r="I307" s="278" t="s">
        <v>276</v>
      </c>
      <c r="J307" s="276" t="s">
        <v>277</v>
      </c>
      <c r="K307" s="276">
        <v>1</v>
      </c>
      <c r="L307" s="276" t="s">
        <v>122</v>
      </c>
      <c r="M307" s="279"/>
      <c r="N307" s="279">
        <v>1500</v>
      </c>
      <c r="O307" s="279">
        <f t="shared" si="30"/>
        <v>1500</v>
      </c>
      <c r="P307" s="280"/>
      <c r="Q307" s="282" t="s">
        <v>20</v>
      </c>
      <c r="R307" s="279" t="s">
        <v>278</v>
      </c>
      <c r="S307" s="281">
        <v>45473</v>
      </c>
      <c r="T307" s="275" t="s">
        <v>279</v>
      </c>
      <c r="U307" s="276" t="s">
        <v>81</v>
      </c>
      <c r="V307" s="276"/>
      <c r="W307" s="279">
        <v>2620</v>
      </c>
      <c r="X307" s="280">
        <f>W307*K307</f>
        <v>2620</v>
      </c>
      <c r="Y307" s="101"/>
      <c r="Z307" s="102">
        <v>1.28</v>
      </c>
      <c r="AA307" s="230">
        <f t="shared" si="28"/>
        <v>1.3645833333333333</v>
      </c>
      <c r="AB307" s="418"/>
      <c r="AC307" s="406"/>
      <c r="AD307" s="407"/>
      <c r="AE307" s="285"/>
      <c r="AF307" s="283"/>
    </row>
    <row r="308" spans="1:32" s="21" customFormat="1" ht="43.5" customHeight="1">
      <c r="A308" s="402">
        <f t="shared" si="25"/>
        <v>306</v>
      </c>
      <c r="B308" s="398"/>
      <c r="C308" s="184">
        <v>895</v>
      </c>
      <c r="D308" s="185">
        <v>1</v>
      </c>
      <c r="E308" s="184" t="s">
        <v>79</v>
      </c>
      <c r="F308" s="191" t="s">
        <v>82</v>
      </c>
      <c r="G308" s="185">
        <v>341</v>
      </c>
      <c r="H308" s="184" t="s">
        <v>116</v>
      </c>
      <c r="I308" s="303" t="s">
        <v>276</v>
      </c>
      <c r="J308" s="304" t="s">
        <v>672</v>
      </c>
      <c r="K308" s="185">
        <v>1</v>
      </c>
      <c r="L308" s="185" t="s">
        <v>122</v>
      </c>
      <c r="M308" s="187"/>
      <c r="N308" s="187">
        <v>1500</v>
      </c>
      <c r="O308" s="187">
        <f t="shared" si="30"/>
        <v>1500</v>
      </c>
      <c r="P308" s="249"/>
      <c r="Q308" s="203" t="s">
        <v>17</v>
      </c>
      <c r="R308" s="187" t="s">
        <v>278</v>
      </c>
      <c r="S308" s="188">
        <v>45473</v>
      </c>
      <c r="T308" s="184" t="s">
        <v>279</v>
      </c>
      <c r="U308" s="185" t="s">
        <v>81</v>
      </c>
      <c r="V308" s="185"/>
      <c r="W308" s="187">
        <v>2620</v>
      </c>
      <c r="X308" s="249">
        <v>0</v>
      </c>
      <c r="Y308" s="101"/>
      <c r="Z308" s="102">
        <v>1.28</v>
      </c>
      <c r="AA308" s="230">
        <f t="shared" si="28"/>
        <v>0</v>
      </c>
      <c r="AB308" s="418"/>
      <c r="AC308" s="405" t="s">
        <v>643</v>
      </c>
      <c r="AD308" s="405"/>
      <c r="AE308" s="301"/>
      <c r="AF308" s="302"/>
    </row>
    <row r="309" spans="1:32" s="21" customFormat="1" ht="43.5" customHeight="1">
      <c r="A309" s="402">
        <f t="shared" si="25"/>
        <v>307</v>
      </c>
      <c r="B309" s="398" t="s">
        <v>637</v>
      </c>
      <c r="C309" s="184">
        <v>906</v>
      </c>
      <c r="D309" s="185">
        <v>3</v>
      </c>
      <c r="E309" s="184" t="s">
        <v>79</v>
      </c>
      <c r="F309" s="191" t="s">
        <v>644</v>
      </c>
      <c r="G309" s="185">
        <v>341</v>
      </c>
      <c r="H309" s="184" t="s">
        <v>116</v>
      </c>
      <c r="I309" s="193">
        <v>201138608</v>
      </c>
      <c r="J309" s="185" t="s">
        <v>282</v>
      </c>
      <c r="K309" s="185">
        <v>5</v>
      </c>
      <c r="L309" s="185" t="s">
        <v>76</v>
      </c>
      <c r="M309" s="187"/>
      <c r="N309" s="187">
        <v>457.12</v>
      </c>
      <c r="O309" s="187">
        <f t="shared" si="30"/>
        <v>2285.6</v>
      </c>
      <c r="P309" s="249"/>
      <c r="Q309" s="513" t="s">
        <v>16</v>
      </c>
      <c r="R309" s="187" t="s">
        <v>280</v>
      </c>
      <c r="S309" s="188">
        <v>45481</v>
      </c>
      <c r="T309" s="184" t="s">
        <v>281</v>
      </c>
      <c r="U309" s="185" t="s">
        <v>96</v>
      </c>
      <c r="V309" s="185"/>
      <c r="W309" s="187">
        <v>750</v>
      </c>
      <c r="X309" s="249">
        <f t="shared" ref="X309:X322" si="31">W309*K309</f>
        <v>3750</v>
      </c>
      <c r="Y309" s="101"/>
      <c r="Z309" s="102">
        <v>1.28</v>
      </c>
      <c r="AA309" s="230">
        <f t="shared" si="28"/>
        <v>1.2818023713685684</v>
      </c>
      <c r="AB309" s="418">
        <v>155</v>
      </c>
      <c r="AC309" s="348" t="s">
        <v>819</v>
      </c>
      <c r="AD309" s="305"/>
      <c r="AE309" s="218" t="s">
        <v>166</v>
      </c>
      <c r="AF309" s="305"/>
    </row>
    <row r="310" spans="1:32" s="21" customFormat="1" ht="43.5" customHeight="1">
      <c r="A310" s="402">
        <f t="shared" si="25"/>
        <v>308</v>
      </c>
      <c r="B310" s="274"/>
      <c r="C310" s="275">
        <v>970</v>
      </c>
      <c r="D310" s="276">
        <v>1</v>
      </c>
      <c r="E310" s="275" t="s">
        <v>79</v>
      </c>
      <c r="F310" s="277" t="s">
        <v>588</v>
      </c>
      <c r="G310" s="276">
        <v>341</v>
      </c>
      <c r="H310" s="275" t="s">
        <v>116</v>
      </c>
      <c r="I310" s="278" t="s">
        <v>283</v>
      </c>
      <c r="J310" s="276" t="s">
        <v>284</v>
      </c>
      <c r="K310" s="276">
        <v>1</v>
      </c>
      <c r="L310" s="276" t="s">
        <v>122</v>
      </c>
      <c r="M310" s="279"/>
      <c r="N310" s="286">
        <f>13373.32 + 4000</f>
        <v>17373.32</v>
      </c>
      <c r="O310" s="279">
        <f t="shared" si="30"/>
        <v>17373.32</v>
      </c>
      <c r="P310" s="280"/>
      <c r="Q310" s="287" t="s">
        <v>39</v>
      </c>
      <c r="R310" s="279" t="s">
        <v>285</v>
      </c>
      <c r="S310" s="281">
        <v>45481</v>
      </c>
      <c r="T310" s="275" t="s">
        <v>286</v>
      </c>
      <c r="U310" s="276" t="s">
        <v>85</v>
      </c>
      <c r="V310" s="276"/>
      <c r="W310" s="279">
        <v>23100</v>
      </c>
      <c r="X310" s="280">
        <f t="shared" si="31"/>
        <v>23100</v>
      </c>
      <c r="Y310" s="101"/>
      <c r="Z310" s="102">
        <v>1.28</v>
      </c>
      <c r="AA310" s="230">
        <f t="shared" si="28"/>
        <v>1.038769504044132</v>
      </c>
      <c r="AB310" s="418"/>
      <c r="AC310" s="406" t="s">
        <v>958</v>
      </c>
      <c r="AD310" s="407"/>
      <c r="AE310" s="285"/>
      <c r="AF310" s="283"/>
    </row>
    <row r="311" spans="1:32" s="21" customFormat="1" ht="43.5" customHeight="1">
      <c r="A311" s="402">
        <f t="shared" si="25"/>
        <v>309</v>
      </c>
      <c r="B311" s="395" t="s">
        <v>140</v>
      </c>
      <c r="C311" s="184">
        <v>994</v>
      </c>
      <c r="D311" s="185">
        <v>1</v>
      </c>
      <c r="E311" s="184" t="s">
        <v>79</v>
      </c>
      <c r="F311" s="191" t="s">
        <v>204</v>
      </c>
      <c r="G311" s="185">
        <v>348</v>
      </c>
      <c r="H311" s="184" t="s">
        <v>116</v>
      </c>
      <c r="I311" s="193" t="s">
        <v>287</v>
      </c>
      <c r="J311" s="185" t="s">
        <v>246</v>
      </c>
      <c r="K311" s="185">
        <v>500</v>
      </c>
      <c r="L311" s="185" t="s">
        <v>76</v>
      </c>
      <c r="M311" s="306">
        <v>737</v>
      </c>
      <c r="N311" s="187">
        <v>17.8</v>
      </c>
      <c r="O311" s="187">
        <f t="shared" si="30"/>
        <v>8900</v>
      </c>
      <c r="P311" s="249"/>
      <c r="Q311" s="196" t="s">
        <v>13</v>
      </c>
      <c r="R311" s="187" t="s">
        <v>288</v>
      </c>
      <c r="S311" s="188">
        <v>45500</v>
      </c>
      <c r="T311" s="184" t="s">
        <v>289</v>
      </c>
      <c r="U311" s="185" t="s">
        <v>81</v>
      </c>
      <c r="V311" s="185"/>
      <c r="W311" s="239">
        <v>30</v>
      </c>
      <c r="X311" s="239">
        <f t="shared" si="31"/>
        <v>15000</v>
      </c>
      <c r="Y311" s="101"/>
      <c r="Z311" s="102">
        <v>1.28</v>
      </c>
      <c r="AA311" s="230">
        <f t="shared" si="28"/>
        <v>1.3167134831460674</v>
      </c>
      <c r="AB311" s="418"/>
      <c r="AC311" s="305" t="s">
        <v>557</v>
      </c>
      <c r="AD311" s="305"/>
      <c r="AE311" s="301"/>
      <c r="AF311" s="305"/>
    </row>
    <row r="312" spans="1:32" s="4" customFormat="1" ht="43.5" customHeight="1">
      <c r="A312" s="402">
        <f t="shared" si="25"/>
        <v>310</v>
      </c>
      <c r="B312" s="399"/>
      <c r="C312" s="308"/>
      <c r="D312" s="185">
        <v>3</v>
      </c>
      <c r="E312" s="184" t="s">
        <v>79</v>
      </c>
      <c r="F312" s="191"/>
      <c r="G312" s="185">
        <v>348</v>
      </c>
      <c r="H312" s="184" t="s">
        <v>116</v>
      </c>
      <c r="I312" s="185">
        <v>2863</v>
      </c>
      <c r="J312" s="185" t="s">
        <v>277</v>
      </c>
      <c r="K312" s="185">
        <v>2</v>
      </c>
      <c r="L312" s="185" t="s">
        <v>76</v>
      </c>
      <c r="M312" s="187"/>
      <c r="N312" s="201">
        <v>1500</v>
      </c>
      <c r="O312" s="187">
        <f t="shared" si="30"/>
        <v>3000</v>
      </c>
      <c r="P312" s="249"/>
      <c r="Q312" s="236" t="s">
        <v>34</v>
      </c>
      <c r="R312" s="187" t="s">
        <v>290</v>
      </c>
      <c r="S312" s="188">
        <v>45518</v>
      </c>
      <c r="T312" s="184" t="s">
        <v>291</v>
      </c>
      <c r="U312" s="185" t="s">
        <v>81</v>
      </c>
      <c r="V312" s="185"/>
      <c r="W312" s="187">
        <v>2410</v>
      </c>
      <c r="X312" s="249">
        <f t="shared" si="31"/>
        <v>4820</v>
      </c>
      <c r="Y312" s="40"/>
      <c r="Z312" s="39">
        <v>1.28</v>
      </c>
      <c r="AA312" s="230">
        <f t="shared" si="28"/>
        <v>1.2552083333333333</v>
      </c>
      <c r="AB312" s="418"/>
      <c r="AC312" s="305"/>
      <c r="AD312" s="305"/>
      <c r="AE312" s="301"/>
      <c r="AF312" s="305"/>
    </row>
    <row r="313" spans="1:32" s="4" customFormat="1" ht="43.5" customHeight="1">
      <c r="A313" s="402">
        <f t="shared" si="25"/>
        <v>311</v>
      </c>
      <c r="B313" s="398"/>
      <c r="C313" s="184">
        <v>889</v>
      </c>
      <c r="D313" s="185">
        <v>1</v>
      </c>
      <c r="E313" s="184" t="s">
        <v>79</v>
      </c>
      <c r="F313" s="191" t="s">
        <v>138</v>
      </c>
      <c r="G313" s="185">
        <v>341</v>
      </c>
      <c r="H313" s="184" t="s">
        <v>116</v>
      </c>
      <c r="I313" s="193" t="s">
        <v>272</v>
      </c>
      <c r="J313" s="185" t="s">
        <v>252</v>
      </c>
      <c r="K313" s="185">
        <v>800</v>
      </c>
      <c r="L313" s="186" t="s">
        <v>76</v>
      </c>
      <c r="M313" s="187"/>
      <c r="N313" s="187">
        <v>4.7</v>
      </c>
      <c r="O313" s="187">
        <f t="shared" si="30"/>
        <v>3760</v>
      </c>
      <c r="P313" s="187" t="s">
        <v>273</v>
      </c>
      <c r="Q313" s="192" t="s">
        <v>631</v>
      </c>
      <c r="R313" s="187" t="s">
        <v>273</v>
      </c>
      <c r="S313" s="188">
        <v>45473</v>
      </c>
      <c r="T313" s="184" t="s">
        <v>274</v>
      </c>
      <c r="U313" s="185" t="s">
        <v>81</v>
      </c>
      <c r="V313" s="185"/>
      <c r="W313" s="187">
        <v>9</v>
      </c>
      <c r="X313" s="249">
        <f t="shared" si="31"/>
        <v>7200</v>
      </c>
      <c r="Y313" s="40"/>
      <c r="Z313" s="39">
        <v>1.28</v>
      </c>
      <c r="AA313" s="230">
        <f t="shared" si="28"/>
        <v>1.4960106382978724</v>
      </c>
      <c r="AB313" s="355" t="s">
        <v>275</v>
      </c>
      <c r="AC313" s="309" t="s">
        <v>645</v>
      </c>
      <c r="AD313" s="309"/>
      <c r="AE313" s="301"/>
      <c r="AF313" s="309"/>
    </row>
    <row r="314" spans="1:32" s="21" customFormat="1" ht="43.5" customHeight="1" thickBot="1">
      <c r="A314" s="402">
        <f t="shared" si="25"/>
        <v>312</v>
      </c>
      <c r="B314" s="213"/>
      <c r="C314" s="311">
        <v>889</v>
      </c>
      <c r="D314" s="312">
        <v>1</v>
      </c>
      <c r="E314" s="311" t="s">
        <v>79</v>
      </c>
      <c r="F314" s="320" t="s">
        <v>138</v>
      </c>
      <c r="G314" s="312">
        <v>341</v>
      </c>
      <c r="H314" s="311" t="s">
        <v>116</v>
      </c>
      <c r="I314" s="312" t="s">
        <v>272</v>
      </c>
      <c r="J314" s="312" t="s">
        <v>252</v>
      </c>
      <c r="K314" s="312">
        <v>800</v>
      </c>
      <c r="L314" s="312" t="s">
        <v>76</v>
      </c>
      <c r="M314" s="313"/>
      <c r="N314" s="321">
        <v>4.7</v>
      </c>
      <c r="O314" s="313">
        <f t="shared" si="30"/>
        <v>3760</v>
      </c>
      <c r="P314" s="314" t="s">
        <v>273</v>
      </c>
      <c r="Q314" s="317" t="s">
        <v>11</v>
      </c>
      <c r="R314" s="313" t="s">
        <v>273</v>
      </c>
      <c r="S314" s="315">
        <v>45473</v>
      </c>
      <c r="T314" s="311" t="s">
        <v>274</v>
      </c>
      <c r="U314" s="312" t="s">
        <v>81</v>
      </c>
      <c r="V314" s="312"/>
      <c r="W314" s="313">
        <v>9</v>
      </c>
      <c r="X314" s="314">
        <f t="shared" si="31"/>
        <v>7200</v>
      </c>
      <c r="Y314" s="149"/>
      <c r="Z314" s="150">
        <v>1.28</v>
      </c>
      <c r="AA314" s="230">
        <f t="shared" si="28"/>
        <v>1.4960106382978724</v>
      </c>
      <c r="AB314" s="356"/>
      <c r="AC314" s="408" t="s">
        <v>275</v>
      </c>
      <c r="AD314" s="408"/>
      <c r="AE314" s="319"/>
      <c r="AF314" s="318"/>
    </row>
    <row r="315" spans="1:32" s="21" customFormat="1" ht="43.5" customHeight="1">
      <c r="A315" s="402">
        <f t="shared" si="25"/>
        <v>313</v>
      </c>
      <c r="B315" s="212"/>
      <c r="C315" s="288">
        <v>807</v>
      </c>
      <c r="D315" s="289">
        <v>48</v>
      </c>
      <c r="E315" s="290" t="s">
        <v>224</v>
      </c>
      <c r="F315" s="290" t="s">
        <v>204</v>
      </c>
      <c r="G315" s="290">
        <v>337</v>
      </c>
      <c r="H315" s="290" t="s">
        <v>140</v>
      </c>
      <c r="I315" s="290" t="s">
        <v>229</v>
      </c>
      <c r="J315" s="290" t="s">
        <v>230</v>
      </c>
      <c r="K315" s="290">
        <v>2</v>
      </c>
      <c r="L315" s="291" t="s">
        <v>219</v>
      </c>
      <c r="M315" s="51"/>
      <c r="N315" s="23">
        <v>1024.9000000000001</v>
      </c>
      <c r="O315" s="23">
        <f t="shared" si="30"/>
        <v>2049.8000000000002</v>
      </c>
      <c r="P315" s="292"/>
      <c r="Q315" s="220" t="s">
        <v>22</v>
      </c>
      <c r="R315" s="293" t="s">
        <v>225</v>
      </c>
      <c r="S315" s="294"/>
      <c r="T315" s="293"/>
      <c r="U315" s="293"/>
      <c r="V315" s="295"/>
      <c r="W315" s="296">
        <v>1800</v>
      </c>
      <c r="X315" s="297">
        <f t="shared" si="31"/>
        <v>3600</v>
      </c>
      <c r="Y315" s="15"/>
      <c r="Z315" s="9">
        <v>1.28</v>
      </c>
      <c r="AA315" s="230">
        <f t="shared" si="28"/>
        <v>1.372085081471363</v>
      </c>
      <c r="AB315" s="357"/>
      <c r="AC315" s="298">
        <v>45777</v>
      </c>
      <c r="AD315" s="298"/>
      <c r="AE315" s="299"/>
      <c r="AF315" s="298"/>
    </row>
    <row r="316" spans="1:32" s="21" customFormat="1" ht="43.5" customHeight="1">
      <c r="A316" s="402">
        <f t="shared" si="25"/>
        <v>314</v>
      </c>
      <c r="B316" s="395" t="s">
        <v>490</v>
      </c>
      <c r="C316" s="6">
        <v>1080</v>
      </c>
      <c r="D316" s="6">
        <v>42</v>
      </c>
      <c r="E316" s="6" t="s">
        <v>209</v>
      </c>
      <c r="F316" s="20" t="s">
        <v>592</v>
      </c>
      <c r="G316" s="20">
        <v>357</v>
      </c>
      <c r="H316" s="20" t="s">
        <v>140</v>
      </c>
      <c r="I316" s="210" t="s">
        <v>244</v>
      </c>
      <c r="J316" s="20" t="s">
        <v>213</v>
      </c>
      <c r="K316" s="20">
        <v>45</v>
      </c>
      <c r="L316" s="7" t="s">
        <v>91</v>
      </c>
      <c r="M316" s="17"/>
      <c r="N316" s="22">
        <v>3</v>
      </c>
      <c r="O316" s="10">
        <v>4</v>
      </c>
      <c r="P316" s="138"/>
      <c r="Q316" s="181" t="s">
        <v>39</v>
      </c>
      <c r="R316" s="141" t="s">
        <v>243</v>
      </c>
      <c r="S316" s="140"/>
      <c r="T316" s="139"/>
      <c r="U316" s="139"/>
      <c r="V316" s="7"/>
      <c r="W316" s="14">
        <v>13</v>
      </c>
      <c r="X316" s="12">
        <f t="shared" si="31"/>
        <v>585</v>
      </c>
      <c r="Y316" s="12"/>
      <c r="Z316" s="9">
        <v>1.28</v>
      </c>
      <c r="AA316" s="230">
        <f t="shared" si="28"/>
        <v>114.2578125</v>
      </c>
      <c r="AB316" s="350"/>
      <c r="AC316" s="60"/>
      <c r="AD316" s="172"/>
      <c r="AE316" s="64"/>
      <c r="AF316" s="60"/>
    </row>
    <row r="317" spans="1:32" s="21" customFormat="1" ht="43.5" customHeight="1">
      <c r="A317" s="402">
        <f t="shared" si="25"/>
        <v>315</v>
      </c>
      <c r="B317" s="395"/>
      <c r="C317" s="8">
        <v>503</v>
      </c>
      <c r="D317" s="6">
        <v>6</v>
      </c>
      <c r="E317" s="6" t="s">
        <v>194</v>
      </c>
      <c r="F317" s="6" t="s">
        <v>215</v>
      </c>
      <c r="G317" s="6">
        <v>329</v>
      </c>
      <c r="H317" s="6" t="s">
        <v>140</v>
      </c>
      <c r="I317" s="6" t="s">
        <v>216</v>
      </c>
      <c r="J317" s="6" t="s">
        <v>217</v>
      </c>
      <c r="K317" s="6">
        <v>1</v>
      </c>
      <c r="L317" s="142" t="s">
        <v>125</v>
      </c>
      <c r="M317" s="11"/>
      <c r="N317" s="143">
        <v>18950</v>
      </c>
      <c r="O317" s="143">
        <f t="shared" ref="O317:O322" si="32">N317*K317</f>
        <v>18950</v>
      </c>
      <c r="P317" s="138"/>
      <c r="Q317" s="181" t="s">
        <v>39</v>
      </c>
      <c r="R317" s="144">
        <v>55400</v>
      </c>
      <c r="S317" s="145">
        <v>45441</v>
      </c>
      <c r="T317" s="139"/>
      <c r="U317" s="6"/>
      <c r="V317" s="7"/>
      <c r="W317" s="16">
        <v>38000</v>
      </c>
      <c r="X317" s="15">
        <f t="shared" si="31"/>
        <v>38000</v>
      </c>
      <c r="Y317" s="15"/>
      <c r="Z317" s="9">
        <v>1.23</v>
      </c>
      <c r="AA317" s="230">
        <f t="shared" si="28"/>
        <v>1.6303065405324237</v>
      </c>
      <c r="AB317" s="350"/>
      <c r="AC317" s="60"/>
      <c r="AD317" s="172"/>
      <c r="AE317" s="64"/>
      <c r="AF317" s="60"/>
    </row>
    <row r="318" spans="1:32" s="21" customFormat="1" ht="43.5" customHeight="1">
      <c r="A318" s="402">
        <f t="shared" si="25"/>
        <v>316</v>
      </c>
      <c r="B318" s="400"/>
      <c r="C318" s="8"/>
      <c r="D318" s="19">
        <v>39</v>
      </c>
      <c r="E318" s="6" t="s">
        <v>224</v>
      </c>
      <c r="F318" s="18" t="s">
        <v>777</v>
      </c>
      <c r="G318" s="6">
        <v>337</v>
      </c>
      <c r="H318" s="152" t="s">
        <v>140</v>
      </c>
      <c r="I318" s="152" t="s">
        <v>207</v>
      </c>
      <c r="J318" s="152" t="s">
        <v>228</v>
      </c>
      <c r="K318" s="152">
        <v>1</v>
      </c>
      <c r="L318" s="153" t="s">
        <v>219</v>
      </c>
      <c r="M318" s="17">
        <v>509</v>
      </c>
      <c r="N318" s="154">
        <v>561</v>
      </c>
      <c r="O318" s="154">
        <f t="shared" si="32"/>
        <v>561</v>
      </c>
      <c r="P318" s="155"/>
      <c r="Q318" s="204" t="s">
        <v>11</v>
      </c>
      <c r="R318" s="152" t="s">
        <v>225</v>
      </c>
      <c r="S318" s="156"/>
      <c r="T318" s="6"/>
      <c r="U318" s="6"/>
      <c r="V318" s="7"/>
      <c r="W318" s="221">
        <v>500</v>
      </c>
      <c r="X318" s="15">
        <f t="shared" si="31"/>
        <v>500</v>
      </c>
      <c r="Y318" s="15"/>
      <c r="Z318" s="9">
        <v>1.28</v>
      </c>
      <c r="AA318" s="230">
        <f t="shared" si="28"/>
        <v>0.696301247771836</v>
      </c>
      <c r="AB318" s="350"/>
      <c r="AC318" s="60" t="s">
        <v>778</v>
      </c>
      <c r="AD318" s="172"/>
      <c r="AE318" s="64"/>
      <c r="AF318" s="60"/>
    </row>
    <row r="319" spans="1:32" s="21" customFormat="1" ht="43.5" customHeight="1">
      <c r="A319" s="402" t="e">
        <f>#REF!+1</f>
        <v>#REF!</v>
      </c>
      <c r="B319" s="395"/>
      <c r="C319" s="52"/>
      <c r="D319" s="52"/>
      <c r="E319" s="52"/>
      <c r="F319" s="52"/>
      <c r="G319" s="52"/>
      <c r="H319" s="52"/>
      <c r="I319" s="52"/>
      <c r="J319" s="52"/>
      <c r="K319" s="52"/>
      <c r="L319" s="54"/>
      <c r="M319" s="60"/>
      <c r="N319" s="55">
        <v>0</v>
      </c>
      <c r="O319" s="55">
        <f t="shared" si="32"/>
        <v>0</v>
      </c>
      <c r="P319" s="136"/>
      <c r="Q319" s="204" t="s">
        <v>11</v>
      </c>
      <c r="R319" s="135"/>
      <c r="S319" s="137"/>
      <c r="T319" s="134"/>
      <c r="U319" s="135"/>
      <c r="V319" s="54"/>
      <c r="W319" s="99"/>
      <c r="X319" s="15">
        <f t="shared" si="31"/>
        <v>0</v>
      </c>
      <c r="Y319" s="62"/>
      <c r="Z319" s="63"/>
      <c r="AA319" s="230" t="e">
        <f t="shared" si="28"/>
        <v>#DIV/0!</v>
      </c>
      <c r="AB319" s="350"/>
      <c r="AC319" s="60"/>
      <c r="AD319" s="172"/>
      <c r="AE319" s="64"/>
      <c r="AF319" s="60"/>
    </row>
    <row r="320" spans="1:32" s="21" customFormat="1" ht="43.5" customHeight="1">
      <c r="A320" s="402" t="e">
        <f>A319+1</f>
        <v>#REF!</v>
      </c>
      <c r="B320" s="395"/>
      <c r="C320" s="52"/>
      <c r="D320" s="52"/>
      <c r="E320" s="52"/>
      <c r="F320" s="52"/>
      <c r="G320" s="52"/>
      <c r="H320" s="52"/>
      <c r="I320" s="52"/>
      <c r="J320" s="52"/>
      <c r="K320" s="52"/>
      <c r="L320" s="54"/>
      <c r="M320" s="60"/>
      <c r="N320" s="55">
        <v>0</v>
      </c>
      <c r="O320" s="55">
        <f t="shared" si="32"/>
        <v>0</v>
      </c>
      <c r="P320" s="56"/>
      <c r="Q320" s="204" t="s">
        <v>11</v>
      </c>
      <c r="R320" s="59"/>
      <c r="S320" s="58"/>
      <c r="T320" s="52"/>
      <c r="U320" s="59"/>
      <c r="V320" s="54"/>
      <c r="W320" s="99"/>
      <c r="X320" s="15">
        <f t="shared" si="31"/>
        <v>0</v>
      </c>
      <c r="Y320" s="62"/>
      <c r="Z320" s="63"/>
      <c r="AA320" s="230" t="e">
        <f t="shared" si="28"/>
        <v>#DIV/0!</v>
      </c>
      <c r="AB320" s="350"/>
      <c r="AC320" s="60"/>
      <c r="AD320" s="172"/>
      <c r="AE320" s="64"/>
      <c r="AF320" s="60"/>
    </row>
    <row r="321" spans="1:32" s="21" customFormat="1" ht="43.5" customHeight="1">
      <c r="A321" s="402" t="e">
        <f>A320+1</f>
        <v>#REF!</v>
      </c>
      <c r="B321" s="395"/>
      <c r="C321" s="52"/>
      <c r="D321" s="52"/>
      <c r="E321" s="52"/>
      <c r="F321" s="52"/>
      <c r="G321" s="52"/>
      <c r="H321" s="52"/>
      <c r="I321" s="52"/>
      <c r="J321" s="52"/>
      <c r="K321" s="52"/>
      <c r="L321" s="54"/>
      <c r="M321" s="60"/>
      <c r="N321" s="55">
        <v>0</v>
      </c>
      <c r="O321" s="55">
        <f t="shared" si="32"/>
        <v>0</v>
      </c>
      <c r="P321" s="56"/>
      <c r="Q321" s="204" t="s">
        <v>11</v>
      </c>
      <c r="R321" s="59"/>
      <c r="S321" s="58"/>
      <c r="T321" s="52"/>
      <c r="U321" s="59"/>
      <c r="V321" s="54"/>
      <c r="W321" s="99"/>
      <c r="X321" s="15">
        <f t="shared" si="31"/>
        <v>0</v>
      </c>
      <c r="Y321" s="62"/>
      <c r="Z321" s="63"/>
      <c r="AA321" s="230" t="e">
        <f t="shared" si="28"/>
        <v>#DIV/0!</v>
      </c>
      <c r="AB321" s="350"/>
      <c r="AC321" s="60"/>
      <c r="AD321" s="172"/>
      <c r="AE321" s="64"/>
      <c r="AF321" s="60"/>
    </row>
    <row r="322" spans="1:32" s="21" customFormat="1" ht="43.5" customHeight="1">
      <c r="A322" s="402" t="e">
        <f>A321+1</f>
        <v>#REF!</v>
      </c>
      <c r="B322" s="395"/>
      <c r="C322" s="52"/>
      <c r="D322" s="52"/>
      <c r="E322" s="52"/>
      <c r="F322" s="52"/>
      <c r="G322" s="52"/>
      <c r="H322" s="52"/>
      <c r="I322" s="52"/>
      <c r="J322" s="52"/>
      <c r="K322" s="52"/>
      <c r="L322" s="54"/>
      <c r="M322" s="60"/>
      <c r="N322" s="55">
        <v>0</v>
      </c>
      <c r="O322" s="55">
        <f t="shared" si="32"/>
        <v>0</v>
      </c>
      <c r="P322" s="56"/>
      <c r="Q322" s="387" t="s">
        <v>11</v>
      </c>
      <c r="R322" s="59"/>
      <c r="S322" s="58"/>
      <c r="T322" s="52"/>
      <c r="U322" s="59"/>
      <c r="V322" s="54"/>
      <c r="W322" s="99"/>
      <c r="X322" s="15">
        <f t="shared" si="31"/>
        <v>0</v>
      </c>
      <c r="Y322" s="62"/>
      <c r="Z322" s="63"/>
      <c r="AA322" s="230" t="e">
        <f t="shared" si="28"/>
        <v>#DIV/0!</v>
      </c>
      <c r="AB322" s="350"/>
      <c r="AC322" s="60"/>
      <c r="AD322" s="172"/>
      <c r="AE322" s="64"/>
      <c r="AF322" s="60"/>
    </row>
    <row r="323" spans="1:32" s="222" customFormat="1" ht="42" customHeight="1">
      <c r="A323" s="5"/>
      <c r="B323" s="98"/>
      <c r="C323" s="5"/>
      <c r="D323" s="5"/>
      <c r="E323" s="5"/>
      <c r="F323" s="5"/>
      <c r="G323" s="5"/>
      <c r="H323" s="5"/>
      <c r="I323" s="13"/>
      <c r="J323" s="5"/>
      <c r="K323" s="5"/>
      <c r="L323" s="5"/>
      <c r="M323" s="5"/>
      <c r="N323" s="223">
        <f>SUBTOTAL(9, N3:N322)</f>
        <v>869438.60430000001</v>
      </c>
      <c r="O323" s="223" t="e">
        <f>SUBTOTAL(9, O3:O322)</f>
        <v>#VALUE!</v>
      </c>
      <c r="P323" s="5"/>
      <c r="Q323" s="322"/>
      <c r="R323" s="5"/>
      <c r="S323" s="94"/>
      <c r="T323" s="5"/>
      <c r="U323" s="5"/>
      <c r="V323" s="5"/>
      <c r="W323" s="224" t="e">
        <f>SUBTOTAL(9, W3:W322)</f>
        <v>#VALUE!</v>
      </c>
      <c r="X323" s="168">
        <f>SUBTOTAL(9, X3:X322)</f>
        <v>2342771.4000000004</v>
      </c>
      <c r="Y323" s="97"/>
      <c r="Z323" s="5"/>
      <c r="AA323" s="5"/>
      <c r="AB323" s="358"/>
      <c r="AC323" s="409"/>
      <c r="AD323" s="409"/>
      <c r="AE323" s="167"/>
      <c r="AF323" s="94"/>
    </row>
    <row r="324" spans="1:32">
      <c r="P324" s="94"/>
      <c r="S324" s="5"/>
      <c r="U324" s="95"/>
      <c r="V324" s="96"/>
      <c r="W324" s="97"/>
      <c r="X324" s="5"/>
      <c r="Y324" s="5"/>
      <c r="Z324" s="358"/>
      <c r="AA324" s="409"/>
      <c r="AB324" s="409"/>
      <c r="AC324" s="167"/>
      <c r="AD324" s="94"/>
      <c r="AE324" s="13"/>
      <c r="AF324" s="13"/>
    </row>
    <row r="325" spans="1:32">
      <c r="R325" s="94"/>
      <c r="S325" s="5"/>
      <c r="V325" s="95"/>
      <c r="W325" s="96"/>
      <c r="X325" s="97"/>
      <c r="Y325" s="5"/>
      <c r="AA325" s="358"/>
      <c r="AB325" s="409"/>
      <c r="AD325" s="167"/>
      <c r="AE325" s="94"/>
      <c r="AF325" s="13"/>
    </row>
    <row r="327" spans="1:32">
      <c r="O327" s="5">
        <v>526.25</v>
      </c>
    </row>
  </sheetData>
  <autoFilter ref="A1:AE322" xr:uid="{7A83242C-7221-461E-A704-B2C579520AFA}">
    <filterColumn colId="13" showButton="0"/>
    <filterColumn colId="22" showButton="0"/>
  </autoFilter>
  <mergeCells count="30">
    <mergeCell ref="A1:A2"/>
    <mergeCell ref="Q1:Q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AF1:AF2"/>
    <mergeCell ref="T1:T2"/>
    <mergeCell ref="U1:U2"/>
    <mergeCell ref="V1:V2"/>
    <mergeCell ref="W1:X1"/>
    <mergeCell ref="Y1:Y2"/>
    <mergeCell ref="Z1:Z2"/>
    <mergeCell ref="AE1:AE2"/>
    <mergeCell ref="AD1:AD2"/>
    <mergeCell ref="S1:S2"/>
    <mergeCell ref="K1:K2"/>
    <mergeCell ref="AA1:AA2"/>
    <mergeCell ref="AB1:AB2"/>
    <mergeCell ref="AC1:AC2"/>
    <mergeCell ref="L1:L2"/>
    <mergeCell ref="M1:M2"/>
    <mergeCell ref="N1:O1"/>
    <mergeCell ref="P1:P2"/>
    <mergeCell ref="R1:R2"/>
  </mergeCells>
  <phoneticPr fontId="3" type="noConversion"/>
  <conditionalFormatting sqref="A1:A1048576">
    <cfRule type="duplicateValues" dxfId="21" priority="22"/>
  </conditionalFormatting>
  <conditionalFormatting sqref="C1:C251 C277:C1048576">
    <cfRule type="duplicateValues" dxfId="20" priority="19"/>
  </conditionalFormatting>
  <conditionalFormatting sqref="C1:E251 C277:E317 C319:E1048576 E1:E317 G1:H317 AC165:AD165 D252:E276 G319:H1048576">
    <cfRule type="containsText" dxfId="19" priority="23" operator="containsText" text="TruServ">
      <formula>NOT(ISERROR(SEARCH("TruServ",C1)))</formula>
    </cfRule>
  </conditionalFormatting>
  <conditionalFormatting sqref="I113">
    <cfRule type="duplicateValues" dxfId="18" priority="35"/>
    <cfRule type="duplicateValues" dxfId="17" priority="44"/>
  </conditionalFormatting>
  <conditionalFormatting sqref="I158 AC165:AD165">
    <cfRule type="containsText" dxfId="16" priority="49" operator="containsText" text="Heico">
      <formula>NOT(ISERROR(SEARCH("Heico",I158)))</formula>
    </cfRule>
    <cfRule type="containsText" dxfId="15" priority="50" operator="containsText" text="DASI">
      <formula>NOT(ISERROR(SEARCH("DASI",I158)))</formula>
    </cfRule>
    <cfRule type="containsText" dxfId="14" priority="54" operator="containsText" text="satair">
      <formula>NOT(ISERROR(SEARCH("satair",I158)))</formula>
    </cfRule>
    <cfRule type="containsText" dxfId="13" priority="55" operator="containsText" text="Heico">
      <formula>NOT(ISERROR(SEARCH("Heico",I158)))</formula>
    </cfRule>
    <cfRule type="containsText" dxfId="12" priority="56" operator="containsText" text="DASI">
      <formula>NOT(ISERROR(SEARCH("DASI",I158)))</formula>
    </cfRule>
    <cfRule type="containsText" dxfId="11" priority="58" operator="containsText" text="Wencor">
      <formula>NOT(ISERROR(SEARCH("Wencor",I158)))</formula>
    </cfRule>
    <cfRule type="containsText" dxfId="10" priority="59" operator="containsText" text="Boeing">
      <formula>NOT(ISERROR(SEARCH("Boeing",I158)))</formula>
    </cfRule>
  </conditionalFormatting>
  <conditionalFormatting sqref="I158">
    <cfRule type="containsText" dxfId="9" priority="47" operator="containsText" text="TruServ">
      <formula>NOT(ISERROR(SEARCH("TruServ",I158)))</formula>
    </cfRule>
  </conditionalFormatting>
  <conditionalFormatting sqref="I313">
    <cfRule type="duplicateValues" dxfId="8" priority="31"/>
  </conditionalFormatting>
  <conditionalFormatting sqref="I314:I317 I159:I171 I114:I147 I150:I157 I1:I112 I173:I268 I319:I1048576 I277:I312">
    <cfRule type="duplicateValues" dxfId="7" priority="51"/>
    <cfRule type="duplicateValues" dxfId="6" priority="60"/>
  </conditionalFormatting>
  <conditionalFormatting sqref="Q55">
    <cfRule type="containsText" dxfId="5" priority="8" operator="containsText" text="DASI">
      <formula>NOT(ISERROR(SEARCH("DASI",Q55)))</formula>
    </cfRule>
    <cfRule type="duplicateValues" dxfId="4" priority="9"/>
  </conditionalFormatting>
  <conditionalFormatting sqref="Q69">
    <cfRule type="containsText" dxfId="3" priority="20" operator="containsText" text="DASI">
      <formula>NOT(ISERROR(SEARCH("DASI",Q69)))</formula>
    </cfRule>
    <cfRule type="duplicateValues" dxfId="2" priority="21"/>
  </conditionalFormatting>
  <conditionalFormatting sqref="AD191:AD196">
    <cfRule type="duplicateValues" dxfId="1" priority="10"/>
    <cfRule type="duplicateValues" dxfId="0" priority="11"/>
  </conditionalFormatting>
  <pageMargins left="0.7" right="0.7" top="0.75" bottom="0.75" header="0.3" footer="0.3"/>
  <pageSetup paperSize="11" scale="3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TPP REV-Final</vt:lpstr>
      <vt:lpstr>INVENTORY</vt:lpstr>
      <vt:lpstr>BANK &amp; SHIPPING</vt:lpstr>
      <vt:lpstr>Colour Condition</vt:lpstr>
      <vt:lpstr>Payment</vt:lpstr>
      <vt:lpstr>Payment (2)</vt:lpstr>
      <vt:lpstr>TPP-OLD</vt:lpstr>
      <vt:lpstr>TPP 2-OLD</vt:lpstr>
      <vt:lpstr>Payment!Print_Area</vt:lpstr>
      <vt:lpstr>'Payment (2)'!Print_Area</vt:lpstr>
      <vt:lpstr>'TPP 2-OLD'!Print_Area</vt:lpstr>
      <vt:lpstr>'TPP-OLD'!Print_Area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PC-7</dc:creator>
  <cp:lastModifiedBy>sam namiranian</cp:lastModifiedBy>
  <cp:lastPrinted>2025-09-10T12:11:10Z</cp:lastPrinted>
  <dcterms:created xsi:type="dcterms:W3CDTF">2022-10-01T10:58:41Z</dcterms:created>
  <dcterms:modified xsi:type="dcterms:W3CDTF">2026-04-27T04:07:48Z</dcterms:modified>
</cp:coreProperties>
</file>